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a137dddb830dde00/Monster Generator/"/>
    </mc:Choice>
  </mc:AlternateContent>
  <xr:revisionPtr revIDLastSave="1733" documentId="8_{2DB9369E-BF0F-4AB3-AA7B-A79909C6EB49}" xr6:coauthVersionLast="47" xr6:coauthVersionMax="47" xr10:uidLastSave="{7733A08B-26C3-46CB-BDBB-14A07A84632B}"/>
  <bookViews>
    <workbookView xWindow="-108" yWindow="-108" windowWidth="23256" windowHeight="14616" tabRatio="797" firstSheet="2" activeTab="2" xr2:uid="{00000000-000D-0000-FFFF-FFFF00000000}"/>
  </bookViews>
  <sheets>
    <sheet name="ASSEMBLY" sheetId="22" r:id="rId1"/>
    <sheet name="tags" sheetId="23" r:id="rId2"/>
    <sheet name="standard weapons" sheetId="26" r:id="rId3"/>
    <sheet name="custom weapons" sheetId="25" r:id="rId4"/>
    <sheet name="weapon masteries" sheetId="28" r:id="rId5"/>
    <sheet name="actions" sheetId="11" r:id="rId6"/>
    <sheet name="features-abilities" sheetId="17" r:id="rId7"/>
    <sheet name="action areas" sheetId="12" state="hidden" r:id="rId8"/>
    <sheet name="condition effects" sheetId="15" state="hidden" r:id="rId9"/>
    <sheet name="damage effects" sheetId="16" state="hidden" r:id="rId10"/>
    <sheet name="save effects" sheetId="20" state="hidden" r:id="rId11"/>
    <sheet name="secondary effects" sheetId="21" state="hidden" r:id="rId12"/>
    <sheet name="bonus actions" sheetId="14" r:id="rId13"/>
    <sheet name="reactions" sheetId="19" r:id="rId14"/>
    <sheet name="target effects" sheetId="1" r:id="rId15"/>
    <sheet name="outcomes" sheetId="9" r:id="rId16"/>
    <sheet name="durations" sheetId="8" r:id="rId17"/>
    <sheet name="add-ons" sheetId="10" r:id="rId18"/>
    <sheet name="attack effects" sheetId="13" state="hidden" r:id="rId19"/>
  </sheets>
  <definedNames>
    <definedName name="_xlnm._FilterDatabase" localSheetId="7" hidden="1">'action areas'!$A$1:$I$136</definedName>
    <definedName name="_xlnm._FilterDatabase" localSheetId="5" hidden="1">actions!$A$1:$I$542</definedName>
    <definedName name="_xlnm._FilterDatabase" localSheetId="17" hidden="1">'add-ons'!$A$1:$I$1126</definedName>
    <definedName name="_xlnm._FilterDatabase" localSheetId="18" hidden="1">'attack effects'!$A$1:$I$129</definedName>
    <definedName name="_xlnm._FilterDatabase" localSheetId="12" hidden="1">'bonus actions'!$A$1:$I$285</definedName>
    <definedName name="_xlnm._FilterDatabase" localSheetId="8" hidden="1">'condition effects'!$A$1:$I$471</definedName>
    <definedName name="_xlnm._FilterDatabase" localSheetId="9" hidden="1">'damage effects'!$A$1:$I$54</definedName>
    <definedName name="_xlnm._FilterDatabase" localSheetId="16" hidden="1">durations!$A$1:$G$87</definedName>
    <definedName name="_xlnm._FilterDatabase" localSheetId="6" hidden="1">'features-abilities'!$A$1:$I$1836</definedName>
    <definedName name="_xlnm._FilterDatabase" localSheetId="15" hidden="1">outcomes!$A$1:$I$407</definedName>
    <definedName name="_xlnm._FilterDatabase" localSheetId="13" hidden="1">reactions!$A$1:$I$282</definedName>
    <definedName name="_xlnm._FilterDatabase" localSheetId="10" hidden="1">'save effects'!$A$1:$I$71</definedName>
    <definedName name="_xlnm._FilterDatabase" localSheetId="11" hidden="1">'secondary effects'!$A$1:$I$80</definedName>
    <definedName name="_xlnm._FilterDatabase" localSheetId="2" hidden="1">'standard weapons'!$A$1:$I$76</definedName>
    <definedName name="_xlnm._FilterDatabase" localSheetId="14" hidden="1">'target effects'!$A$1:$I$85</definedName>
    <definedName name="Ability_Component_Tags">_xlfn.ANCHORARRAY(tags!$B$2)</definedName>
    <definedName name="Action_Tags">_xlfn.ANCHORARRAY(tags!$D$2)</definedName>
    <definedName name="Attack_Tags">_xlfn.ANCHORARRAY(tags!$E$2)</definedName>
    <definedName name="Bonus_Action_Tags">_xlfn.ANCHORARRAY(tags!$K$2)</definedName>
    <definedName name="Condition_Effect_Tags">_xlfn.ANCHORARRAY(tags!$F$2)</definedName>
    <definedName name="Damage_Effect_Tags">_xlfn.ANCHORARRAY(tags!$G$2)</definedName>
    <definedName name="Duration_Descs">durations!$D$2:$D$125</definedName>
    <definedName name="Duration_Names">durations!$B$2:$B$125</definedName>
    <definedName name="Feature_Ability_Tags">_xlfn.ANCHORARRAY(tags!$A$2)</definedName>
    <definedName name="Filtered_Templates">_xlfn.ANCHORARRAY(tags!#REF!)</definedName>
    <definedName name="Outcome_Tags">_xlfn.ANCHORARRAY(tags!$C$2)</definedName>
    <definedName name="Reaction_Tags">_xlfn.ANCHORARRAY(tags!$L$2)</definedName>
    <definedName name="Save_Effect_Tags">_xlfn.ANCHORARRAY(tags!$H$2)</definedName>
    <definedName name="Secondary_Effect_Tags">_xlfn.ANCHORARRAY(tags!$I$2)</definedName>
    <definedName name="Target_Effect_Tags">_xlfn.ANCHORARRAY(tags!$J$2)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ITf+qTN1NUYdIa2BSF+I7au3RDmFXpvcRZCoSilKyjQ="/>
    </ext>
  </extLst>
</workbook>
</file>

<file path=xl/calcChain.xml><?xml version="1.0" encoding="utf-8"?>
<calcChain xmlns="http://schemas.openxmlformats.org/spreadsheetml/2006/main">
  <c r="I3" i="25" l="1"/>
  <c r="I4" i="25"/>
  <c r="I5" i="25"/>
  <c r="I6" i="25"/>
  <c r="I2" i="25"/>
  <c r="J3" i="26"/>
  <c r="J4" i="26"/>
  <c r="J5"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2" i="26"/>
  <c r="AD76" i="26"/>
  <c r="AD75" i="26"/>
  <c r="AD74" i="26"/>
  <c r="AD73" i="26"/>
  <c r="AD72" i="26"/>
  <c r="AD71" i="26"/>
  <c r="AD70" i="26"/>
  <c r="AD69" i="26"/>
  <c r="AD68" i="26"/>
  <c r="AD67" i="26"/>
  <c r="AD66" i="26"/>
  <c r="AD65" i="26"/>
  <c r="AD64" i="26"/>
  <c r="AD63" i="26"/>
  <c r="AD62" i="26"/>
  <c r="AD61" i="26"/>
  <c r="AD60" i="26"/>
  <c r="AD59" i="26"/>
  <c r="AD58" i="26"/>
  <c r="AD57" i="26"/>
  <c r="AD56" i="26"/>
  <c r="AD55" i="26"/>
  <c r="AD54" i="26"/>
  <c r="AD53" i="26"/>
  <c r="AD52" i="26"/>
  <c r="AD51" i="26"/>
  <c r="AD50" i="26"/>
  <c r="AD49" i="26"/>
  <c r="AD48" i="26"/>
  <c r="AD47" i="26"/>
  <c r="AD46" i="26"/>
  <c r="AD45" i="26"/>
  <c r="AD44" i="26"/>
  <c r="AD43" i="26"/>
  <c r="AD42" i="26"/>
  <c r="AD41" i="26"/>
  <c r="AD40" i="26"/>
  <c r="AD39" i="26"/>
  <c r="AB76" i="26"/>
  <c r="AB75" i="26"/>
  <c r="AB74" i="26"/>
  <c r="AB73" i="26"/>
  <c r="AB72" i="26"/>
  <c r="AB71" i="26"/>
  <c r="AB70" i="26"/>
  <c r="AB69" i="26"/>
  <c r="AB68" i="26"/>
  <c r="AB67" i="26"/>
  <c r="AB66" i="26"/>
  <c r="AB65" i="26"/>
  <c r="AB64" i="26"/>
  <c r="AB63" i="26"/>
  <c r="AB62" i="26"/>
  <c r="AB61" i="26"/>
  <c r="AB60" i="26"/>
  <c r="AB59" i="26"/>
  <c r="AB58" i="26"/>
  <c r="AB57" i="26"/>
  <c r="AB56" i="26"/>
  <c r="AB55" i="26"/>
  <c r="AB54" i="26"/>
  <c r="AB53" i="26"/>
  <c r="AB52" i="26"/>
  <c r="AB51" i="26"/>
  <c r="AB50" i="26"/>
  <c r="AB49" i="26"/>
  <c r="AB48" i="26"/>
  <c r="AB47" i="26"/>
  <c r="AB46" i="26"/>
  <c r="AB45" i="26"/>
  <c r="AB44" i="26"/>
  <c r="AB43" i="26"/>
  <c r="AB42" i="26"/>
  <c r="AB41" i="26"/>
  <c r="AB40" i="26"/>
  <c r="AB39" i="26"/>
  <c r="Z76" i="26"/>
  <c r="Z75" i="26"/>
  <c r="Z74" i="26"/>
  <c r="Z73" i="26"/>
  <c r="Z72" i="26"/>
  <c r="Z71" i="26"/>
  <c r="Z70" i="26"/>
  <c r="Z69" i="26"/>
  <c r="Z68" i="26"/>
  <c r="Z67" i="26"/>
  <c r="Z66" i="26"/>
  <c r="Z65" i="26"/>
  <c r="Z64" i="26"/>
  <c r="Z63" i="26"/>
  <c r="Z62" i="26"/>
  <c r="Z61" i="26"/>
  <c r="Z60" i="26"/>
  <c r="Z59" i="26"/>
  <c r="Z58" i="26"/>
  <c r="Z57" i="26"/>
  <c r="Z56" i="26"/>
  <c r="Z55" i="26"/>
  <c r="Z54" i="26"/>
  <c r="Z53" i="26"/>
  <c r="Z52" i="26"/>
  <c r="Z51" i="26"/>
  <c r="Z50" i="26"/>
  <c r="Z49" i="26"/>
  <c r="Z48" i="26"/>
  <c r="Z47" i="26"/>
  <c r="Z46" i="26"/>
  <c r="Z45" i="26"/>
  <c r="Z44" i="26"/>
  <c r="Z43" i="26"/>
  <c r="Z42" i="26"/>
  <c r="Z41" i="26"/>
  <c r="Z40" i="26"/>
  <c r="Z39" i="26"/>
  <c r="X76" i="26"/>
  <c r="X75" i="26"/>
  <c r="X74" i="26"/>
  <c r="X73" i="26"/>
  <c r="X72" i="26"/>
  <c r="X71" i="26"/>
  <c r="X70" i="26"/>
  <c r="X69" i="26"/>
  <c r="X68" i="26"/>
  <c r="X67" i="26"/>
  <c r="X66" i="26"/>
  <c r="X65" i="26"/>
  <c r="X64" i="26"/>
  <c r="X63" i="26"/>
  <c r="X62" i="26"/>
  <c r="X61" i="26"/>
  <c r="L61" i="26" s="1"/>
  <c r="X60" i="26"/>
  <c r="X59" i="26"/>
  <c r="X58" i="26"/>
  <c r="X57" i="26"/>
  <c r="X56" i="26"/>
  <c r="X55" i="26"/>
  <c r="X54" i="26"/>
  <c r="X53" i="26"/>
  <c r="X52" i="26"/>
  <c r="X51" i="26"/>
  <c r="X50" i="26"/>
  <c r="X49" i="26"/>
  <c r="X48" i="26"/>
  <c r="X47" i="26"/>
  <c r="X46" i="26"/>
  <c r="X45" i="26"/>
  <c r="X44" i="26"/>
  <c r="X43" i="26"/>
  <c r="X42" i="26"/>
  <c r="X41" i="26"/>
  <c r="X40" i="26"/>
  <c r="X39" i="26"/>
  <c r="V40" i="26"/>
  <c r="V41" i="26"/>
  <c r="V42" i="26"/>
  <c r="V43" i="26"/>
  <c r="V44" i="26"/>
  <c r="V45" i="26"/>
  <c r="V46" i="26"/>
  <c r="V47" i="26"/>
  <c r="L47" i="26" s="1"/>
  <c r="V48" i="26"/>
  <c r="V49" i="26"/>
  <c r="V50" i="26"/>
  <c r="V51" i="26"/>
  <c r="V52" i="26"/>
  <c r="V53" i="26"/>
  <c r="L53" i="26" s="1"/>
  <c r="V54" i="26"/>
  <c r="V55" i="26"/>
  <c r="V56" i="26"/>
  <c r="V57" i="26"/>
  <c r="V58" i="26"/>
  <c r="V59" i="26"/>
  <c r="V60" i="26"/>
  <c r="V61" i="26"/>
  <c r="V62" i="26"/>
  <c r="V63" i="26"/>
  <c r="V64" i="26"/>
  <c r="V65" i="26"/>
  <c r="V66" i="26"/>
  <c r="V67" i="26"/>
  <c r="V68" i="26"/>
  <c r="V69" i="26"/>
  <c r="V70" i="26"/>
  <c r="V71" i="26"/>
  <c r="L71" i="26" s="1"/>
  <c r="V72" i="26"/>
  <c r="V73" i="26"/>
  <c r="V74" i="26"/>
  <c r="V75" i="26"/>
  <c r="V76" i="26"/>
  <c r="V39" i="26"/>
  <c r="AB38" i="26"/>
  <c r="Z38" i="26"/>
  <c r="X38" i="26"/>
  <c r="V38" i="26"/>
  <c r="AB37" i="26"/>
  <c r="Z37" i="26"/>
  <c r="X37" i="26"/>
  <c r="V37" i="26"/>
  <c r="L37" i="26" s="1"/>
  <c r="AB36" i="26"/>
  <c r="Z36" i="26"/>
  <c r="X36" i="26"/>
  <c r="V36" i="26"/>
  <c r="AB35" i="26"/>
  <c r="Z35" i="26"/>
  <c r="X35" i="26"/>
  <c r="V35" i="26"/>
  <c r="L35" i="26" s="1"/>
  <c r="AB34" i="26"/>
  <c r="Z34" i="26"/>
  <c r="X34" i="26"/>
  <c r="V34" i="26"/>
  <c r="AB33" i="26"/>
  <c r="Z33" i="26"/>
  <c r="X33" i="26"/>
  <c r="V33" i="26"/>
  <c r="L33" i="26" s="1"/>
  <c r="AB32" i="26"/>
  <c r="Z32" i="26"/>
  <c r="X32" i="26"/>
  <c r="V32" i="26"/>
  <c r="AB31" i="26"/>
  <c r="Z31" i="26"/>
  <c r="X31" i="26"/>
  <c r="V31" i="26"/>
  <c r="AB30" i="26"/>
  <c r="Z30" i="26"/>
  <c r="X30" i="26"/>
  <c r="V30" i="26"/>
  <c r="AB29" i="26"/>
  <c r="Z29" i="26"/>
  <c r="X29" i="26"/>
  <c r="V29" i="26"/>
  <c r="L29" i="26" s="1"/>
  <c r="AB28" i="26"/>
  <c r="Z28" i="26"/>
  <c r="X28" i="26"/>
  <c r="V28" i="26"/>
  <c r="AB27" i="26"/>
  <c r="Z27" i="26"/>
  <c r="X27" i="26"/>
  <c r="V27" i="26"/>
  <c r="L27" i="26" s="1"/>
  <c r="AB26" i="26"/>
  <c r="Z26" i="26"/>
  <c r="X26" i="26"/>
  <c r="V26" i="26"/>
  <c r="AB25" i="26"/>
  <c r="Z25" i="26"/>
  <c r="X25" i="26"/>
  <c r="V25" i="26"/>
  <c r="AB24" i="26"/>
  <c r="Z24" i="26"/>
  <c r="X24" i="26"/>
  <c r="V24" i="26"/>
  <c r="AB23" i="26"/>
  <c r="Z23" i="26"/>
  <c r="X23" i="26"/>
  <c r="V23" i="26"/>
  <c r="L23" i="26" s="1"/>
  <c r="AB22" i="26"/>
  <c r="Z22" i="26"/>
  <c r="X22" i="26"/>
  <c r="V22" i="26"/>
  <c r="AB21" i="26"/>
  <c r="Z21" i="26"/>
  <c r="X21" i="26"/>
  <c r="V21" i="26"/>
  <c r="L21" i="26" s="1"/>
  <c r="AB20" i="26"/>
  <c r="Z20" i="26"/>
  <c r="X20" i="26"/>
  <c r="V20" i="26"/>
  <c r="AB19" i="26"/>
  <c r="Z19" i="26"/>
  <c r="X19" i="26"/>
  <c r="V19" i="26"/>
  <c r="L19" i="26" s="1"/>
  <c r="AB18" i="26"/>
  <c r="Z18" i="26"/>
  <c r="X18" i="26"/>
  <c r="V18" i="26"/>
  <c r="L18" i="26" s="1"/>
  <c r="AB17" i="26"/>
  <c r="Z17" i="26"/>
  <c r="X17" i="26"/>
  <c r="V17" i="26"/>
  <c r="AB16" i="26"/>
  <c r="Z16" i="26"/>
  <c r="X16" i="26"/>
  <c r="V16" i="26"/>
  <c r="AB15" i="26"/>
  <c r="Z15" i="26"/>
  <c r="X15" i="26"/>
  <c r="V15" i="26"/>
  <c r="L15" i="26" s="1"/>
  <c r="AB14" i="26"/>
  <c r="Z14" i="26"/>
  <c r="X14" i="26"/>
  <c r="V14" i="26"/>
  <c r="AB13" i="26"/>
  <c r="Z13" i="26"/>
  <c r="X13" i="26"/>
  <c r="V13" i="26"/>
  <c r="L13" i="26" s="1"/>
  <c r="AB12" i="26"/>
  <c r="Z12" i="26"/>
  <c r="X12" i="26"/>
  <c r="V12" i="26"/>
  <c r="AB11" i="26"/>
  <c r="Z11" i="26"/>
  <c r="X11" i="26"/>
  <c r="V11" i="26"/>
  <c r="L11" i="26" s="1"/>
  <c r="AB10" i="26"/>
  <c r="Z10" i="26"/>
  <c r="X10" i="26"/>
  <c r="V10" i="26"/>
  <c r="L10" i="26" s="1"/>
  <c r="AB9" i="26"/>
  <c r="Z9" i="26"/>
  <c r="X9" i="26"/>
  <c r="V9" i="26"/>
  <c r="L9" i="26" s="1"/>
  <c r="AB8" i="26"/>
  <c r="Z8" i="26"/>
  <c r="X8" i="26"/>
  <c r="V8" i="26"/>
  <c r="AB7" i="26"/>
  <c r="Z7" i="26"/>
  <c r="X7" i="26"/>
  <c r="V7" i="26"/>
  <c r="L7" i="26" s="1"/>
  <c r="AB6" i="26"/>
  <c r="Z6" i="26"/>
  <c r="X6" i="26"/>
  <c r="V6" i="26"/>
  <c r="AB5" i="26"/>
  <c r="Z5" i="26"/>
  <c r="X5" i="26"/>
  <c r="V5" i="26"/>
  <c r="L5" i="26" s="1"/>
  <c r="AB4" i="26"/>
  <c r="Z4" i="26"/>
  <c r="X4" i="26"/>
  <c r="V4" i="26"/>
  <c r="AB3" i="26"/>
  <c r="Z3" i="26"/>
  <c r="X3" i="26"/>
  <c r="V3" i="26"/>
  <c r="L3" i="26" s="1"/>
  <c r="AB2" i="26"/>
  <c r="Z2" i="26"/>
  <c r="X2" i="26"/>
  <c r="V2" i="26"/>
  <c r="L2" i="26" s="1"/>
  <c r="L39" i="26"/>
  <c r="L40" i="26"/>
  <c r="L41" i="26"/>
  <c r="L42" i="26"/>
  <c r="L43" i="26"/>
  <c r="L44" i="26"/>
  <c r="L45" i="26"/>
  <c r="L46" i="26"/>
  <c r="L48" i="26"/>
  <c r="L49" i="26"/>
  <c r="L50" i="26"/>
  <c r="L51" i="26"/>
  <c r="L52" i="26"/>
  <c r="L54" i="26"/>
  <c r="L56" i="26"/>
  <c r="L57" i="26"/>
  <c r="L58" i="26"/>
  <c r="L59" i="26"/>
  <c r="L60" i="26"/>
  <c r="L62" i="26"/>
  <c r="L64" i="26"/>
  <c r="L65" i="26"/>
  <c r="L66" i="26"/>
  <c r="L67" i="26"/>
  <c r="L68" i="26"/>
  <c r="L69" i="26"/>
  <c r="L70" i="26"/>
  <c r="L72" i="26"/>
  <c r="L73" i="26"/>
  <c r="L74" i="26"/>
  <c r="L75" i="26"/>
  <c r="L76" i="26"/>
  <c r="L4" i="26"/>
  <c r="L6" i="26"/>
  <c r="L8" i="26"/>
  <c r="L12" i="26"/>
  <c r="L14" i="26"/>
  <c r="L16" i="26"/>
  <c r="L17" i="26"/>
  <c r="L20" i="26"/>
  <c r="L22" i="26"/>
  <c r="L24" i="26"/>
  <c r="L25" i="26"/>
  <c r="L26" i="26"/>
  <c r="L28" i="26"/>
  <c r="L30" i="26"/>
  <c r="L31" i="26"/>
  <c r="L32" i="26"/>
  <c r="L34" i="26"/>
  <c r="L36" i="26"/>
  <c r="L38" i="26"/>
  <c r="AD38" i="26"/>
  <c r="AD37" i="26"/>
  <c r="AD36" i="26"/>
  <c r="AD35" i="26"/>
  <c r="AD34" i="26"/>
  <c r="AD33" i="26"/>
  <c r="AD32" i="26"/>
  <c r="AD31" i="26"/>
  <c r="AD30" i="26"/>
  <c r="AD29" i="26"/>
  <c r="AD28" i="26"/>
  <c r="AD27" i="26"/>
  <c r="AD26" i="26"/>
  <c r="AD25" i="26"/>
  <c r="AD24" i="26"/>
  <c r="AD23" i="26"/>
  <c r="AD22" i="26"/>
  <c r="AD21" i="26"/>
  <c r="AD20" i="26"/>
  <c r="AD19" i="26"/>
  <c r="AD18" i="26"/>
  <c r="AD17" i="26"/>
  <c r="AD16" i="26"/>
  <c r="AD15" i="26"/>
  <c r="AD14" i="26"/>
  <c r="AD13" i="26"/>
  <c r="AD12" i="26"/>
  <c r="AD11" i="26"/>
  <c r="AD10" i="26"/>
  <c r="AD9" i="26"/>
  <c r="AD8" i="26"/>
  <c r="AD7" i="26"/>
  <c r="AD6" i="26"/>
  <c r="AD5" i="26"/>
  <c r="AD4" i="26"/>
  <c r="AD3" i="26"/>
  <c r="AD2" i="26"/>
  <c r="AA3" i="26" a="1"/>
  <c r="AA3" i="26" s="1"/>
  <c r="AC3" i="26" a="1"/>
  <c r="AC3" i="26" s="1"/>
  <c r="W4" i="26" a="1"/>
  <c r="W4" i="26" s="1"/>
  <c r="Y4" i="26" a="1"/>
  <c r="Y4" i="26" s="1"/>
  <c r="AA4" i="26" a="1"/>
  <c r="AA4" i="26" s="1"/>
  <c r="AC4" i="26" a="1"/>
  <c r="AC4" i="26" s="1"/>
  <c r="Y5" i="26" a="1"/>
  <c r="Y5" i="26" s="1"/>
  <c r="AA5" i="26" a="1"/>
  <c r="AA5" i="26" s="1"/>
  <c r="AC5" i="26" a="1"/>
  <c r="AC5" i="26" s="1"/>
  <c r="W6" i="26" a="1"/>
  <c r="W6" i="26" s="1"/>
  <c r="Y6" i="26" a="1"/>
  <c r="Y6" i="26" s="1"/>
  <c r="AA6" i="26" a="1"/>
  <c r="AA6" i="26" s="1"/>
  <c r="AC6" i="26" a="1"/>
  <c r="AC6" i="26" s="1"/>
  <c r="Y7" i="26" a="1"/>
  <c r="Y7" i="26" s="1"/>
  <c r="AA7" i="26" a="1"/>
  <c r="AA7" i="26" s="1"/>
  <c r="AC7" i="26" a="1"/>
  <c r="AC7" i="26" s="1"/>
  <c r="W8" i="26" a="1"/>
  <c r="W8" i="26" s="1"/>
  <c r="Y8" i="26" a="1"/>
  <c r="Y8" i="26" s="1"/>
  <c r="AA8" i="26" a="1"/>
  <c r="AA8" i="26" s="1"/>
  <c r="AC8" i="26" a="1"/>
  <c r="AC8" i="26" s="1"/>
  <c r="W9" i="26" a="1"/>
  <c r="W9" i="26" s="1"/>
  <c r="Y9" i="26" a="1"/>
  <c r="Y9" i="26" s="1"/>
  <c r="AA9" i="26" a="1"/>
  <c r="AA9" i="26" s="1"/>
  <c r="AC9" i="26" a="1"/>
  <c r="AC9" i="26" s="1"/>
  <c r="W10" i="26" a="1"/>
  <c r="W10" i="26" s="1"/>
  <c r="Y10" i="26" a="1"/>
  <c r="Y10" i="26" s="1"/>
  <c r="AA10" i="26" a="1"/>
  <c r="AA10" i="26" s="1"/>
  <c r="AC10" i="26" a="1"/>
  <c r="AC10" i="26" s="1"/>
  <c r="Y11" i="26" a="1"/>
  <c r="Y11" i="26" s="1"/>
  <c r="AA11" i="26" a="1"/>
  <c r="AA11" i="26" s="1"/>
  <c r="AC11" i="26" a="1"/>
  <c r="AC11" i="26" s="1"/>
  <c r="AC12" i="26" a="1"/>
  <c r="AC12" i="26" s="1"/>
  <c r="Y13" i="26" a="1"/>
  <c r="Y13" i="26" s="1"/>
  <c r="AA13" i="26" a="1"/>
  <c r="AA13" i="26" s="1"/>
  <c r="AC13" i="26" a="1"/>
  <c r="AC13" i="26" s="1"/>
  <c r="AA14" i="26" a="1"/>
  <c r="AA14" i="26" s="1"/>
  <c r="AC14" i="26" a="1"/>
  <c r="AC14" i="26" s="1"/>
  <c r="Y15" i="26" a="1"/>
  <c r="Y15" i="26" s="1"/>
  <c r="AA15" i="26" a="1"/>
  <c r="AA15" i="26" s="1"/>
  <c r="AC15" i="26" a="1"/>
  <c r="AC15" i="26" s="1"/>
  <c r="W16" i="26" a="1"/>
  <c r="W16" i="26" s="1"/>
  <c r="Y16" i="26" a="1"/>
  <c r="Y16" i="26" s="1"/>
  <c r="AA16" i="26" a="1"/>
  <c r="AA16" i="26" s="1"/>
  <c r="AC16" i="26" a="1"/>
  <c r="AC16" i="26" s="1"/>
  <c r="W17" i="26" a="1"/>
  <c r="W17" i="26" s="1"/>
  <c r="Y17" i="26" a="1"/>
  <c r="Y17" i="26" s="1"/>
  <c r="AA17" i="26" a="1"/>
  <c r="AA17" i="26" s="1"/>
  <c r="AC17" i="26" a="1"/>
  <c r="AC17" i="26" s="1"/>
  <c r="AA18" i="26" a="1"/>
  <c r="AA18" i="26" s="1"/>
  <c r="AC18" i="26" a="1"/>
  <c r="AC18" i="26" s="1"/>
  <c r="Y19" i="26" a="1"/>
  <c r="Y19" i="26" s="1"/>
  <c r="AA19" i="26" a="1"/>
  <c r="AA19" i="26" s="1"/>
  <c r="AC19" i="26" a="1"/>
  <c r="AC19" i="26" s="1"/>
  <c r="Y20" i="26" a="1"/>
  <c r="Y20" i="26" s="1"/>
  <c r="AA20" i="26" a="1"/>
  <c r="AA20" i="26" s="1"/>
  <c r="AC20" i="26" a="1"/>
  <c r="AC20" i="26" s="1"/>
  <c r="AA21" i="26" a="1"/>
  <c r="AA21" i="26" s="1"/>
  <c r="AC21" i="26" a="1"/>
  <c r="AC21" i="26" s="1"/>
  <c r="W22" i="26" a="1"/>
  <c r="W22" i="26" s="1"/>
  <c r="Y22" i="26" a="1"/>
  <c r="Y22" i="26" s="1"/>
  <c r="AA22" i="26" a="1"/>
  <c r="AA22" i="26" s="1"/>
  <c r="AC22" i="26" a="1"/>
  <c r="AC22" i="26" s="1"/>
  <c r="W23" i="26" a="1"/>
  <c r="W23" i="26" s="1"/>
  <c r="Y23" i="26" a="1"/>
  <c r="Y23" i="26" s="1"/>
  <c r="AA23" i="26" a="1"/>
  <c r="AA23" i="26" s="1"/>
  <c r="AC23" i="26" a="1"/>
  <c r="AC23" i="26" s="1"/>
  <c r="Y24" i="26" a="1"/>
  <c r="Y24" i="26" s="1"/>
  <c r="AA24" i="26" a="1"/>
  <c r="AA24" i="26" s="1"/>
  <c r="AC24" i="26" a="1"/>
  <c r="AC24" i="26" s="1"/>
  <c r="W25" i="26" a="1"/>
  <c r="W25" i="26" s="1"/>
  <c r="Y25" i="26" a="1"/>
  <c r="Y25" i="26" s="1"/>
  <c r="AA25" i="26" a="1"/>
  <c r="AA25" i="26" s="1"/>
  <c r="AC25" i="26" a="1"/>
  <c r="AC25" i="26" s="1"/>
  <c r="AA26" i="26" a="1"/>
  <c r="AA26" i="26" s="1"/>
  <c r="AC26" i="26" a="1"/>
  <c r="AC26" i="26" s="1"/>
  <c r="W27" i="26" a="1"/>
  <c r="W27" i="26" s="1"/>
  <c r="Y27" i="26" a="1"/>
  <c r="Y27" i="26" s="1"/>
  <c r="AA27" i="26" a="1"/>
  <c r="AA27" i="26" s="1"/>
  <c r="AC27" i="26" a="1"/>
  <c r="AC27" i="26" s="1"/>
  <c r="Y28" i="26" a="1"/>
  <c r="Y28" i="26" s="1"/>
  <c r="AA28" i="26" a="1"/>
  <c r="AA28" i="26" s="1"/>
  <c r="AC28" i="26" a="1"/>
  <c r="AC28" i="26" s="1"/>
  <c r="Y29" i="26" a="1"/>
  <c r="Y29" i="26" s="1"/>
  <c r="AA29" i="26" a="1"/>
  <c r="AA29" i="26" s="1"/>
  <c r="AC29" i="26" a="1"/>
  <c r="AC29" i="26" s="1"/>
  <c r="Y30" i="26" a="1"/>
  <c r="Y30" i="26" s="1"/>
  <c r="AA30" i="26" a="1"/>
  <c r="AA30" i="26" s="1"/>
  <c r="AC30" i="26" a="1"/>
  <c r="AC30" i="26" s="1"/>
  <c r="W31" i="26" a="1"/>
  <c r="W31" i="26" s="1"/>
  <c r="Y31" i="26" a="1"/>
  <c r="Y31" i="26" s="1"/>
  <c r="AA31" i="26" a="1"/>
  <c r="AA31" i="26" s="1"/>
  <c r="AC31" i="26" a="1"/>
  <c r="AC31" i="26" s="1"/>
  <c r="W32" i="26" a="1"/>
  <c r="W32" i="26" s="1"/>
  <c r="Y32" i="26" a="1"/>
  <c r="Y32" i="26" s="1"/>
  <c r="AA32" i="26" a="1"/>
  <c r="AA32" i="26" s="1"/>
  <c r="AC32" i="26" a="1"/>
  <c r="AC32" i="26" s="1"/>
  <c r="Y33" i="26" a="1"/>
  <c r="Y33" i="26" s="1"/>
  <c r="AA33" i="26" a="1"/>
  <c r="AA33" i="26" s="1"/>
  <c r="AC33" i="26" a="1"/>
  <c r="AC33" i="26" s="1"/>
  <c r="AA34" i="26" a="1"/>
  <c r="AA34" i="26" s="1"/>
  <c r="AC34" i="26" a="1"/>
  <c r="AC34" i="26" s="1"/>
  <c r="AC35" i="26" a="1"/>
  <c r="AC35" i="26" s="1"/>
  <c r="AC37" i="26" a="1"/>
  <c r="AC37" i="26" s="1"/>
  <c r="W38" i="26" a="1"/>
  <c r="W38" i="26" s="1"/>
  <c r="Y38" i="26" a="1"/>
  <c r="Y38" i="26" s="1"/>
  <c r="AA38" i="26" a="1"/>
  <c r="AA38" i="26" s="1"/>
  <c r="AC38" i="26" a="1"/>
  <c r="AC38" i="26" s="1"/>
  <c r="W39" i="26" a="1"/>
  <c r="W39" i="26" s="1"/>
  <c r="Y39" i="26" a="1"/>
  <c r="Y39" i="26" s="1"/>
  <c r="AA39" i="26" a="1"/>
  <c r="AA39" i="26" s="1"/>
  <c r="AC39" i="26" a="1"/>
  <c r="AC39" i="26" s="1"/>
  <c r="AA40" i="26" a="1"/>
  <c r="AA40" i="26" s="1"/>
  <c r="AC40" i="26" a="1"/>
  <c r="AC40" i="26" s="1"/>
  <c r="W41" i="26" a="1"/>
  <c r="W41" i="26" s="1"/>
  <c r="Y41" i="26" a="1"/>
  <c r="Y41" i="26" s="1"/>
  <c r="AA41" i="26" a="1"/>
  <c r="AA41" i="26" s="1"/>
  <c r="AC41" i="26" a="1"/>
  <c r="AC41" i="26" s="1"/>
  <c r="Y42" i="26" a="1"/>
  <c r="Y42" i="26" s="1"/>
  <c r="AA42" i="26" a="1"/>
  <c r="AA42" i="26" s="1"/>
  <c r="AC42" i="26" a="1"/>
  <c r="AC42" i="26" s="1"/>
  <c r="W43" i="26" a="1"/>
  <c r="W43" i="26" s="1"/>
  <c r="Y43" i="26" a="1"/>
  <c r="Y43" i="26" s="1"/>
  <c r="AA43" i="26" a="1"/>
  <c r="AA43" i="26" s="1"/>
  <c r="AC43" i="26" a="1"/>
  <c r="AC43" i="26" s="1"/>
  <c r="Y44" i="26" a="1"/>
  <c r="Y44" i="26" s="1"/>
  <c r="AA44" i="26" a="1"/>
  <c r="AA44" i="26" s="1"/>
  <c r="AC44" i="26" a="1"/>
  <c r="AC44" i="26" s="1"/>
  <c r="W45" i="26" a="1"/>
  <c r="W45" i="26" s="1"/>
  <c r="Y45" i="26" a="1"/>
  <c r="Y45" i="26" s="1"/>
  <c r="AA45" i="26" a="1"/>
  <c r="AA45" i="26" s="1"/>
  <c r="AC45" i="26" a="1"/>
  <c r="AC45" i="26" s="1"/>
  <c r="W46" i="26" a="1"/>
  <c r="W46" i="26" s="1"/>
  <c r="Y46" i="26" a="1"/>
  <c r="Y46" i="26" s="1"/>
  <c r="AA46" i="26" a="1"/>
  <c r="AA46" i="26" s="1"/>
  <c r="AC46" i="26" a="1"/>
  <c r="AC46" i="26" s="1"/>
  <c r="W47" i="26" a="1"/>
  <c r="W47" i="26" s="1"/>
  <c r="Y47" i="26" a="1"/>
  <c r="Y47" i="26" s="1"/>
  <c r="AA47" i="26" a="1"/>
  <c r="AA47" i="26" s="1"/>
  <c r="AC47" i="26" a="1"/>
  <c r="AC47" i="26" s="1"/>
  <c r="Y48" i="26" a="1"/>
  <c r="Y48" i="26" s="1"/>
  <c r="AA48" i="26" a="1"/>
  <c r="AA48" i="26" s="1"/>
  <c r="AC48" i="26" a="1"/>
  <c r="AC48" i="26" s="1"/>
  <c r="AA49" i="26" a="1"/>
  <c r="AA49" i="26" s="1"/>
  <c r="AC49" i="26" a="1"/>
  <c r="AC49" i="26" s="1"/>
  <c r="Y50" i="26" a="1"/>
  <c r="Y50" i="26" s="1"/>
  <c r="AA50" i="26" a="1"/>
  <c r="AA50" i="26" s="1"/>
  <c r="AC50" i="26" a="1"/>
  <c r="AC50" i="26" s="1"/>
  <c r="Y51" i="26" a="1"/>
  <c r="Y51" i="26" s="1"/>
  <c r="AA51" i="26" a="1"/>
  <c r="AA51" i="26" s="1"/>
  <c r="AC51" i="26" a="1"/>
  <c r="AC51" i="26" s="1"/>
  <c r="W52" i="26" a="1"/>
  <c r="W52" i="26" s="1"/>
  <c r="Y52" i="26" a="1"/>
  <c r="Y52" i="26" s="1"/>
  <c r="AA52" i="26" a="1"/>
  <c r="AA52" i="26" s="1"/>
  <c r="AC52" i="26" a="1"/>
  <c r="AC52" i="26" s="1"/>
  <c r="W53" i="26" a="1"/>
  <c r="W53" i="26" s="1"/>
  <c r="Y53" i="26" a="1"/>
  <c r="Y53" i="26" s="1"/>
  <c r="AA53" i="26" a="1"/>
  <c r="AA53" i="26" s="1"/>
  <c r="AC53" i="26" a="1"/>
  <c r="AC53" i="26" s="1"/>
  <c r="W54" i="26" a="1"/>
  <c r="W54" i="26" s="1"/>
  <c r="Y54" i="26" a="1"/>
  <c r="Y54" i="26" s="1"/>
  <c r="AA54" i="26" a="1"/>
  <c r="AA54" i="26" s="1"/>
  <c r="AC54" i="26" a="1"/>
  <c r="AC54" i="26" s="1"/>
  <c r="AA55" i="26" a="1"/>
  <c r="AA55" i="26" s="1"/>
  <c r="AC55" i="26" a="1"/>
  <c r="AC55" i="26" s="1"/>
  <c r="Y56" i="26" a="1"/>
  <c r="Y56" i="26" s="1"/>
  <c r="AA56" i="26" a="1"/>
  <c r="AA56" i="26" s="1"/>
  <c r="AC56" i="26" a="1"/>
  <c r="AC56" i="26" s="1"/>
  <c r="Y57" i="26" a="1"/>
  <c r="Y57" i="26" s="1"/>
  <c r="AA57" i="26" a="1"/>
  <c r="AA57" i="26" s="1"/>
  <c r="AC57" i="26" a="1"/>
  <c r="AC57" i="26" s="1"/>
  <c r="AA58" i="26" a="1"/>
  <c r="AA58" i="26" s="1"/>
  <c r="AC58" i="26" a="1"/>
  <c r="AC58" i="26" s="1"/>
  <c r="AA59" i="26" a="1"/>
  <c r="AA59" i="26" s="1"/>
  <c r="AC59" i="26" a="1"/>
  <c r="AC59" i="26" s="1"/>
  <c r="W60" i="26" a="1"/>
  <c r="W60" i="26" s="1"/>
  <c r="Y60" i="26" a="1"/>
  <c r="Y60" i="26" s="1"/>
  <c r="AA60" i="26" a="1"/>
  <c r="AA60" i="26" s="1"/>
  <c r="AC60" i="26" a="1"/>
  <c r="AC60" i="26" s="1"/>
  <c r="Y61" i="26" a="1"/>
  <c r="Y61" i="26" s="1"/>
  <c r="AA61" i="26" a="1"/>
  <c r="AA61" i="26" s="1"/>
  <c r="AC61" i="26" a="1"/>
  <c r="AC61" i="26" s="1"/>
  <c r="W62" i="26" a="1"/>
  <c r="W62" i="26" s="1"/>
  <c r="Y62" i="26" a="1"/>
  <c r="Y62" i="26" s="1"/>
  <c r="AA62" i="26" a="1"/>
  <c r="AA62" i="26" s="1"/>
  <c r="AC62" i="26" a="1"/>
  <c r="AC62" i="26" s="1"/>
  <c r="AA63" i="26" a="1"/>
  <c r="AA63" i="26" s="1"/>
  <c r="AC63" i="26" a="1"/>
  <c r="AC63" i="26" s="1"/>
  <c r="W64" i="26" a="1"/>
  <c r="W64" i="26" s="1"/>
  <c r="Y64" i="26" a="1"/>
  <c r="Y64" i="26" s="1"/>
  <c r="AA64" i="26" a="1"/>
  <c r="AA64" i="26" s="1"/>
  <c r="AC64" i="26" a="1"/>
  <c r="AC64" i="26" s="1"/>
  <c r="Y65" i="26" a="1"/>
  <c r="Y65" i="26" s="1"/>
  <c r="AA65" i="26" a="1"/>
  <c r="AA65" i="26" s="1"/>
  <c r="AC65" i="26" a="1"/>
  <c r="AC65" i="26" s="1"/>
  <c r="Y66" i="26" a="1"/>
  <c r="Y66" i="26" s="1"/>
  <c r="AA66" i="26" a="1"/>
  <c r="AA66" i="26" s="1"/>
  <c r="AC66" i="26" a="1"/>
  <c r="AC66" i="26" s="1"/>
  <c r="Y67" i="26" a="1"/>
  <c r="Y67" i="26" s="1"/>
  <c r="AA67" i="26" a="1"/>
  <c r="AA67" i="26" s="1"/>
  <c r="AC67" i="26" a="1"/>
  <c r="AC67" i="26" s="1"/>
  <c r="W68" i="26" a="1"/>
  <c r="W68" i="26" s="1"/>
  <c r="Y68" i="26" a="1"/>
  <c r="Y68" i="26" s="1"/>
  <c r="AA68" i="26" a="1"/>
  <c r="AA68" i="26" s="1"/>
  <c r="AC68" i="26" a="1"/>
  <c r="AC68" i="26" s="1"/>
  <c r="W69" i="26" a="1"/>
  <c r="W69" i="26" s="1"/>
  <c r="Y69" i="26" a="1"/>
  <c r="Y69" i="26" s="1"/>
  <c r="AA69" i="26" a="1"/>
  <c r="AA69" i="26" s="1"/>
  <c r="AC69" i="26" a="1"/>
  <c r="AC69" i="26" s="1"/>
  <c r="Y70" i="26" a="1"/>
  <c r="Y70" i="26" s="1"/>
  <c r="AA70" i="26" a="1"/>
  <c r="AA70" i="26" s="1"/>
  <c r="AC70" i="26" a="1"/>
  <c r="AC70" i="26" s="1"/>
  <c r="Y71" i="26" a="1"/>
  <c r="Y71" i="26" s="1"/>
  <c r="AA71" i="26" a="1"/>
  <c r="AA71" i="26" s="1"/>
  <c r="AC71" i="26" a="1"/>
  <c r="AC71" i="26" s="1"/>
  <c r="AA72" i="26" a="1"/>
  <c r="AA72" i="26" s="1"/>
  <c r="AC72" i="26" a="1"/>
  <c r="AC72" i="26" s="1"/>
  <c r="AC73" i="26" a="1"/>
  <c r="AC73" i="26" s="1"/>
  <c r="AA74" i="26" a="1"/>
  <c r="AA74" i="26" s="1"/>
  <c r="AC74" i="26" a="1"/>
  <c r="AC74" i="26" s="1"/>
  <c r="AA75" i="26" a="1"/>
  <c r="AA75" i="26" s="1"/>
  <c r="AC75" i="26" a="1"/>
  <c r="AC75" i="26" s="1"/>
  <c r="Y76" i="26" a="1"/>
  <c r="Y76" i="26" s="1"/>
  <c r="AA76" i="26" a="1"/>
  <c r="AA76" i="26" s="1"/>
  <c r="AC76" i="26" a="1"/>
  <c r="AC76" i="26" s="1"/>
  <c r="AC2" i="26" a="1"/>
  <c r="AC2" i="26" s="1"/>
  <c r="W2" i="26" a="1"/>
  <c r="W2" i="26" s="1"/>
  <c r="Y2" i="26" a="1"/>
  <c r="Y2" i="26" s="1"/>
  <c r="AA2" i="26" a="1"/>
  <c r="AA2" i="26" s="1"/>
  <c r="P3" i="26" a="1"/>
  <c r="P3" i="26" s="1"/>
  <c r="U3" i="26" s="1" a="1"/>
  <c r="U3" i="26" s="1"/>
  <c r="P4" i="26" a="1"/>
  <c r="P4" i="26" s="1"/>
  <c r="U4" i="26" s="1" a="1"/>
  <c r="U4" i="26" s="1"/>
  <c r="P5" i="26" a="1"/>
  <c r="P5" i="26" s="1"/>
  <c r="U5" i="26" s="1" a="1"/>
  <c r="U5" i="26" s="1"/>
  <c r="P6" i="26" a="1"/>
  <c r="P6" i="26" s="1"/>
  <c r="U6" i="26" s="1" a="1"/>
  <c r="U6" i="26" s="1"/>
  <c r="P7" i="26" a="1"/>
  <c r="P7" i="26" s="1"/>
  <c r="U7" i="26" s="1" a="1"/>
  <c r="U7" i="26" s="1"/>
  <c r="P8" i="26" a="1"/>
  <c r="P8" i="26" s="1"/>
  <c r="U8" i="26" s="1" a="1"/>
  <c r="U8" i="26" s="1"/>
  <c r="P9" i="26" a="1"/>
  <c r="P9" i="26" s="1"/>
  <c r="U9" i="26" s="1" a="1"/>
  <c r="U9" i="26" s="1"/>
  <c r="P10" i="26" a="1"/>
  <c r="P10" i="26" s="1"/>
  <c r="U10" i="26" s="1" a="1"/>
  <c r="U10" i="26" s="1"/>
  <c r="P11" i="26" a="1"/>
  <c r="P11" i="26" s="1"/>
  <c r="U11" i="26" s="1" a="1"/>
  <c r="U11" i="26" s="1"/>
  <c r="P12" i="26" a="1"/>
  <c r="P12" i="26" s="1"/>
  <c r="U12" i="26" s="1" a="1"/>
  <c r="U12" i="26" s="1"/>
  <c r="P13" i="26" a="1"/>
  <c r="P13" i="26" s="1"/>
  <c r="U13" i="26" s="1" a="1"/>
  <c r="U13" i="26" s="1"/>
  <c r="P14" i="26" a="1"/>
  <c r="P14" i="26" s="1"/>
  <c r="U14" i="26" s="1" a="1"/>
  <c r="U14" i="26" s="1"/>
  <c r="P15" i="26" a="1"/>
  <c r="P15" i="26" s="1"/>
  <c r="U15" i="26" s="1" a="1"/>
  <c r="U15" i="26" s="1"/>
  <c r="P16" i="26" a="1"/>
  <c r="P16" i="26" s="1"/>
  <c r="U16" i="26" s="1" a="1"/>
  <c r="U16" i="26" s="1"/>
  <c r="P17" i="26" a="1"/>
  <c r="P17" i="26" s="1"/>
  <c r="U17" i="26" s="1" a="1"/>
  <c r="U17" i="26" s="1"/>
  <c r="P18" i="26" a="1"/>
  <c r="P18" i="26" s="1"/>
  <c r="U18" i="26" s="1" a="1"/>
  <c r="U18" i="26" s="1"/>
  <c r="P19" i="26" a="1"/>
  <c r="P19" i="26" s="1"/>
  <c r="U19" i="26" s="1" a="1"/>
  <c r="U19" i="26" s="1"/>
  <c r="P20" i="26" a="1"/>
  <c r="P20" i="26" s="1"/>
  <c r="U20" i="26" s="1" a="1"/>
  <c r="U20" i="26" s="1"/>
  <c r="P21" i="26" a="1"/>
  <c r="P21" i="26" s="1"/>
  <c r="U21" i="26" s="1" a="1"/>
  <c r="U21" i="26" s="1"/>
  <c r="P22" i="26" a="1"/>
  <c r="P22" i="26" s="1"/>
  <c r="U22" i="26" s="1" a="1"/>
  <c r="U22" i="26" s="1"/>
  <c r="P23" i="26" a="1"/>
  <c r="P23" i="26" s="1"/>
  <c r="U23" i="26" s="1" a="1"/>
  <c r="U23" i="26" s="1"/>
  <c r="P24" i="26" a="1"/>
  <c r="P24" i="26" s="1"/>
  <c r="U24" i="26" s="1" a="1"/>
  <c r="U24" i="26" s="1"/>
  <c r="P25" i="26" a="1"/>
  <c r="P25" i="26" s="1"/>
  <c r="U25" i="26" s="1" a="1"/>
  <c r="U25" i="26" s="1"/>
  <c r="P26" i="26" a="1"/>
  <c r="P26" i="26" s="1"/>
  <c r="U26" i="26" s="1" a="1"/>
  <c r="U26" i="26" s="1"/>
  <c r="P27" i="26" a="1"/>
  <c r="P27" i="26" s="1"/>
  <c r="U27" i="26" s="1" a="1"/>
  <c r="U27" i="26" s="1"/>
  <c r="P28" i="26" a="1"/>
  <c r="P28" i="26" s="1"/>
  <c r="U28" i="26" s="1" a="1"/>
  <c r="U28" i="26" s="1"/>
  <c r="P29" i="26" a="1"/>
  <c r="P29" i="26" s="1"/>
  <c r="U29" i="26" s="1" a="1"/>
  <c r="U29" i="26" s="1"/>
  <c r="P30" i="26" a="1"/>
  <c r="P30" i="26" s="1"/>
  <c r="U30" i="26" s="1" a="1"/>
  <c r="U30" i="26" s="1"/>
  <c r="P31" i="26" a="1"/>
  <c r="P31" i="26" s="1"/>
  <c r="U31" i="26" s="1" a="1"/>
  <c r="U31" i="26" s="1"/>
  <c r="P32" i="26" a="1"/>
  <c r="P32" i="26" s="1"/>
  <c r="U32" i="26" s="1" a="1"/>
  <c r="U32" i="26" s="1"/>
  <c r="P33" i="26" a="1"/>
  <c r="P33" i="26" s="1"/>
  <c r="U33" i="26" s="1" a="1"/>
  <c r="U33" i="26" s="1"/>
  <c r="P34" i="26" a="1"/>
  <c r="P34" i="26" s="1"/>
  <c r="U34" i="26" s="1" a="1"/>
  <c r="U34" i="26" s="1"/>
  <c r="P35" i="26" a="1"/>
  <c r="P35" i="26" s="1"/>
  <c r="U35" i="26" s="1" a="1"/>
  <c r="U35" i="26" s="1"/>
  <c r="P36" i="26" a="1"/>
  <c r="P36" i="26" s="1"/>
  <c r="U36" i="26" s="1" a="1"/>
  <c r="U36" i="26" s="1"/>
  <c r="P37" i="26" a="1"/>
  <c r="P37" i="26" s="1"/>
  <c r="U37" i="26" s="1" a="1"/>
  <c r="U37" i="26" s="1"/>
  <c r="P38" i="26" a="1"/>
  <c r="P38" i="26" s="1"/>
  <c r="U38" i="26" s="1" a="1"/>
  <c r="U38" i="26" s="1"/>
  <c r="P39" i="26" a="1"/>
  <c r="P39" i="26" s="1"/>
  <c r="U39" i="26" s="1" a="1"/>
  <c r="U39" i="26" s="1"/>
  <c r="P40" i="26" a="1"/>
  <c r="P40" i="26" s="1"/>
  <c r="U40" i="26" s="1" a="1"/>
  <c r="U40" i="26" s="1"/>
  <c r="P41" i="26" a="1"/>
  <c r="P41" i="26" s="1"/>
  <c r="U41" i="26" s="1" a="1"/>
  <c r="U41" i="26" s="1"/>
  <c r="P42" i="26" a="1"/>
  <c r="P42" i="26" s="1"/>
  <c r="U42" i="26" s="1" a="1"/>
  <c r="U42" i="26" s="1"/>
  <c r="P43" i="26" a="1"/>
  <c r="P43" i="26" s="1"/>
  <c r="U43" i="26" s="1" a="1"/>
  <c r="U43" i="26" s="1"/>
  <c r="P44" i="26" a="1"/>
  <c r="P44" i="26" s="1"/>
  <c r="U44" i="26" s="1" a="1"/>
  <c r="U44" i="26" s="1"/>
  <c r="P45" i="26" a="1"/>
  <c r="P45" i="26" s="1"/>
  <c r="U45" i="26" s="1" a="1"/>
  <c r="U45" i="26" s="1"/>
  <c r="P46" i="26" a="1"/>
  <c r="P46" i="26" s="1"/>
  <c r="U46" i="26" s="1" a="1"/>
  <c r="U46" i="26" s="1"/>
  <c r="P47" i="26" a="1"/>
  <c r="P47" i="26" s="1"/>
  <c r="U47" i="26" s="1" a="1"/>
  <c r="U47" i="26" s="1"/>
  <c r="P48" i="26" a="1"/>
  <c r="P48" i="26" s="1"/>
  <c r="U48" i="26" s="1" a="1"/>
  <c r="U48" i="26" s="1"/>
  <c r="P49" i="26" a="1"/>
  <c r="P49" i="26" s="1"/>
  <c r="U49" i="26" s="1" a="1"/>
  <c r="U49" i="26" s="1"/>
  <c r="P50" i="26" a="1"/>
  <c r="P50" i="26" s="1"/>
  <c r="U50" i="26" s="1" a="1"/>
  <c r="U50" i="26" s="1"/>
  <c r="P51" i="26" a="1"/>
  <c r="P51" i="26" s="1"/>
  <c r="U51" i="26" s="1" a="1"/>
  <c r="U51" i="26" s="1"/>
  <c r="P52" i="26" a="1"/>
  <c r="P52" i="26" s="1"/>
  <c r="U52" i="26" s="1" a="1"/>
  <c r="U52" i="26" s="1"/>
  <c r="P53" i="26" a="1"/>
  <c r="P53" i="26" s="1"/>
  <c r="U53" i="26" s="1" a="1"/>
  <c r="U53" i="26" s="1"/>
  <c r="P54" i="26" a="1"/>
  <c r="P54" i="26" s="1"/>
  <c r="U54" i="26" s="1" a="1"/>
  <c r="U54" i="26" s="1"/>
  <c r="P55" i="26" a="1"/>
  <c r="P55" i="26" s="1"/>
  <c r="U55" i="26" s="1" a="1"/>
  <c r="U55" i="26" s="1"/>
  <c r="P56" i="26" a="1"/>
  <c r="P56" i="26" s="1"/>
  <c r="U56" i="26" s="1" a="1"/>
  <c r="U56" i="26" s="1"/>
  <c r="P57" i="26" a="1"/>
  <c r="P57" i="26" s="1"/>
  <c r="U57" i="26" s="1" a="1"/>
  <c r="U57" i="26" s="1"/>
  <c r="P58" i="26" a="1"/>
  <c r="P58" i="26" s="1"/>
  <c r="U58" i="26" s="1" a="1"/>
  <c r="U58" i="26" s="1"/>
  <c r="P59" i="26" a="1"/>
  <c r="P59" i="26" s="1"/>
  <c r="U59" i="26" s="1" a="1"/>
  <c r="U59" i="26" s="1"/>
  <c r="P60" i="26" a="1"/>
  <c r="P60" i="26" s="1"/>
  <c r="U60" i="26" s="1" a="1"/>
  <c r="U60" i="26" s="1"/>
  <c r="P61" i="26" a="1"/>
  <c r="P61" i="26" s="1"/>
  <c r="U61" i="26" s="1" a="1"/>
  <c r="U61" i="26" s="1"/>
  <c r="P62" i="26" a="1"/>
  <c r="P62" i="26" s="1"/>
  <c r="U62" i="26" s="1" a="1"/>
  <c r="U62" i="26" s="1"/>
  <c r="P63" i="26" a="1"/>
  <c r="P63" i="26" s="1"/>
  <c r="U63" i="26" s="1" a="1"/>
  <c r="U63" i="26" s="1"/>
  <c r="P64" i="26" a="1"/>
  <c r="P64" i="26" s="1"/>
  <c r="U64" i="26" s="1" a="1"/>
  <c r="U64" i="26" s="1"/>
  <c r="P65" i="26" a="1"/>
  <c r="P65" i="26" s="1"/>
  <c r="U65" i="26" s="1" a="1"/>
  <c r="U65" i="26" s="1"/>
  <c r="P66" i="26" a="1"/>
  <c r="P66" i="26" s="1"/>
  <c r="U66" i="26" s="1" a="1"/>
  <c r="U66" i="26" s="1"/>
  <c r="P67" i="26" a="1"/>
  <c r="P67" i="26" s="1"/>
  <c r="U67" i="26" s="1" a="1"/>
  <c r="U67" i="26" s="1"/>
  <c r="P68" i="26" a="1"/>
  <c r="P68" i="26" s="1"/>
  <c r="U68" i="26" s="1" a="1"/>
  <c r="U68" i="26" s="1"/>
  <c r="P69" i="26" a="1"/>
  <c r="P69" i="26" s="1"/>
  <c r="U69" i="26" s="1" a="1"/>
  <c r="U69" i="26" s="1"/>
  <c r="P70" i="26" a="1"/>
  <c r="P70" i="26" s="1"/>
  <c r="U70" i="26" s="1" a="1"/>
  <c r="U70" i="26" s="1"/>
  <c r="P71" i="26" a="1"/>
  <c r="P71" i="26" s="1"/>
  <c r="U71" i="26" s="1" a="1"/>
  <c r="U71" i="26" s="1"/>
  <c r="P72" i="26" a="1"/>
  <c r="P72" i="26" s="1"/>
  <c r="U72" i="26" s="1" a="1"/>
  <c r="U72" i="26" s="1"/>
  <c r="P73" i="26" a="1"/>
  <c r="P73" i="26" s="1"/>
  <c r="U73" i="26" s="1" a="1"/>
  <c r="U73" i="26" s="1"/>
  <c r="P74" i="26" a="1"/>
  <c r="P74" i="26" s="1"/>
  <c r="U74" i="26" s="1" a="1"/>
  <c r="U74" i="26" s="1"/>
  <c r="P75" i="26" a="1"/>
  <c r="P75" i="26" s="1"/>
  <c r="U75" i="26" s="1" a="1"/>
  <c r="U75" i="26" s="1"/>
  <c r="P76" i="26" a="1"/>
  <c r="P76" i="26" s="1"/>
  <c r="U76" i="26" s="1" a="1"/>
  <c r="U76" i="26" s="1"/>
  <c r="P2" i="26" a="1"/>
  <c r="P2" i="26" s="1"/>
  <c r="U2" i="26" s="1" a="1"/>
  <c r="U2" i="26" s="1"/>
  <c r="K40" i="26"/>
  <c r="K41" i="26"/>
  <c r="K42" i="26"/>
  <c r="K43" i="26"/>
  <c r="K44" i="26"/>
  <c r="K45" i="26"/>
  <c r="K46" i="26"/>
  <c r="K47" i="26"/>
  <c r="K48" i="26"/>
  <c r="K49" i="26"/>
  <c r="K50" i="26"/>
  <c r="K51" i="26"/>
  <c r="K52" i="26"/>
  <c r="K53" i="26"/>
  <c r="K54" i="26"/>
  <c r="K55" i="26"/>
  <c r="K56" i="26"/>
  <c r="K57" i="26"/>
  <c r="K58" i="26"/>
  <c r="K59" i="26"/>
  <c r="K60" i="26"/>
  <c r="K61" i="26"/>
  <c r="K62" i="26"/>
  <c r="K63" i="26"/>
  <c r="K64" i="26"/>
  <c r="K65" i="26"/>
  <c r="K66" i="26"/>
  <c r="K67" i="26"/>
  <c r="K68" i="26"/>
  <c r="K69" i="26"/>
  <c r="K70" i="26"/>
  <c r="K71" i="26"/>
  <c r="K72" i="26"/>
  <c r="K73" i="26"/>
  <c r="K74" i="26"/>
  <c r="K75" i="26"/>
  <c r="K76" i="26"/>
  <c r="K39" i="26"/>
  <c r="I1123" i="10"/>
  <c r="I1121" i="10"/>
  <c r="I1119" i="10"/>
  <c r="I1117" i="10"/>
  <c r="I1091" i="10"/>
  <c r="I1081" i="10"/>
  <c r="I1076" i="10"/>
  <c r="I1075" i="10"/>
  <c r="I1073" i="10"/>
  <c r="I1071" i="10"/>
  <c r="I1063" i="10"/>
  <c r="I1056" i="10"/>
  <c r="I1052" i="10"/>
  <c r="I1051" i="10"/>
  <c r="I1040" i="10"/>
  <c r="I1034" i="10"/>
  <c r="I1032" i="10"/>
  <c r="I1020" i="10"/>
  <c r="I1019" i="10"/>
  <c r="I1015" i="10"/>
  <c r="I1012" i="10"/>
  <c r="I1011" i="10"/>
  <c r="I1002" i="10"/>
  <c r="I993" i="10"/>
  <c r="I992" i="10"/>
  <c r="I990" i="10"/>
  <c r="I977" i="10"/>
  <c r="I983" i="10"/>
  <c r="I960" i="10"/>
  <c r="I950" i="10"/>
  <c r="I949" i="10"/>
  <c r="I943" i="10"/>
  <c r="I944" i="10"/>
  <c r="I912" i="10"/>
  <c r="I898" i="10"/>
  <c r="I891" i="10"/>
  <c r="I879" i="10"/>
  <c r="I863" i="10"/>
  <c r="I862" i="10"/>
  <c r="I853" i="10"/>
  <c r="I844" i="10"/>
  <c r="I816" i="10"/>
  <c r="I815" i="10"/>
  <c r="I795" i="10"/>
  <c r="I799" i="10"/>
  <c r="I789" i="10"/>
  <c r="I788" i="10"/>
  <c r="I776" i="10"/>
  <c r="I770" i="10"/>
  <c r="I753" i="10"/>
  <c r="I729" i="10"/>
  <c r="I734" i="10"/>
  <c r="I724" i="10"/>
  <c r="I713" i="10"/>
  <c r="I701" i="10"/>
  <c r="I694" i="10"/>
  <c r="I688" i="10"/>
  <c r="I669" i="10"/>
  <c r="I663" i="10"/>
  <c r="I662" i="10"/>
  <c r="I661" i="10"/>
  <c r="I654" i="10"/>
  <c r="I651" i="10"/>
  <c r="I644" i="10"/>
  <c r="I627" i="10"/>
  <c r="I611" i="10"/>
  <c r="I610" i="10"/>
  <c r="I609" i="10"/>
  <c r="I603" i="10"/>
  <c r="I602" i="10"/>
  <c r="I581" i="10"/>
  <c r="I571" i="10"/>
  <c r="I553" i="10"/>
  <c r="I542" i="10"/>
  <c r="I536" i="10"/>
  <c r="I535" i="10"/>
  <c r="I534" i="10"/>
  <c r="I523" i="10"/>
  <c r="I517" i="10"/>
  <c r="I513" i="10"/>
  <c r="I512" i="10"/>
  <c r="I511" i="10"/>
  <c r="I508" i="10"/>
  <c r="I507" i="10"/>
  <c r="I493" i="10"/>
  <c r="I485" i="10"/>
  <c r="I475" i="10"/>
  <c r="I467" i="10"/>
  <c r="I456" i="10"/>
  <c r="I455" i="10"/>
  <c r="I432" i="10"/>
  <c r="I416" i="10"/>
  <c r="I415" i="10"/>
  <c r="I405" i="10"/>
  <c r="I404" i="10"/>
  <c r="I395" i="10"/>
  <c r="I394" i="10"/>
  <c r="I393" i="10"/>
  <c r="I381" i="10"/>
  <c r="I380" i="10"/>
  <c r="I346" i="10"/>
  <c r="I345" i="10"/>
  <c r="I334" i="10"/>
  <c r="I317" i="10"/>
  <c r="I316" i="10"/>
  <c r="I309" i="10"/>
  <c r="I308" i="10"/>
  <c r="I284" i="10"/>
  <c r="I272" i="10"/>
  <c r="I271" i="10"/>
  <c r="I270" i="10"/>
  <c r="I260" i="10"/>
  <c r="I246" i="10"/>
  <c r="I245" i="10"/>
  <c r="I239" i="10"/>
  <c r="I224" i="10"/>
  <c r="I223" i="10"/>
  <c r="I204" i="10"/>
  <c r="I178" i="10"/>
  <c r="I166" i="10"/>
  <c r="I165" i="10"/>
  <c r="I153" i="10"/>
  <c r="I140" i="10"/>
  <c r="I113" i="10"/>
  <c r="I112" i="10"/>
  <c r="I76" i="10"/>
  <c r="I29" i="10"/>
  <c r="I3" i="10"/>
  <c r="I1024" i="10"/>
  <c r="I964" i="10"/>
  <c r="I959" i="10"/>
  <c r="I933" i="10"/>
  <c r="I733" i="10"/>
  <c r="I676" i="10"/>
  <c r="I653" i="10"/>
  <c r="I620" i="10"/>
  <c r="I608" i="10"/>
  <c r="I596" i="10"/>
  <c r="I580" i="10"/>
  <c r="I579" i="10"/>
  <c r="I547" i="10"/>
  <c r="I510" i="10"/>
  <c r="I505" i="10"/>
  <c r="I492" i="10"/>
  <c r="I466" i="10"/>
  <c r="I431" i="10"/>
  <c r="I425" i="10"/>
  <c r="I424" i="10"/>
  <c r="I385" i="10"/>
  <c r="I358" i="10"/>
  <c r="I357" i="10"/>
  <c r="I333" i="10"/>
  <c r="I332" i="10"/>
  <c r="I315" i="10"/>
  <c r="I307" i="10"/>
  <c r="I298" i="10"/>
  <c r="I297" i="10"/>
  <c r="I283" i="10"/>
  <c r="I269" i="10"/>
  <c r="I268" i="10"/>
  <c r="I244" i="10"/>
  <c r="I238" i="10"/>
  <c r="I211" i="10"/>
  <c r="I203" i="10"/>
  <c r="I202" i="10"/>
  <c r="I187" i="10"/>
  <c r="I186" i="10"/>
  <c r="I177" i="10"/>
  <c r="I164" i="10"/>
  <c r="I163" i="10"/>
  <c r="I152" i="10"/>
  <c r="I139" i="10"/>
  <c r="I135" i="10"/>
  <c r="I134" i="10"/>
  <c r="I133" i="10"/>
  <c r="I132" i="10"/>
  <c r="I131" i="10"/>
  <c r="I130" i="10"/>
  <c r="I126" i="10"/>
  <c r="I111" i="10"/>
  <c r="I110" i="10"/>
  <c r="I97" i="10"/>
  <c r="I96" i="10"/>
  <c r="I95" i="10"/>
  <c r="I94" i="10"/>
  <c r="I75" i="10"/>
  <c r="I66" i="10"/>
  <c r="I65" i="10"/>
  <c r="I64" i="10"/>
  <c r="I55" i="10"/>
  <c r="I51" i="10"/>
  <c r="I50" i="10"/>
  <c r="I49" i="10"/>
  <c r="I46" i="10"/>
  <c r="I45" i="10"/>
  <c r="I41" i="10"/>
  <c r="I40" i="10"/>
  <c r="I39" i="10"/>
  <c r="I38" i="10"/>
  <c r="I37" i="10"/>
  <c r="I35" i="10"/>
  <c r="I28" i="10"/>
  <c r="I27" i="10"/>
  <c r="I26" i="10"/>
  <c r="I24" i="10"/>
  <c r="I22" i="10"/>
  <c r="I21" i="10"/>
  <c r="I1054" i="10"/>
  <c r="I1010" i="10"/>
  <c r="I900" i="10"/>
  <c r="I835" i="10"/>
  <c r="I834" i="10"/>
  <c r="I814" i="10"/>
  <c r="I808" i="10"/>
  <c r="I798" i="10"/>
  <c r="I775" i="10"/>
  <c r="I756" i="10"/>
  <c r="I745" i="10"/>
  <c r="I728" i="10"/>
  <c r="I723" i="10"/>
  <c r="I720" i="10"/>
  <c r="I706" i="10"/>
  <c r="I705" i="10"/>
  <c r="I687" i="10"/>
  <c r="I686" i="10"/>
  <c r="I675" i="10"/>
  <c r="I650" i="10"/>
  <c r="I626" i="10"/>
  <c r="I619" i="10"/>
  <c r="I614" i="10"/>
  <c r="I607" i="10"/>
  <c r="I570" i="10"/>
  <c r="I562" i="10"/>
  <c r="I561" i="10"/>
  <c r="I541" i="10"/>
  <c r="I533" i="10"/>
  <c r="I504" i="10"/>
  <c r="I503" i="10"/>
  <c r="I491" i="10"/>
  <c r="I465" i="10"/>
  <c r="I446" i="10"/>
  <c r="I445" i="10"/>
  <c r="I403" i="10"/>
  <c r="I384" i="10"/>
  <c r="I379" i="10"/>
  <c r="I369" i="10"/>
  <c r="I356" i="10"/>
  <c r="I344" i="10"/>
  <c r="I343" i="10"/>
  <c r="I331" i="10"/>
  <c r="I330" i="10"/>
  <c r="I329" i="10"/>
  <c r="I314" i="10"/>
  <c r="I306" i="10"/>
  <c r="I305" i="10"/>
  <c r="I296" i="10"/>
  <c r="I295" i="10"/>
  <c r="I294" i="10"/>
  <c r="I282" i="10"/>
  <c r="I281" i="10"/>
  <c r="I259" i="10"/>
  <c r="I243" i="10"/>
  <c r="I242" i="10"/>
  <c r="I237" i="10"/>
  <c r="I236" i="10"/>
  <c r="I222" i="10"/>
  <c r="I221" i="10"/>
  <c r="I176" i="10"/>
  <c r="I162" i="10"/>
  <c r="I161" i="10"/>
  <c r="I151" i="10"/>
  <c r="I150" i="10"/>
  <c r="I119" i="10"/>
  <c r="I118" i="10"/>
  <c r="I109" i="10"/>
  <c r="I74" i="10"/>
  <c r="I54" i="10"/>
  <c r="I1050" i="10"/>
  <c r="I982" i="10"/>
  <c r="I980" i="10"/>
  <c r="I973" i="10"/>
  <c r="I956" i="10"/>
  <c r="I923" i="10"/>
  <c r="I882" i="10"/>
  <c r="I869" i="10"/>
  <c r="I868" i="10"/>
  <c r="I858" i="10"/>
  <c r="I820" i="10"/>
  <c r="I819" i="10"/>
  <c r="I802" i="10"/>
  <c r="I764" i="10"/>
  <c r="I762" i="10"/>
  <c r="I761" i="10"/>
  <c r="I755" i="10"/>
  <c r="I752" i="10"/>
  <c r="I727" i="10"/>
  <c r="I726" i="10"/>
  <c r="I685" i="10"/>
  <c r="I674" i="10"/>
  <c r="I660" i="10"/>
  <c r="I618" i="10"/>
  <c r="I601" i="10"/>
  <c r="I578" i="10"/>
  <c r="I577" i="10"/>
  <c r="I540" i="10"/>
  <c r="I474" i="10"/>
  <c r="I473" i="10"/>
  <c r="I444" i="10"/>
  <c r="I402" i="10"/>
  <c r="I392" i="10"/>
  <c r="I383" i="10"/>
  <c r="I378" i="10"/>
  <c r="I374" i="10"/>
  <c r="I362" i="10"/>
  <c r="I355" i="10"/>
  <c r="I342" i="10"/>
  <c r="I328" i="10"/>
  <c r="I280" i="10"/>
  <c r="I267" i="10"/>
  <c r="I235" i="10"/>
  <c r="I220" i="10"/>
  <c r="I210" i="10"/>
  <c r="I201" i="10"/>
  <c r="I200" i="10"/>
  <c r="I160" i="10"/>
  <c r="I149" i="10"/>
  <c r="I125" i="10"/>
  <c r="I108" i="10"/>
  <c r="I93" i="10"/>
  <c r="I36" i="10"/>
  <c r="I1087" i="10"/>
  <c r="I304" i="10"/>
  <c r="I876" i="10"/>
  <c r="I354" i="10"/>
  <c r="I659" i="10"/>
  <c r="I341" i="10"/>
  <c r="I303" i="10"/>
  <c r="I258" i="10"/>
  <c r="I532" i="10"/>
  <c r="I1004" i="10"/>
  <c r="I827" i="10"/>
  <c r="I1084" i="10"/>
  <c r="I138" i="10"/>
  <c r="I552" i="10"/>
  <c r="I443" i="10"/>
  <c r="I569" i="10"/>
  <c r="I1022" i="10"/>
  <c r="I935" i="10"/>
  <c r="I117" i="10"/>
  <c r="I740" i="10"/>
  <c r="I818" i="10"/>
  <c r="I576" i="10"/>
  <c r="I84" i="10"/>
  <c r="I103" i="10"/>
  <c r="I129" i="10"/>
  <c r="I801" i="10"/>
  <c r="I219" i="10"/>
  <c r="I606" i="10"/>
  <c r="I617" i="10"/>
  <c r="I209" i="10"/>
  <c r="I739" i="10"/>
  <c r="I73" i="10"/>
  <c r="I649" i="10"/>
  <c r="I1118" i="10"/>
  <c r="I840" i="10"/>
  <c r="I861" i="10"/>
  <c r="I794" i="10"/>
  <c r="I1043" i="10"/>
  <c r="I989" i="10"/>
  <c r="I1083" i="10"/>
  <c r="I1100" i="10"/>
  <c r="I976" i="10"/>
  <c r="I1095" i="10"/>
  <c r="I1104" i="10"/>
  <c r="I1077" i="10"/>
  <c r="I932" i="10"/>
  <c r="I888" i="10"/>
  <c r="I1125" i="10"/>
  <c r="I340" i="10"/>
  <c r="I92" i="10"/>
  <c r="I199" i="10"/>
  <c r="I1005" i="10"/>
  <c r="I643" i="10"/>
  <c r="I401" i="10"/>
  <c r="I1044" i="10"/>
  <c r="I947" i="10"/>
  <c r="I1070" i="10"/>
  <c r="I516" i="10"/>
  <c r="I595" i="10"/>
  <c r="I498" i="10"/>
  <c r="I454" i="10"/>
  <c r="I813" i="10"/>
  <c r="I684" i="10"/>
  <c r="I497" i="10"/>
  <c r="I464" i="10"/>
  <c r="I382" i="10"/>
  <c r="I198" i="10"/>
  <c r="I430" i="10"/>
  <c r="I490" i="10"/>
  <c r="I327" i="10"/>
  <c r="I326" i="10"/>
  <c r="I531" i="10"/>
  <c r="I391" i="10"/>
  <c r="I625" i="10"/>
  <c r="I922" i="10"/>
  <c r="I568" i="10"/>
  <c r="I700" i="10"/>
  <c r="I648" i="10"/>
  <c r="I867" i="10"/>
  <c r="I997" i="10"/>
  <c r="I940" i="10"/>
  <c r="I463" i="10"/>
  <c r="I279" i="10"/>
  <c r="I218" i="10"/>
  <c r="I197" i="10"/>
  <c r="I414" i="10"/>
  <c r="I234" i="10"/>
  <c r="I560" i="10"/>
  <c r="I429" i="10"/>
  <c r="I472" i="10"/>
  <c r="I107" i="10"/>
  <c r="I539" i="10"/>
  <c r="I72" i="10"/>
  <c r="I71" i="10"/>
  <c r="I70" i="10"/>
  <c r="I453" i="10"/>
  <c r="I908" i="10"/>
  <c r="I1049" i="10"/>
  <c r="I972" i="10"/>
  <c r="I116" i="10"/>
  <c r="I148" i="10"/>
  <c r="I852" i="10"/>
  <c r="I955" i="10"/>
  <c r="I1080" i="10"/>
  <c r="I642" i="10"/>
  <c r="I946" i="10"/>
  <c r="I591" i="10"/>
  <c r="I887" i="10"/>
  <c r="I217" i="10"/>
  <c r="I185" i="10"/>
  <c r="I551" i="10"/>
  <c r="I927" i="10"/>
  <c r="I550" i="10"/>
  <c r="I668" i="10"/>
  <c r="I635" i="10"/>
  <c r="I647" i="10"/>
  <c r="I502" i="10"/>
  <c r="I471" i="10"/>
  <c r="I462" i="10"/>
  <c r="I631" i="10"/>
  <c r="I975" i="10"/>
  <c r="I1060" i="10"/>
  <c r="I826" i="10"/>
  <c r="I484" i="10"/>
  <c r="I1106" i="10"/>
  <c r="I851" i="10"/>
  <c r="I1124" i="10"/>
  <c r="I184" i="10"/>
  <c r="I875" i="10"/>
  <c r="I680" i="10"/>
  <c r="I890" i="10"/>
  <c r="I860" i="10"/>
  <c r="I679" i="10"/>
  <c r="I567" i="10"/>
  <c r="I590" i="10"/>
  <c r="I911" i="10"/>
  <c r="I939" i="10"/>
  <c r="I266" i="10"/>
  <c r="I896" i="10"/>
  <c r="I998" i="10"/>
  <c r="I988" i="10"/>
  <c r="I423" i="10"/>
  <c r="I442" i="10"/>
  <c r="I313" i="10"/>
  <c r="I233" i="10"/>
  <c r="I889" i="10"/>
  <c r="I926" i="10"/>
  <c r="I833" i="10"/>
  <c r="I1079" i="10"/>
  <c r="I1062" i="10"/>
  <c r="I634" i="10"/>
  <c r="I832" i="10"/>
  <c r="I1046" i="10"/>
  <c r="I760" i="10"/>
  <c r="I175" i="10"/>
  <c r="I812" i="10"/>
  <c r="I257" i="10"/>
  <c r="I69" i="10"/>
  <c r="I124" i="10"/>
  <c r="I641" i="10"/>
  <c r="I232" i="10"/>
  <c r="I744" i="10"/>
  <c r="I530" i="10"/>
  <c r="I624" i="10"/>
  <c r="I123" i="10"/>
  <c r="I231" i="10"/>
  <c r="I1057" i="10"/>
  <c r="I256" i="10"/>
  <c r="I159" i="10"/>
  <c r="I916" i="10"/>
  <c r="I501" i="10"/>
  <c r="I825" i="10"/>
  <c r="I886" i="10"/>
  <c r="I817" i="10"/>
  <c r="I780" i="10"/>
  <c r="I640" i="10"/>
  <c r="I787" i="10"/>
  <c r="I921" i="10"/>
  <c r="I987" i="10"/>
  <c r="I925" i="10"/>
  <c r="I278" i="10"/>
  <c r="I559" i="10"/>
  <c r="I712" i="10"/>
  <c r="I452" i="10"/>
  <c r="I754" i="10"/>
  <c r="I850" i="10"/>
  <c r="I831" i="10"/>
  <c r="I871" i="10"/>
  <c r="I1028" i="10"/>
  <c r="I1097" i="10"/>
  <c r="I390" i="10"/>
  <c r="I931" i="10"/>
  <c r="I1078" i="10"/>
  <c r="I368" i="10"/>
  <c r="I1068" i="10"/>
  <c r="I230" i="10"/>
  <c r="I255" i="10"/>
  <c r="I470" i="10"/>
  <c r="I667" i="10"/>
  <c r="I751" i="10"/>
  <c r="I589" i="10"/>
  <c r="I441" i="10"/>
  <c r="I639" i="10"/>
  <c r="I732" i="10"/>
  <c r="I678" i="10"/>
  <c r="I1115" i="10"/>
  <c r="I588" i="10"/>
  <c r="I1048" i="10"/>
  <c r="I428" i="10"/>
  <c r="I652" i="10"/>
  <c r="I558" i="10"/>
  <c r="I1064" i="10"/>
  <c r="I538" i="10"/>
  <c r="I605" i="10"/>
  <c r="I807" i="10"/>
  <c r="I400" i="10"/>
  <c r="I967" i="10"/>
  <c r="I489" i="10"/>
  <c r="I373" i="10"/>
  <c r="I312" i="10"/>
  <c r="I483" i="10"/>
  <c r="I12" i="10"/>
  <c r="I6" i="10"/>
  <c r="I482" i="10"/>
  <c r="I361" i="10"/>
  <c r="I413" i="10"/>
  <c r="I293" i="10"/>
  <c r="I604" i="10"/>
  <c r="I1085" i="10"/>
  <c r="I4" i="10"/>
  <c r="I83" i="10"/>
  <c r="I750" i="10"/>
  <c r="I147" i="10"/>
  <c r="I48" i="10"/>
  <c r="I749" i="10"/>
  <c r="I1014" i="10"/>
  <c r="I948" i="10"/>
  <c r="I673" i="10"/>
  <c r="I82" i="10"/>
  <c r="I5" i="10"/>
  <c r="I1013" i="10"/>
  <c r="I1023" i="10"/>
  <c r="I254" i="10"/>
  <c r="I1093" i="10"/>
  <c r="I389" i="10"/>
  <c r="I793" i="10"/>
  <c r="I102" i="10"/>
  <c r="I1122" i="10"/>
  <c r="I451" i="10"/>
  <c r="I930" i="10"/>
  <c r="I208" i="10"/>
  <c r="I292" i="10"/>
  <c r="I481" i="10"/>
  <c r="I196" i="10"/>
  <c r="I353" i="10"/>
  <c r="I658" i="10"/>
  <c r="I1099" i="10"/>
  <c r="I195" i="10"/>
  <c r="I183" i="10"/>
  <c r="I158" i="10"/>
  <c r="I737" i="10"/>
  <c r="I412" i="10"/>
  <c r="I575" i="10"/>
  <c r="I339" i="10"/>
  <c r="I942" i="10"/>
  <c r="I360" i="10"/>
  <c r="I422" i="10"/>
  <c r="I1016" i="10"/>
  <c r="I806" i="10"/>
  <c r="I996" i="10"/>
  <c r="I995" i="10"/>
  <c r="I1009" i="10"/>
  <c r="I1007" i="10"/>
  <c r="I1006" i="10"/>
  <c r="I1026" i="10"/>
  <c r="I1025" i="10"/>
  <c r="I1039" i="10"/>
  <c r="I1038" i="10"/>
  <c r="I979" i="10"/>
  <c r="I101" i="10"/>
  <c r="I857" i="10"/>
  <c r="I881" i="10"/>
  <c r="I774" i="10"/>
  <c r="I683" i="10"/>
  <c r="I1003" i="10"/>
  <c r="I1018" i="10"/>
  <c r="I440" i="10"/>
  <c r="I994" i="10"/>
  <c r="I968" i="10"/>
  <c r="I811" i="10"/>
  <c r="I194" i="10"/>
  <c r="I954" i="10"/>
  <c r="I1059" i="10"/>
  <c r="I958" i="10"/>
  <c r="I439" i="10"/>
  <c r="I557" i="10"/>
  <c r="I91" i="10"/>
  <c r="I763" i="10"/>
  <c r="I731" i="10"/>
  <c r="I1036" i="10"/>
  <c r="I666" i="10"/>
  <c r="I594" i="10"/>
  <c r="I1094" i="10"/>
  <c r="I899" i="10"/>
  <c r="I824" i="10"/>
  <c r="I920" i="10"/>
  <c r="I971" i="10"/>
  <c r="I325" i="10"/>
  <c r="I805" i="10"/>
  <c r="I953" i="10"/>
  <c r="I1082" i="10"/>
  <c r="I1037" i="10"/>
  <c r="I1092" i="10"/>
  <c r="I1088" i="10"/>
  <c r="I421" i="10"/>
  <c r="I1120" i="10"/>
  <c r="I903" i="10"/>
  <c r="I885" i="10"/>
  <c r="I846" i="10"/>
  <c r="I672" i="10"/>
  <c r="I895" i="10"/>
  <c r="I1058" i="10"/>
  <c r="I841" i="10"/>
  <c r="I797" i="10"/>
  <c r="I529" i="10"/>
  <c r="I941" i="10"/>
  <c r="I918" i="10"/>
  <c r="I769" i="10"/>
  <c r="I291" i="10"/>
  <c r="I991" i="10"/>
  <c r="I1114" i="10"/>
  <c r="I630" i="10"/>
  <c r="I978" i="10"/>
  <c r="I872" i="10"/>
  <c r="I438" i="10"/>
  <c r="I719" i="10"/>
  <c r="I461" i="10"/>
  <c r="I704" i="10"/>
  <c r="I1033" i="10"/>
  <c r="I907" i="10"/>
  <c r="I600" i="10"/>
  <c r="I193" i="10"/>
  <c r="I771" i="10"/>
  <c r="I100" i="10"/>
  <c r="I528" i="10"/>
  <c r="I587" i="10"/>
  <c r="I839" i="10"/>
  <c r="I613" i="10"/>
  <c r="I699" i="10"/>
  <c r="I522" i="10"/>
  <c r="I324" i="10"/>
  <c r="I1061" i="10"/>
  <c r="I981" i="10"/>
  <c r="I1017" i="10"/>
  <c r="I1090" i="10"/>
  <c r="I1031" i="10"/>
  <c r="I838" i="10"/>
  <c r="I1021" i="10"/>
  <c r="I44" i="10"/>
  <c r="I792" i="10"/>
  <c r="I527" i="10"/>
  <c r="I157" i="10"/>
  <c r="I338" i="10"/>
  <c r="I1116" i="10"/>
  <c r="I938" i="10"/>
  <c r="I253" i="10"/>
  <c r="I182" i="10"/>
  <c r="I924" i="10"/>
  <c r="I693" i="10"/>
  <c r="I437" i="10"/>
  <c r="I866" i="10"/>
  <c r="I786" i="10"/>
  <c r="I1035" i="10"/>
  <c r="I1069" i="10"/>
  <c r="I174" i="10"/>
  <c r="I859" i="10"/>
  <c r="I711" i="10"/>
  <c r="I372" i="10"/>
  <c r="I718" i="10"/>
  <c r="I646" i="10"/>
  <c r="I800" i="10"/>
  <c r="I1086" i="10"/>
  <c r="I883" i="10"/>
  <c r="I894" i="10"/>
  <c r="I910" i="10"/>
  <c r="I934" i="10"/>
  <c r="I929" i="10"/>
  <c r="I657" i="10"/>
  <c r="I759" i="10"/>
  <c r="I698" i="10"/>
  <c r="I785" i="10"/>
  <c r="I703" i="10"/>
  <c r="I945" i="10"/>
  <c r="I758" i="10"/>
  <c r="I743" i="10"/>
  <c r="I725" i="10"/>
  <c r="I843" i="10"/>
  <c r="I856" i="10"/>
  <c r="I914" i="10"/>
  <c r="I902" i="10"/>
  <c r="I710" i="10"/>
  <c r="I849" i="10"/>
  <c r="I880" i="10"/>
  <c r="I904" i="10"/>
  <c r="I738" i="10"/>
  <c r="I984" i="10"/>
  <c r="I848" i="10"/>
  <c r="I791" i="10"/>
  <c r="I1008" i="10"/>
  <c r="I1045" i="10"/>
  <c r="I682" i="10"/>
  <c r="I768" i="10"/>
  <c r="I986" i="10"/>
  <c r="I767" i="10"/>
  <c r="I1029" i="10"/>
  <c r="I420" i="10"/>
  <c r="I546" i="10"/>
  <c r="I842" i="10"/>
  <c r="I757" i="10"/>
  <c r="I252" i="10"/>
  <c r="I521" i="10"/>
  <c r="I545" i="10"/>
  <c r="I656" i="10"/>
  <c r="I917" i="10"/>
  <c r="I488" i="10"/>
  <c r="I265" i="10"/>
  <c r="I837" i="10"/>
  <c r="I748" i="10"/>
  <c r="I496" i="10"/>
  <c r="I878" i="10"/>
  <c r="I480" i="10"/>
  <c r="I419" i="10"/>
  <c r="I747" i="10"/>
  <c r="I574" i="10"/>
  <c r="I1001" i="10"/>
  <c r="I1027" i="10"/>
  <c r="I823" i="10"/>
  <c r="I870" i="10"/>
  <c r="I34" i="10"/>
  <c r="I520" i="10"/>
  <c r="I399" i="10"/>
  <c r="I519" i="10"/>
  <c r="I106" i="10"/>
  <c r="I15" i="10"/>
  <c r="I251" i="10"/>
  <c r="I68" i="10"/>
  <c r="I784" i="10"/>
  <c r="I99" i="10"/>
  <c r="I822" i="10"/>
  <c r="I836" i="10"/>
  <c r="I874" i="10"/>
  <c r="I865" i="10"/>
  <c r="I10" i="10"/>
  <c r="I9" i="10"/>
  <c r="I8" i="10"/>
  <c r="I783" i="10"/>
  <c r="I337" i="10"/>
  <c r="I692" i="10"/>
  <c r="I779" i="10"/>
  <c r="B3" i="25"/>
  <c r="B4" i="25"/>
  <c r="B5" i="25"/>
  <c r="B6" i="25"/>
  <c r="B2" i="25"/>
  <c r="I472" i="15"/>
  <c r="I300" i="11"/>
  <c r="I245" i="11"/>
  <c r="I230" i="11"/>
  <c r="I225" i="11"/>
  <c r="I221" i="11"/>
  <c r="I218" i="11"/>
  <c r="I217" i="11"/>
  <c r="I213" i="11"/>
  <c r="I206" i="11"/>
  <c r="I205" i="11"/>
  <c r="I201" i="11"/>
  <c r="I199" i="11"/>
  <c r="I198" i="11"/>
  <c r="I192" i="11"/>
  <c r="I191" i="11"/>
  <c r="I187" i="11"/>
  <c r="I186" i="11"/>
  <c r="I185" i="11"/>
  <c r="I183" i="11"/>
  <c r="I181" i="11"/>
  <c r="I179" i="11"/>
  <c r="I178" i="11"/>
  <c r="I175" i="11"/>
  <c r="I174" i="11"/>
  <c r="I173" i="11"/>
  <c r="I171" i="11"/>
  <c r="I170" i="11"/>
  <c r="I169" i="11"/>
  <c r="I168" i="11"/>
  <c r="I167" i="11"/>
  <c r="I166" i="11"/>
  <c r="I165" i="11"/>
  <c r="I164" i="11"/>
  <c r="I163" i="11"/>
  <c r="I160" i="11"/>
  <c r="I158" i="11"/>
  <c r="I155" i="11"/>
  <c r="I154" i="11"/>
  <c r="I153" i="11"/>
  <c r="I152" i="11"/>
  <c r="I151" i="11"/>
  <c r="I150" i="11"/>
  <c r="I148" i="11"/>
  <c r="I146" i="11"/>
  <c r="I145" i="11"/>
  <c r="I144" i="11"/>
  <c r="I142" i="11"/>
  <c r="I141" i="11"/>
  <c r="I140" i="11"/>
  <c r="I139" i="11"/>
  <c r="I137" i="11"/>
  <c r="I136" i="11"/>
  <c r="I135" i="11"/>
  <c r="I134" i="11"/>
  <c r="I133" i="11"/>
  <c r="I132" i="11"/>
  <c r="I131" i="11"/>
  <c r="I128" i="11"/>
  <c r="I127" i="11"/>
  <c r="I126" i="11"/>
  <c r="I125" i="11"/>
  <c r="I122" i="11"/>
  <c r="I119" i="11"/>
  <c r="I118" i="11"/>
  <c r="I117" i="11"/>
  <c r="I116" i="11"/>
  <c r="I114" i="11"/>
  <c r="I113" i="11"/>
  <c r="I112" i="11"/>
  <c r="I111" i="11"/>
  <c r="I110" i="11"/>
  <c r="I109" i="11"/>
  <c r="I108" i="11"/>
  <c r="I107" i="11"/>
  <c r="I106" i="11"/>
  <c r="I105" i="11"/>
  <c r="I103" i="11"/>
  <c r="I100" i="11"/>
  <c r="I98" i="11"/>
  <c r="I95" i="11"/>
  <c r="I94" i="11"/>
  <c r="I93" i="11"/>
  <c r="I92" i="11"/>
  <c r="I91" i="11"/>
  <c r="I90" i="11"/>
  <c r="I89" i="11"/>
  <c r="I88" i="11"/>
  <c r="I84" i="11"/>
  <c r="I83" i="11"/>
  <c r="I82" i="11"/>
  <c r="I79" i="11"/>
  <c r="I77" i="11"/>
  <c r="I76" i="11"/>
  <c r="I75" i="11"/>
  <c r="I74" i="11"/>
  <c r="I73" i="11"/>
  <c r="I72" i="11"/>
  <c r="I64" i="11"/>
  <c r="I62" i="11"/>
  <c r="I61" i="11"/>
  <c r="I60" i="11"/>
  <c r="I59" i="11"/>
  <c r="I58" i="11"/>
  <c r="I57" i="11"/>
  <c r="I56" i="11"/>
  <c r="I55" i="11"/>
  <c r="I51" i="11"/>
  <c r="I47" i="11"/>
  <c r="I46" i="11"/>
  <c r="I43" i="11"/>
  <c r="I42" i="11"/>
  <c r="I41" i="11"/>
  <c r="I40" i="11"/>
  <c r="I39" i="11"/>
  <c r="I38" i="11"/>
  <c r="I37" i="11"/>
  <c r="I35" i="11"/>
  <c r="I34" i="11"/>
  <c r="I33" i="11"/>
  <c r="I32" i="11"/>
  <c r="I31" i="11"/>
  <c r="I30" i="11"/>
  <c r="I29" i="11"/>
  <c r="I28" i="11"/>
  <c r="I27" i="11"/>
  <c r="I26" i="11"/>
  <c r="I23" i="11"/>
  <c r="I21" i="11"/>
  <c r="I20" i="11"/>
  <c r="I19" i="11"/>
  <c r="I18" i="11"/>
  <c r="I14" i="11"/>
  <c r="I13" i="11"/>
  <c r="I9" i="11"/>
  <c r="J2" i="23" a="1"/>
  <c r="J2" i="23" s="1"/>
  <c r="I2" i="23" a="1"/>
  <c r="I2" i="23" s="1"/>
  <c r="H2" i="23" a="1"/>
  <c r="H2" i="23" s="1"/>
  <c r="G2" i="23" a="1"/>
  <c r="G2" i="23" s="1"/>
  <c r="F2" i="23" a="1"/>
  <c r="F2" i="23" s="1"/>
  <c r="C2" i="23" a="1"/>
  <c r="C2" i="23" s="1"/>
  <c r="A2" i="23" a="1"/>
  <c r="A2" i="23" s="1"/>
  <c r="B2" i="23" a="1"/>
  <c r="B2" i="23" s="1"/>
  <c r="I373" i="15"/>
  <c r="I69" i="9"/>
  <c r="I67" i="9"/>
  <c r="I65" i="9"/>
  <c r="I63" i="9"/>
  <c r="I61" i="9"/>
  <c r="I59" i="9"/>
  <c r="I57" i="9"/>
  <c r="I55" i="9"/>
  <c r="I53" i="9"/>
  <c r="I51" i="9"/>
  <c r="I49" i="9"/>
  <c r="I47" i="9"/>
  <c r="I45" i="9"/>
  <c r="I43" i="9"/>
  <c r="I42" i="9"/>
  <c r="I41" i="9"/>
  <c r="L2" i="23" a="1"/>
  <c r="L2" i="23" s="1"/>
  <c r="K2" i="23" a="1"/>
  <c r="K2" i="23" s="1"/>
  <c r="E2" i="23" a="1"/>
  <c r="E2" i="23" s="1"/>
  <c r="D2" i="23" a="1"/>
  <c r="D2" i="23" s="1"/>
  <c r="I2" i="21"/>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I64" i="21"/>
  <c r="I65" i="21"/>
  <c r="I66" i="21"/>
  <c r="I67" i="21"/>
  <c r="I68" i="21"/>
  <c r="I69" i="21"/>
  <c r="I70" i="21"/>
  <c r="I71" i="21"/>
  <c r="I72" i="21"/>
  <c r="I73" i="21"/>
  <c r="I74" i="21"/>
  <c r="I75" i="21"/>
  <c r="I76" i="21"/>
  <c r="I77" i="21"/>
  <c r="I78" i="21"/>
  <c r="I79" i="21"/>
  <c r="I80" i="21"/>
  <c r="I71" i="20"/>
  <c r="I70" i="20"/>
  <c r="I69" i="20"/>
  <c r="I68" i="20"/>
  <c r="I67" i="20"/>
  <c r="I66" i="20"/>
  <c r="I65" i="20"/>
  <c r="I64" i="20"/>
  <c r="I63" i="20"/>
  <c r="I62" i="20"/>
  <c r="I61" i="20"/>
  <c r="I60" i="20"/>
  <c r="I59" i="20"/>
  <c r="I58" i="20"/>
  <c r="I57" i="20"/>
  <c r="I56" i="20"/>
  <c r="I55" i="20"/>
  <c r="I54" i="20"/>
  <c r="I53" i="20"/>
  <c r="I52" i="20"/>
  <c r="I51" i="20"/>
  <c r="I50" i="20"/>
  <c r="I49" i="20"/>
  <c r="I48" i="20"/>
  <c r="I47" i="20"/>
  <c r="I46" i="20"/>
  <c r="I45" i="20"/>
  <c r="I44" i="20"/>
  <c r="I43" i="20"/>
  <c r="I42" i="20"/>
  <c r="I41" i="20"/>
  <c r="I40" i="20"/>
  <c r="I39" i="20"/>
  <c r="I38" i="20"/>
  <c r="I37" i="20"/>
  <c r="I36" i="20"/>
  <c r="I35" i="20"/>
  <c r="I34" i="20"/>
  <c r="I33" i="20"/>
  <c r="I32" i="20"/>
  <c r="I31" i="20"/>
  <c r="I30" i="20"/>
  <c r="I29" i="20"/>
  <c r="I28" i="20"/>
  <c r="I27" i="20"/>
  <c r="I26" i="20"/>
  <c r="I25" i="20"/>
  <c r="I24" i="20"/>
  <c r="I23" i="20"/>
  <c r="I22" i="20"/>
  <c r="I21" i="20"/>
  <c r="I20" i="20"/>
  <c r="I19" i="20"/>
  <c r="I18" i="20"/>
  <c r="I17" i="20"/>
  <c r="I16" i="20"/>
  <c r="I15" i="20"/>
  <c r="I14" i="20"/>
  <c r="I13" i="20"/>
  <c r="I12" i="20"/>
  <c r="I11" i="20"/>
  <c r="I10" i="20"/>
  <c r="I9" i="20"/>
  <c r="I8" i="20"/>
  <c r="I7" i="20"/>
  <c r="I6" i="20"/>
  <c r="I5" i="20"/>
  <c r="I4" i="20"/>
  <c r="I3" i="20"/>
  <c r="I2" i="20"/>
  <c r="I282" i="19"/>
  <c r="I281" i="19"/>
  <c r="I280" i="19"/>
  <c r="I279" i="19"/>
  <c r="I278" i="19"/>
  <c r="I277" i="19"/>
  <c r="I276" i="19"/>
  <c r="I275" i="19"/>
  <c r="I274" i="19"/>
  <c r="I273" i="19"/>
  <c r="I272" i="19"/>
  <c r="I271" i="19"/>
  <c r="I270" i="19"/>
  <c r="I269" i="19"/>
  <c r="I268" i="19"/>
  <c r="I267" i="19"/>
  <c r="I266" i="19"/>
  <c r="I265" i="19"/>
  <c r="I264" i="19"/>
  <c r="I263" i="19"/>
  <c r="I262" i="19"/>
  <c r="I261" i="19"/>
  <c r="I260" i="19"/>
  <c r="I259" i="19"/>
  <c r="I258" i="19"/>
  <c r="I257" i="19"/>
  <c r="I256" i="19"/>
  <c r="I255" i="19"/>
  <c r="I254" i="19"/>
  <c r="I253" i="19"/>
  <c r="I252" i="19"/>
  <c r="I251" i="19"/>
  <c r="I250" i="19"/>
  <c r="I249" i="19"/>
  <c r="I248" i="19"/>
  <c r="I247" i="19"/>
  <c r="I246" i="19"/>
  <c r="I245" i="19"/>
  <c r="I244" i="19"/>
  <c r="I243"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216" i="19"/>
  <c r="I215" i="19"/>
  <c r="I214" i="19"/>
  <c r="I213" i="19"/>
  <c r="I212" i="19"/>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I171" i="19"/>
  <c r="I170" i="19"/>
  <c r="I169" i="19"/>
  <c r="I168" i="19"/>
  <c r="I167" i="19"/>
  <c r="I166" i="19"/>
  <c r="I165" i="19"/>
  <c r="I164" i="19"/>
  <c r="I163" i="19"/>
  <c r="I162" i="19"/>
  <c r="I161"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I130" i="19"/>
  <c r="I129" i="19"/>
  <c r="I128" i="19"/>
  <c r="I127" i="19"/>
  <c r="I126" i="19"/>
  <c r="I125" i="19"/>
  <c r="I124" i="19"/>
  <c r="I123" i="19"/>
  <c r="I122" i="19"/>
  <c r="I121" i="19"/>
  <c r="I120" i="19"/>
  <c r="I119" i="19"/>
  <c r="I118" i="19"/>
  <c r="I117" i="19"/>
  <c r="I116" i="19"/>
  <c r="I115" i="19"/>
  <c r="I114" i="19"/>
  <c r="I113" i="19"/>
  <c r="I112" i="19"/>
  <c r="I111" i="19"/>
  <c r="I110" i="19"/>
  <c r="I109" i="19"/>
  <c r="I108" i="19"/>
  <c r="I107" i="19"/>
  <c r="I106" i="19"/>
  <c r="I105" i="19"/>
  <c r="I104" i="19"/>
  <c r="I103" i="19"/>
  <c r="I102" i="19"/>
  <c r="I101" i="19"/>
  <c r="I100" i="19"/>
  <c r="I99" i="19"/>
  <c r="I98" i="19"/>
  <c r="I97" i="19"/>
  <c r="I96" i="19"/>
  <c r="I95" i="19"/>
  <c r="I94" i="19"/>
  <c r="I93" i="19"/>
  <c r="I92" i="19"/>
  <c r="I91" i="19"/>
  <c r="I90" i="19"/>
  <c r="I89" i="19"/>
  <c r="I88" i="19"/>
  <c r="I87" i="19"/>
  <c r="I86" i="19"/>
  <c r="I85" i="19"/>
  <c r="I84" i="19"/>
  <c r="I83" i="19"/>
  <c r="I82" i="19"/>
  <c r="I81" i="19"/>
  <c r="I80" i="19"/>
  <c r="I79" i="19"/>
  <c r="I78" i="19"/>
  <c r="I77" i="19"/>
  <c r="I76" i="19"/>
  <c r="I75" i="19"/>
  <c r="I74" i="19"/>
  <c r="I73" i="19"/>
  <c r="I72" i="19"/>
  <c r="I71" i="19"/>
  <c r="I70" i="19"/>
  <c r="I69" i="19"/>
  <c r="I68" i="19"/>
  <c r="I67" i="19"/>
  <c r="I66" i="19"/>
  <c r="I65" i="19"/>
  <c r="I64" i="19"/>
  <c r="I63" i="19"/>
  <c r="I62" i="19"/>
  <c r="I61" i="19"/>
  <c r="I60"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I19" i="19"/>
  <c r="I18" i="19"/>
  <c r="I17" i="19"/>
  <c r="I16" i="19"/>
  <c r="I15" i="19"/>
  <c r="I14" i="19"/>
  <c r="I13" i="19"/>
  <c r="I12" i="19"/>
  <c r="I11" i="19"/>
  <c r="I10" i="19"/>
  <c r="I9" i="19"/>
  <c r="I8" i="19"/>
  <c r="I7" i="19"/>
  <c r="I6" i="19"/>
  <c r="I5" i="19"/>
  <c r="I4" i="19"/>
  <c r="I3" i="19"/>
  <c r="I2" i="19"/>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1836" i="17"/>
  <c r="I1835" i="17"/>
  <c r="I1834" i="17"/>
  <c r="I1833" i="17"/>
  <c r="I1832" i="17"/>
  <c r="I1831" i="17"/>
  <c r="I1830" i="17"/>
  <c r="I1829" i="17"/>
  <c r="I1828" i="17"/>
  <c r="I1827" i="17"/>
  <c r="I1826" i="17"/>
  <c r="I1825" i="17"/>
  <c r="I1824" i="17"/>
  <c r="I1823" i="17"/>
  <c r="I1822" i="17"/>
  <c r="I1821" i="17"/>
  <c r="I1820" i="17"/>
  <c r="I1819" i="17"/>
  <c r="I1818" i="17"/>
  <c r="I1817" i="17"/>
  <c r="I1816" i="17"/>
  <c r="I1815" i="17"/>
  <c r="I1814" i="17"/>
  <c r="I1813" i="17"/>
  <c r="I1812" i="17"/>
  <c r="I1811" i="17"/>
  <c r="I1810" i="17"/>
  <c r="I1809" i="17"/>
  <c r="I1808" i="17"/>
  <c r="I1807" i="17"/>
  <c r="I1806" i="17"/>
  <c r="I1805" i="17"/>
  <c r="I1804" i="17"/>
  <c r="I1803" i="17"/>
  <c r="I1802" i="17"/>
  <c r="I1801" i="17"/>
  <c r="I1800" i="17"/>
  <c r="I1799" i="17"/>
  <c r="I1798" i="17"/>
  <c r="I1797" i="17"/>
  <c r="I1796" i="17"/>
  <c r="I1795" i="17"/>
  <c r="I1794" i="17"/>
  <c r="I1793" i="17"/>
  <c r="I1792" i="17"/>
  <c r="I1791" i="17"/>
  <c r="I1790" i="17"/>
  <c r="I1789" i="17"/>
  <c r="I1788" i="17"/>
  <c r="I1787" i="17"/>
  <c r="I1786" i="17"/>
  <c r="I1785" i="17"/>
  <c r="I1784" i="17"/>
  <c r="I1783" i="17"/>
  <c r="I1782" i="17"/>
  <c r="I1781" i="17"/>
  <c r="I1780" i="17"/>
  <c r="I1779" i="17"/>
  <c r="I1778" i="17"/>
  <c r="I1777" i="17"/>
  <c r="I1776" i="17"/>
  <c r="I1775" i="17"/>
  <c r="I1774" i="17"/>
  <c r="I1773" i="17"/>
  <c r="I1772" i="17"/>
  <c r="I1771" i="17"/>
  <c r="I1770" i="17"/>
  <c r="I1769" i="17"/>
  <c r="I1768" i="17"/>
  <c r="I1767" i="17"/>
  <c r="I1766" i="17"/>
  <c r="I1765" i="17"/>
  <c r="I1764" i="17"/>
  <c r="I1763" i="17"/>
  <c r="I1762" i="17"/>
  <c r="I1761" i="17"/>
  <c r="I1760" i="17"/>
  <c r="I1759" i="17"/>
  <c r="I1758" i="17"/>
  <c r="I1757" i="17"/>
  <c r="I1756" i="17"/>
  <c r="I1755" i="17"/>
  <c r="I1754" i="17"/>
  <c r="I1753" i="17"/>
  <c r="I1752" i="17"/>
  <c r="I1751" i="17"/>
  <c r="I1750" i="17"/>
  <c r="I1749" i="17"/>
  <c r="I1748" i="17"/>
  <c r="I1747" i="17"/>
  <c r="I1746" i="17"/>
  <c r="I1745" i="17"/>
  <c r="I1744" i="17"/>
  <c r="I1743" i="17"/>
  <c r="I1742" i="17"/>
  <c r="I1740" i="17"/>
  <c r="I1739" i="17"/>
  <c r="I1738" i="17"/>
  <c r="I1737" i="17"/>
  <c r="I1736" i="17"/>
  <c r="I1735" i="17"/>
  <c r="I1734" i="17"/>
  <c r="I1733" i="17"/>
  <c r="I1732" i="17"/>
  <c r="I1731" i="17"/>
  <c r="I1730" i="17"/>
  <c r="I1728" i="17"/>
  <c r="I1727" i="17"/>
  <c r="I1726" i="17"/>
  <c r="I1725" i="17"/>
  <c r="I1724" i="17"/>
  <c r="I1723" i="17"/>
  <c r="I1722" i="17"/>
  <c r="I1721" i="17"/>
  <c r="I1720" i="17"/>
  <c r="I1719" i="17"/>
  <c r="I1718" i="17"/>
  <c r="I1717" i="17"/>
  <c r="I1716" i="17"/>
  <c r="I1715" i="17"/>
  <c r="I1714" i="17"/>
  <c r="I1713" i="17"/>
  <c r="I1712" i="17"/>
  <c r="I1711" i="17"/>
  <c r="I1710" i="17"/>
  <c r="I1709" i="17"/>
  <c r="I1708" i="17"/>
  <c r="I1707" i="17"/>
  <c r="I1706" i="17"/>
  <c r="I1705" i="17"/>
  <c r="I1704" i="17"/>
  <c r="I1703" i="17"/>
  <c r="I1702" i="17"/>
  <c r="I1701" i="17"/>
  <c r="I1700" i="17"/>
  <c r="I1699" i="17"/>
  <c r="I1698" i="17"/>
  <c r="I1697" i="17"/>
  <c r="I1696" i="17"/>
  <c r="I1695" i="17"/>
  <c r="I1694" i="17"/>
  <c r="I1693" i="17"/>
  <c r="I1692" i="17"/>
  <c r="I1691" i="17"/>
  <c r="I1690" i="17"/>
  <c r="I1689" i="17"/>
  <c r="I1688" i="17"/>
  <c r="I1687" i="17"/>
  <c r="I1686" i="17"/>
  <c r="I1685" i="17"/>
  <c r="I1684" i="17"/>
  <c r="I1683" i="17"/>
  <c r="I1682" i="17"/>
  <c r="I1681" i="17"/>
  <c r="I1680" i="17"/>
  <c r="I1679" i="17"/>
  <c r="I1678" i="17"/>
  <c r="I1677" i="17"/>
  <c r="I1676" i="17"/>
  <c r="I1675" i="17"/>
  <c r="I1674" i="17"/>
  <c r="I1673" i="17"/>
  <c r="I1672" i="17"/>
  <c r="I1671" i="17"/>
  <c r="I1670" i="17"/>
  <c r="I1669" i="17"/>
  <c r="I1668" i="17"/>
  <c r="I1667" i="17"/>
  <c r="I1666" i="17"/>
  <c r="I1665" i="17"/>
  <c r="I1664" i="17"/>
  <c r="I1663" i="17"/>
  <c r="I1662" i="17"/>
  <c r="I1661" i="17"/>
  <c r="I1660" i="17"/>
  <c r="I1659" i="17"/>
  <c r="I1658" i="17"/>
  <c r="I1657" i="17"/>
  <c r="I1656" i="17"/>
  <c r="I1655" i="17"/>
  <c r="I1654" i="17"/>
  <c r="I1653" i="17"/>
  <c r="I1652" i="17"/>
  <c r="I1651" i="17"/>
  <c r="I1650" i="17"/>
  <c r="I1649" i="17"/>
  <c r="I1648" i="17"/>
  <c r="I1647" i="17"/>
  <c r="I1646" i="17"/>
  <c r="I1645" i="17"/>
  <c r="I1644" i="17"/>
  <c r="I1643" i="17"/>
  <c r="I1642" i="17"/>
  <c r="I1641" i="17"/>
  <c r="I1640" i="17"/>
  <c r="I1639" i="17"/>
  <c r="I1638" i="17"/>
  <c r="I1637" i="17"/>
  <c r="I1636" i="17"/>
  <c r="I1635" i="17"/>
  <c r="I1634" i="17"/>
  <c r="I1633" i="17"/>
  <c r="I1632" i="17"/>
  <c r="I1631" i="17"/>
  <c r="I1630" i="17"/>
  <c r="I1629" i="17"/>
  <c r="I1628" i="17"/>
  <c r="I1627" i="17"/>
  <c r="I1626" i="17"/>
  <c r="I1625" i="17"/>
  <c r="I1624" i="17"/>
  <c r="I1623" i="17"/>
  <c r="I1622" i="17"/>
  <c r="I1621" i="17"/>
  <c r="I1620" i="17"/>
  <c r="I1619" i="17"/>
  <c r="I1618" i="17"/>
  <c r="I1617" i="17"/>
  <c r="I1616" i="17"/>
  <c r="I1615" i="17"/>
  <c r="I1614" i="17"/>
  <c r="I1613" i="17"/>
  <c r="I1612" i="17"/>
  <c r="I1611" i="17"/>
  <c r="I1610" i="17"/>
  <c r="I1609" i="17"/>
  <c r="I1608" i="17"/>
  <c r="I1607" i="17"/>
  <c r="I1606" i="17"/>
  <c r="I1605" i="17"/>
  <c r="I1604" i="17"/>
  <c r="I1603" i="17"/>
  <c r="I1602" i="17"/>
  <c r="I1601" i="17"/>
  <c r="I1600" i="17"/>
  <c r="I1599" i="17"/>
  <c r="I1598" i="17"/>
  <c r="I1597" i="17"/>
  <c r="I1596" i="17"/>
  <c r="I1595" i="17"/>
  <c r="I1594" i="17"/>
  <c r="I1593" i="17"/>
  <c r="I1592" i="17"/>
  <c r="I1591" i="17"/>
  <c r="I1590" i="17"/>
  <c r="I1589" i="17"/>
  <c r="I1588" i="17"/>
  <c r="I1587" i="17"/>
  <c r="I1586" i="17"/>
  <c r="I1585" i="17"/>
  <c r="I1584" i="17"/>
  <c r="I1583" i="17"/>
  <c r="I1582" i="17"/>
  <c r="I1581" i="17"/>
  <c r="I1580" i="17"/>
  <c r="I1579" i="17"/>
  <c r="I1578" i="17"/>
  <c r="I1577" i="17"/>
  <c r="I1576" i="17"/>
  <c r="I1575" i="17"/>
  <c r="I1574" i="17"/>
  <c r="I1573" i="17"/>
  <c r="I1572" i="17"/>
  <c r="I1571" i="17"/>
  <c r="I1570" i="17"/>
  <c r="I1569" i="17"/>
  <c r="I1568" i="17"/>
  <c r="I1567" i="17"/>
  <c r="I1566" i="17"/>
  <c r="I1565" i="17"/>
  <c r="I1564" i="17"/>
  <c r="I1563" i="17"/>
  <c r="I1562" i="17"/>
  <c r="I1561" i="17"/>
  <c r="I1560" i="17"/>
  <c r="I1559" i="17"/>
  <c r="I1558" i="17"/>
  <c r="I1557" i="17"/>
  <c r="I1556" i="17"/>
  <c r="I1555" i="17"/>
  <c r="I1554" i="17"/>
  <c r="I1553" i="17"/>
  <c r="I1552" i="17"/>
  <c r="I1551" i="17"/>
  <c r="I1550" i="17"/>
  <c r="I1549" i="17"/>
  <c r="I1548" i="17"/>
  <c r="I1547" i="17"/>
  <c r="I1546" i="17"/>
  <c r="I1545" i="17"/>
  <c r="I1544" i="17"/>
  <c r="I1543" i="17"/>
  <c r="I1542" i="17"/>
  <c r="I1541" i="17"/>
  <c r="I1540" i="17"/>
  <c r="I1539" i="17"/>
  <c r="I1538" i="17"/>
  <c r="I1537" i="17"/>
  <c r="I1536" i="17"/>
  <c r="I1535" i="17"/>
  <c r="I1534" i="17"/>
  <c r="I1533" i="17"/>
  <c r="I1532" i="17"/>
  <c r="I1531" i="17"/>
  <c r="I1530" i="17"/>
  <c r="I1529" i="17"/>
  <c r="I1528" i="17"/>
  <c r="I1527" i="17"/>
  <c r="I1526" i="17"/>
  <c r="I1525" i="17"/>
  <c r="I1524" i="17"/>
  <c r="I1523" i="17"/>
  <c r="I1522" i="17"/>
  <c r="I1521" i="17"/>
  <c r="I1520" i="17"/>
  <c r="I1519" i="17"/>
  <c r="I1518" i="17"/>
  <c r="I1517" i="17"/>
  <c r="I1516" i="17"/>
  <c r="I1515" i="17"/>
  <c r="I1514" i="17"/>
  <c r="I1513" i="17"/>
  <c r="I1512" i="17"/>
  <c r="I1511" i="17"/>
  <c r="I1510" i="17"/>
  <c r="I1509" i="17"/>
  <c r="I1508" i="17"/>
  <c r="I1507" i="17"/>
  <c r="I1506" i="17"/>
  <c r="I1505" i="17"/>
  <c r="I1504" i="17"/>
  <c r="I1503" i="17"/>
  <c r="I1502" i="17"/>
  <c r="I1501" i="17"/>
  <c r="I1500" i="17"/>
  <c r="I1499" i="17"/>
  <c r="I1498" i="17"/>
  <c r="I1497" i="17"/>
  <c r="I1496" i="17"/>
  <c r="I1495" i="17"/>
  <c r="I1494" i="17"/>
  <c r="I1493" i="17"/>
  <c r="I1492" i="17"/>
  <c r="I1491" i="17"/>
  <c r="I1490" i="17"/>
  <c r="I1489" i="17"/>
  <c r="I1488" i="17"/>
  <c r="I1487" i="17"/>
  <c r="I1486" i="17"/>
  <c r="I1485" i="17"/>
  <c r="I1484" i="17"/>
  <c r="I1483" i="17"/>
  <c r="I1482" i="17"/>
  <c r="I1481" i="17"/>
  <c r="I1480" i="17"/>
  <c r="I1479" i="17"/>
  <c r="I1478" i="17"/>
  <c r="I1477" i="17"/>
  <c r="I1476" i="17"/>
  <c r="I1475" i="17"/>
  <c r="I1474" i="17"/>
  <c r="I1473" i="17"/>
  <c r="I1472" i="17"/>
  <c r="I1471" i="17"/>
  <c r="I1470" i="17"/>
  <c r="I1469" i="17"/>
  <c r="I1468" i="17"/>
  <c r="I1467" i="17"/>
  <c r="I1466" i="17"/>
  <c r="I1465" i="17"/>
  <c r="I1464" i="17"/>
  <c r="I1463" i="17"/>
  <c r="I1462" i="17"/>
  <c r="I1461" i="17"/>
  <c r="I1460" i="17"/>
  <c r="I1459" i="17"/>
  <c r="I1458" i="17"/>
  <c r="I1457" i="17"/>
  <c r="I1456" i="17"/>
  <c r="I1455" i="17"/>
  <c r="I1454" i="17"/>
  <c r="I1453" i="17"/>
  <c r="I1452" i="17"/>
  <c r="I1451" i="17"/>
  <c r="I1450" i="17"/>
  <c r="I1449" i="17"/>
  <c r="I1448" i="17"/>
  <c r="I1447" i="17"/>
  <c r="I1446" i="17"/>
  <c r="I1445" i="17"/>
  <c r="I1444" i="17"/>
  <c r="I1443" i="17"/>
  <c r="I1442" i="17"/>
  <c r="I1441" i="17"/>
  <c r="I1440" i="17"/>
  <c r="I1439" i="17"/>
  <c r="I1438" i="17"/>
  <c r="I1437" i="17"/>
  <c r="I1436" i="17"/>
  <c r="I1435" i="17"/>
  <c r="I1434" i="17"/>
  <c r="I1433" i="17"/>
  <c r="I1432" i="17"/>
  <c r="I1431" i="17"/>
  <c r="I1430" i="17"/>
  <c r="I1429" i="17"/>
  <c r="I1428" i="17"/>
  <c r="I1427" i="17"/>
  <c r="I1426" i="17"/>
  <c r="I1425" i="17"/>
  <c r="I1424" i="17"/>
  <c r="I1423" i="17"/>
  <c r="I1422" i="17"/>
  <c r="I1421" i="17"/>
  <c r="I1420" i="17"/>
  <c r="I1419" i="17"/>
  <c r="I1418" i="17"/>
  <c r="I1417" i="17"/>
  <c r="I1416" i="17"/>
  <c r="I1415" i="17"/>
  <c r="I1414" i="17"/>
  <c r="I1413" i="17"/>
  <c r="I1412" i="17"/>
  <c r="I1411" i="17"/>
  <c r="I1410" i="17"/>
  <c r="I1409" i="17"/>
  <c r="I1408" i="17"/>
  <c r="I1407" i="17"/>
  <c r="I1406" i="17"/>
  <c r="I1405" i="17"/>
  <c r="I1404" i="17"/>
  <c r="I1403" i="17"/>
  <c r="I1402" i="17"/>
  <c r="I1401" i="17"/>
  <c r="I1400" i="17"/>
  <c r="I1399" i="17"/>
  <c r="I1398" i="17"/>
  <c r="I1397" i="17"/>
  <c r="I1396" i="17"/>
  <c r="I1395" i="17"/>
  <c r="I1394" i="17"/>
  <c r="I1393" i="17"/>
  <c r="I1392" i="17"/>
  <c r="I1391" i="17"/>
  <c r="I1390" i="17"/>
  <c r="I1389" i="17"/>
  <c r="I1388" i="17"/>
  <c r="I1387" i="17"/>
  <c r="I1386" i="17"/>
  <c r="I1385" i="17"/>
  <c r="I1384" i="17"/>
  <c r="I1383" i="17"/>
  <c r="I1382" i="17"/>
  <c r="I1381" i="17"/>
  <c r="I1380" i="17"/>
  <c r="I1379" i="17"/>
  <c r="I1378" i="17"/>
  <c r="I1377" i="17"/>
  <c r="I1376" i="17"/>
  <c r="I1375" i="17"/>
  <c r="I1374" i="17"/>
  <c r="I1373" i="17"/>
  <c r="I1372" i="17"/>
  <c r="I1371" i="17"/>
  <c r="I1370" i="17"/>
  <c r="I1369" i="17"/>
  <c r="I1368" i="17"/>
  <c r="I1367" i="17"/>
  <c r="I1366" i="17"/>
  <c r="I1365" i="17"/>
  <c r="I1364" i="17"/>
  <c r="I1363" i="17"/>
  <c r="I1362" i="17"/>
  <c r="I1361" i="17"/>
  <c r="I1360" i="17"/>
  <c r="I1359" i="17"/>
  <c r="I1358" i="17"/>
  <c r="I1357" i="17"/>
  <c r="I1356" i="17"/>
  <c r="I1355" i="17"/>
  <c r="I1354" i="17"/>
  <c r="I1353" i="17"/>
  <c r="I1352" i="17"/>
  <c r="I1351" i="17"/>
  <c r="I1350" i="17"/>
  <c r="I1349" i="17"/>
  <c r="I1348" i="17"/>
  <c r="I1347" i="17"/>
  <c r="I1346" i="17"/>
  <c r="I1345" i="17"/>
  <c r="I1344" i="17"/>
  <c r="I1343" i="17"/>
  <c r="I1342" i="17"/>
  <c r="I1341" i="17"/>
  <c r="I1340" i="17"/>
  <c r="I1339" i="17"/>
  <c r="I1338" i="17"/>
  <c r="I1337" i="17"/>
  <c r="I1336" i="17"/>
  <c r="I1335" i="17"/>
  <c r="I1334" i="17"/>
  <c r="I1333" i="17"/>
  <c r="I1332" i="17"/>
  <c r="I1331" i="17"/>
  <c r="I1330" i="17"/>
  <c r="I1329" i="17"/>
  <c r="I1328" i="17"/>
  <c r="I1327" i="17"/>
  <c r="I1326" i="17"/>
  <c r="I1325" i="17"/>
  <c r="I1324" i="17"/>
  <c r="I1323" i="17"/>
  <c r="I1322" i="17"/>
  <c r="I1321" i="17"/>
  <c r="I1320" i="17"/>
  <c r="I1319" i="17"/>
  <c r="I1318" i="17"/>
  <c r="I1317" i="17"/>
  <c r="I1316" i="17"/>
  <c r="I1315" i="17"/>
  <c r="I1314" i="17"/>
  <c r="I1313" i="17"/>
  <c r="I1312" i="17"/>
  <c r="I1311" i="17"/>
  <c r="I1310" i="17"/>
  <c r="I1309" i="17"/>
  <c r="I1308" i="17"/>
  <c r="I1307" i="17"/>
  <c r="I1306" i="17"/>
  <c r="I1305" i="17"/>
  <c r="I1304" i="17"/>
  <c r="I1303" i="17"/>
  <c r="I1302" i="17"/>
  <c r="I1301" i="17"/>
  <c r="I1300" i="17"/>
  <c r="I1299" i="17"/>
  <c r="I1298" i="17"/>
  <c r="I1297" i="17"/>
  <c r="I1296" i="17"/>
  <c r="I1295" i="17"/>
  <c r="I1294" i="17"/>
  <c r="I1293" i="17"/>
  <c r="I1292" i="17"/>
  <c r="I1291" i="17"/>
  <c r="I1290" i="17"/>
  <c r="I1289" i="17"/>
  <c r="I1288" i="17"/>
  <c r="I1287" i="17"/>
  <c r="I1286" i="17"/>
  <c r="I1285" i="17"/>
  <c r="I1284" i="17"/>
  <c r="I1283" i="17"/>
  <c r="I1282" i="17"/>
  <c r="I1281" i="17"/>
  <c r="I1280" i="17"/>
  <c r="I1279" i="17"/>
  <c r="I1278" i="17"/>
  <c r="I1277" i="17"/>
  <c r="I1276" i="17"/>
  <c r="I1275" i="17"/>
  <c r="I1274" i="17"/>
  <c r="I1273" i="17"/>
  <c r="I1272" i="17"/>
  <c r="I1271" i="17"/>
  <c r="I1270" i="17"/>
  <c r="I1269" i="17"/>
  <c r="I1268" i="17"/>
  <c r="I1267" i="17"/>
  <c r="I1266" i="17"/>
  <c r="I1265" i="17"/>
  <c r="I1264" i="17"/>
  <c r="I1263" i="17"/>
  <c r="I1262" i="17"/>
  <c r="I1261" i="17"/>
  <c r="I1260" i="17"/>
  <c r="I1259" i="17"/>
  <c r="I1258" i="17"/>
  <c r="I1257" i="17"/>
  <c r="I1256" i="17"/>
  <c r="I1255" i="17"/>
  <c r="I1254" i="17"/>
  <c r="I1253" i="17"/>
  <c r="I1252" i="17"/>
  <c r="I1251" i="17"/>
  <c r="I1250" i="17"/>
  <c r="I1249" i="17"/>
  <c r="I1248" i="17"/>
  <c r="I1247" i="17"/>
  <c r="I1246" i="17"/>
  <c r="I1245" i="17"/>
  <c r="I1244" i="17"/>
  <c r="I1243" i="17"/>
  <c r="I1242" i="17"/>
  <c r="I1241" i="17"/>
  <c r="I1240" i="17"/>
  <c r="I1239" i="17"/>
  <c r="I1238" i="17"/>
  <c r="I1237" i="17"/>
  <c r="I1236" i="17"/>
  <c r="I1235" i="17"/>
  <c r="I1234" i="17"/>
  <c r="I1233" i="17"/>
  <c r="I1232" i="17"/>
  <c r="I1231" i="17"/>
  <c r="I1230" i="17"/>
  <c r="I1229" i="17"/>
  <c r="I1228" i="17"/>
  <c r="I1227" i="17"/>
  <c r="I1226" i="17"/>
  <c r="I1225" i="17"/>
  <c r="I1224" i="17"/>
  <c r="I1223" i="17"/>
  <c r="I1222" i="17"/>
  <c r="I1221" i="17"/>
  <c r="I1220" i="17"/>
  <c r="I1219" i="17"/>
  <c r="I1218" i="17"/>
  <c r="I1217" i="17"/>
  <c r="I1216" i="17"/>
  <c r="I1215" i="17"/>
  <c r="I1214" i="17"/>
  <c r="I1213" i="17"/>
  <c r="I1212" i="17"/>
  <c r="I1211" i="17"/>
  <c r="I1210" i="17"/>
  <c r="I1209" i="17"/>
  <c r="I1208" i="17"/>
  <c r="I1207" i="17"/>
  <c r="I1206" i="17"/>
  <c r="I1205" i="17"/>
  <c r="I1204" i="17"/>
  <c r="I1203" i="17"/>
  <c r="I1202" i="17"/>
  <c r="I1201" i="17"/>
  <c r="I1200" i="17"/>
  <c r="I1199" i="17"/>
  <c r="I1198" i="17"/>
  <c r="I1197" i="17"/>
  <c r="I1196" i="17"/>
  <c r="I1195" i="17"/>
  <c r="I1194" i="17"/>
  <c r="I1193" i="17"/>
  <c r="I1192" i="17"/>
  <c r="I1191" i="17"/>
  <c r="I1190" i="17"/>
  <c r="I1189" i="17"/>
  <c r="I1188" i="17"/>
  <c r="I1187" i="17"/>
  <c r="I1186" i="17"/>
  <c r="I1185" i="17"/>
  <c r="I1184" i="17"/>
  <c r="I1183" i="17"/>
  <c r="I1182" i="17"/>
  <c r="I1181" i="17"/>
  <c r="I1180" i="17"/>
  <c r="I1179" i="17"/>
  <c r="I1178" i="17"/>
  <c r="I1177" i="17"/>
  <c r="I1176" i="17"/>
  <c r="I1175" i="17"/>
  <c r="I1174" i="17"/>
  <c r="I1173" i="17"/>
  <c r="I1172" i="17"/>
  <c r="I1171" i="17"/>
  <c r="I1170" i="17"/>
  <c r="I1169" i="17"/>
  <c r="I1168" i="17"/>
  <c r="I1167" i="17"/>
  <c r="I1166" i="17"/>
  <c r="I1165" i="17"/>
  <c r="I1164" i="17"/>
  <c r="I1163" i="17"/>
  <c r="I1162" i="17"/>
  <c r="I1161" i="17"/>
  <c r="I1160" i="17"/>
  <c r="I1159" i="17"/>
  <c r="I1158" i="17"/>
  <c r="I1157" i="17"/>
  <c r="I1156" i="17"/>
  <c r="I1155" i="17"/>
  <c r="I1154" i="17"/>
  <c r="I1153" i="17"/>
  <c r="I1152" i="17"/>
  <c r="I1151" i="17"/>
  <c r="I1150" i="17"/>
  <c r="I1149" i="17"/>
  <c r="I1148" i="17"/>
  <c r="I1147" i="17"/>
  <c r="I1146" i="17"/>
  <c r="I1145" i="17"/>
  <c r="I1144" i="17"/>
  <c r="I1143" i="17"/>
  <c r="I1142" i="17"/>
  <c r="I1141" i="17"/>
  <c r="I1140" i="17"/>
  <c r="I1139" i="17"/>
  <c r="I1138" i="17"/>
  <c r="I1137" i="17"/>
  <c r="I1136" i="17"/>
  <c r="I1135" i="17"/>
  <c r="I1134" i="17"/>
  <c r="I1133" i="17"/>
  <c r="I1132" i="17"/>
  <c r="I1131" i="17"/>
  <c r="I1130" i="17"/>
  <c r="I1129" i="17"/>
  <c r="I1128" i="17"/>
  <c r="I1127" i="17"/>
  <c r="I1126" i="17"/>
  <c r="I1125" i="17"/>
  <c r="I1124" i="17"/>
  <c r="I1123" i="17"/>
  <c r="I1122" i="17"/>
  <c r="I1121" i="17"/>
  <c r="I1120" i="17"/>
  <c r="I1119" i="17"/>
  <c r="I1118" i="17"/>
  <c r="I1117" i="17"/>
  <c r="I1116" i="17"/>
  <c r="I1115" i="17"/>
  <c r="I1114" i="17"/>
  <c r="I1113" i="17"/>
  <c r="I1112" i="17"/>
  <c r="I1111" i="17"/>
  <c r="I1110" i="17"/>
  <c r="I1109" i="17"/>
  <c r="I1108" i="17"/>
  <c r="I1107" i="17"/>
  <c r="I1106" i="17"/>
  <c r="I1105" i="17"/>
  <c r="I1104" i="17"/>
  <c r="I1103" i="17"/>
  <c r="I1102" i="17"/>
  <c r="I1101" i="17"/>
  <c r="I1100" i="17"/>
  <c r="I1099" i="17"/>
  <c r="I1098" i="17"/>
  <c r="I1097" i="17"/>
  <c r="I1096" i="17"/>
  <c r="I1095" i="17"/>
  <c r="I1094" i="17"/>
  <c r="I1093" i="17"/>
  <c r="I1092" i="17"/>
  <c r="I1091" i="17"/>
  <c r="I1090" i="17"/>
  <c r="I1089" i="17"/>
  <c r="I1088" i="17"/>
  <c r="I1087" i="17"/>
  <c r="I1086" i="17"/>
  <c r="I1085" i="17"/>
  <c r="I1084" i="17"/>
  <c r="I1083" i="17"/>
  <c r="I1082" i="17"/>
  <c r="I1081" i="17"/>
  <c r="I1080" i="17"/>
  <c r="I1079" i="17"/>
  <c r="I1078" i="17"/>
  <c r="I1077" i="17"/>
  <c r="I1076" i="17"/>
  <c r="I1075" i="17"/>
  <c r="I1074" i="17"/>
  <c r="I1073" i="17"/>
  <c r="I1072" i="17"/>
  <c r="I1071" i="17"/>
  <c r="I1070" i="17"/>
  <c r="I1069" i="17"/>
  <c r="I1068" i="17"/>
  <c r="I1067" i="17"/>
  <c r="I1066" i="17"/>
  <c r="I1065" i="17"/>
  <c r="I1064" i="17"/>
  <c r="I1063" i="17"/>
  <c r="I1062" i="17"/>
  <c r="I1061" i="17"/>
  <c r="I1060" i="17"/>
  <c r="I1059" i="17"/>
  <c r="I1058" i="17"/>
  <c r="I1057" i="17"/>
  <c r="I1056" i="17"/>
  <c r="I1055" i="17"/>
  <c r="I1054" i="17"/>
  <c r="I1053" i="17"/>
  <c r="I1052" i="17"/>
  <c r="I1051" i="17"/>
  <c r="I1050" i="17"/>
  <c r="I1049" i="17"/>
  <c r="I1048" i="17"/>
  <c r="I1047" i="17"/>
  <c r="I1046" i="17"/>
  <c r="I1045" i="17"/>
  <c r="I1044" i="17"/>
  <c r="I1043" i="17"/>
  <c r="I1042" i="17"/>
  <c r="I1041" i="17"/>
  <c r="I1040" i="17"/>
  <c r="I1039" i="17"/>
  <c r="I1038" i="17"/>
  <c r="I1037" i="17"/>
  <c r="I1036" i="17"/>
  <c r="I1035" i="17"/>
  <c r="I1034" i="17"/>
  <c r="I1033" i="17"/>
  <c r="I1032" i="17"/>
  <c r="I1031" i="17"/>
  <c r="I1030" i="17"/>
  <c r="I1029" i="17"/>
  <c r="I1028" i="17"/>
  <c r="I1027" i="17"/>
  <c r="I1026" i="17"/>
  <c r="I1025" i="17"/>
  <c r="I1024" i="17"/>
  <c r="I1023" i="17"/>
  <c r="I1022" i="17"/>
  <c r="I1021" i="17"/>
  <c r="I1020" i="17"/>
  <c r="I1019" i="17"/>
  <c r="I1018" i="17"/>
  <c r="I1017" i="17"/>
  <c r="I1016" i="17"/>
  <c r="I1015" i="17"/>
  <c r="I1014" i="17"/>
  <c r="I1013" i="17"/>
  <c r="I1012" i="17"/>
  <c r="I1011" i="17"/>
  <c r="I1010" i="17"/>
  <c r="I1009" i="17"/>
  <c r="I1008" i="17"/>
  <c r="I1007" i="17"/>
  <c r="I1006" i="17"/>
  <c r="I1005" i="17"/>
  <c r="I1004" i="17"/>
  <c r="I1003" i="17"/>
  <c r="I1002" i="17"/>
  <c r="I1001" i="17"/>
  <c r="I1000" i="17"/>
  <c r="I999" i="17"/>
  <c r="I998" i="17"/>
  <c r="I997" i="17"/>
  <c r="I996" i="17"/>
  <c r="I995" i="17"/>
  <c r="I994" i="17"/>
  <c r="I993" i="17"/>
  <c r="I992" i="17"/>
  <c r="I991" i="17"/>
  <c r="I990" i="17"/>
  <c r="I989" i="17"/>
  <c r="I988" i="17"/>
  <c r="I987" i="17"/>
  <c r="I986" i="17"/>
  <c r="I985" i="17"/>
  <c r="I984" i="17"/>
  <c r="I983" i="17"/>
  <c r="I982" i="17"/>
  <c r="I981" i="17"/>
  <c r="I980" i="17"/>
  <c r="I979" i="17"/>
  <c r="I978" i="17"/>
  <c r="I977" i="17"/>
  <c r="I976" i="17"/>
  <c r="I975" i="17"/>
  <c r="I974" i="17"/>
  <c r="I973" i="17"/>
  <c r="I972" i="17"/>
  <c r="I971" i="17"/>
  <c r="I970" i="17"/>
  <c r="I969" i="17"/>
  <c r="I968" i="17"/>
  <c r="I967" i="17"/>
  <c r="I966" i="17"/>
  <c r="I965" i="17"/>
  <c r="I964" i="17"/>
  <c r="I963" i="17"/>
  <c r="I962" i="17"/>
  <c r="I961" i="17"/>
  <c r="I960" i="17"/>
  <c r="I959" i="17"/>
  <c r="I958" i="17"/>
  <c r="I957" i="17"/>
  <c r="I956" i="17"/>
  <c r="I955" i="17"/>
  <c r="I954" i="17"/>
  <c r="I953" i="17"/>
  <c r="I952" i="17"/>
  <c r="I951" i="17"/>
  <c r="I950" i="17"/>
  <c r="I949" i="17"/>
  <c r="I948" i="17"/>
  <c r="I947" i="17"/>
  <c r="I946" i="17"/>
  <c r="I945" i="17"/>
  <c r="I944" i="17"/>
  <c r="I943" i="17"/>
  <c r="I942" i="17"/>
  <c r="I941" i="17"/>
  <c r="I940" i="17"/>
  <c r="I939" i="17"/>
  <c r="I938" i="17"/>
  <c r="I937" i="17"/>
  <c r="I936" i="17"/>
  <c r="I935" i="17"/>
  <c r="I934" i="17"/>
  <c r="I933" i="17"/>
  <c r="I932" i="17"/>
  <c r="I931" i="17"/>
  <c r="I930" i="17"/>
  <c r="I929" i="17"/>
  <c r="I928" i="17"/>
  <c r="I927" i="17"/>
  <c r="I926" i="17"/>
  <c r="I925" i="17"/>
  <c r="I924" i="17"/>
  <c r="I923" i="17"/>
  <c r="I922" i="17"/>
  <c r="I921" i="17"/>
  <c r="I920" i="17"/>
  <c r="I919" i="17"/>
  <c r="I918" i="17"/>
  <c r="I917" i="17"/>
  <c r="I916" i="17"/>
  <c r="I915" i="17"/>
  <c r="I914" i="17"/>
  <c r="I913" i="17"/>
  <c r="I912" i="17"/>
  <c r="I911" i="17"/>
  <c r="I910" i="17"/>
  <c r="I909" i="17"/>
  <c r="I908" i="17"/>
  <c r="I907" i="17"/>
  <c r="I906" i="17"/>
  <c r="I905" i="17"/>
  <c r="I904" i="17"/>
  <c r="I903" i="17"/>
  <c r="I902" i="17"/>
  <c r="I901" i="17"/>
  <c r="I900" i="17"/>
  <c r="I899" i="17"/>
  <c r="I898" i="17"/>
  <c r="I897" i="17"/>
  <c r="I896" i="17"/>
  <c r="I895" i="17"/>
  <c r="I894" i="17"/>
  <c r="I893" i="17"/>
  <c r="I892" i="17"/>
  <c r="I891" i="17"/>
  <c r="I890" i="17"/>
  <c r="I889" i="17"/>
  <c r="I888" i="17"/>
  <c r="I887" i="17"/>
  <c r="I886" i="17"/>
  <c r="I885" i="17"/>
  <c r="I884" i="17"/>
  <c r="I883" i="17"/>
  <c r="I882" i="17"/>
  <c r="I881" i="17"/>
  <c r="I880" i="17"/>
  <c r="I879" i="17"/>
  <c r="I878" i="17"/>
  <c r="I877" i="17"/>
  <c r="I876" i="17"/>
  <c r="I875" i="17"/>
  <c r="I874" i="17"/>
  <c r="I873" i="17"/>
  <c r="I872" i="17"/>
  <c r="I871" i="17"/>
  <c r="I870" i="17"/>
  <c r="I869" i="17"/>
  <c r="I868" i="17"/>
  <c r="I867" i="17"/>
  <c r="I866" i="17"/>
  <c r="I865" i="17"/>
  <c r="I864" i="17"/>
  <c r="I863" i="17"/>
  <c r="I862" i="17"/>
  <c r="I861" i="17"/>
  <c r="I860" i="17"/>
  <c r="I859" i="17"/>
  <c r="I858" i="17"/>
  <c r="I857" i="17"/>
  <c r="I856" i="17"/>
  <c r="I855" i="17"/>
  <c r="I854" i="17"/>
  <c r="I853" i="17"/>
  <c r="I852" i="17"/>
  <c r="I851" i="17"/>
  <c r="I850" i="17"/>
  <c r="I849" i="17"/>
  <c r="I848" i="17"/>
  <c r="I847" i="17"/>
  <c r="I846" i="17"/>
  <c r="I845" i="17"/>
  <c r="I844" i="17"/>
  <c r="I843" i="17"/>
  <c r="I842" i="17"/>
  <c r="I841" i="17"/>
  <c r="I840" i="17"/>
  <c r="I839" i="17"/>
  <c r="I838" i="17"/>
  <c r="I837" i="17"/>
  <c r="I836" i="17"/>
  <c r="I835" i="17"/>
  <c r="I834" i="17"/>
  <c r="I833" i="17"/>
  <c r="I832" i="17"/>
  <c r="I831" i="17"/>
  <c r="I830" i="17"/>
  <c r="I829" i="17"/>
  <c r="I828" i="17"/>
  <c r="I827" i="17"/>
  <c r="I826" i="17"/>
  <c r="I825" i="17"/>
  <c r="I824" i="17"/>
  <c r="I823" i="17"/>
  <c r="I822" i="17"/>
  <c r="I821" i="17"/>
  <c r="I820" i="17"/>
  <c r="I819" i="17"/>
  <c r="I818" i="17"/>
  <c r="I817" i="17"/>
  <c r="I816" i="17"/>
  <c r="I815" i="17"/>
  <c r="I814" i="17"/>
  <c r="I813" i="17"/>
  <c r="I812" i="17"/>
  <c r="I811" i="17"/>
  <c r="I810" i="17"/>
  <c r="I809" i="17"/>
  <c r="I808" i="17"/>
  <c r="I807" i="17"/>
  <c r="I806" i="17"/>
  <c r="I805" i="17"/>
  <c r="I804" i="17"/>
  <c r="I803" i="17"/>
  <c r="I802" i="17"/>
  <c r="I801" i="17"/>
  <c r="I800" i="17"/>
  <c r="I799" i="17"/>
  <c r="I798" i="17"/>
  <c r="I797" i="17"/>
  <c r="I796" i="17"/>
  <c r="I795" i="17"/>
  <c r="I794" i="17"/>
  <c r="I793" i="17"/>
  <c r="I792" i="17"/>
  <c r="I791" i="17"/>
  <c r="I790" i="17"/>
  <c r="I789" i="17"/>
  <c r="I788" i="17"/>
  <c r="I787" i="17"/>
  <c r="I786" i="17"/>
  <c r="I785" i="17"/>
  <c r="I784" i="17"/>
  <c r="I783" i="17"/>
  <c r="I782" i="17"/>
  <c r="I781" i="17"/>
  <c r="I780" i="17"/>
  <c r="I779" i="17"/>
  <c r="I778" i="17"/>
  <c r="I777" i="17"/>
  <c r="I776" i="17"/>
  <c r="I775" i="17"/>
  <c r="I774" i="17"/>
  <c r="I773" i="17"/>
  <c r="I772" i="17"/>
  <c r="I771" i="17"/>
  <c r="I770" i="17"/>
  <c r="I769" i="17"/>
  <c r="I768" i="17"/>
  <c r="I767" i="17"/>
  <c r="I766" i="17"/>
  <c r="I765" i="17"/>
  <c r="I764" i="17"/>
  <c r="I763" i="17"/>
  <c r="I762" i="17"/>
  <c r="I761" i="17"/>
  <c r="I760" i="17"/>
  <c r="I759" i="17"/>
  <c r="I758" i="17"/>
  <c r="I757" i="17"/>
  <c r="I756" i="17"/>
  <c r="I755" i="17"/>
  <c r="I754" i="17"/>
  <c r="I753" i="17"/>
  <c r="I752" i="17"/>
  <c r="I751" i="17"/>
  <c r="I750" i="17"/>
  <c r="I749" i="17"/>
  <c r="I748" i="17"/>
  <c r="I747" i="17"/>
  <c r="I746" i="17"/>
  <c r="I745" i="17"/>
  <c r="I744" i="17"/>
  <c r="I743" i="17"/>
  <c r="I742" i="17"/>
  <c r="I741" i="17"/>
  <c r="I740" i="17"/>
  <c r="I739" i="17"/>
  <c r="I738" i="17"/>
  <c r="I737" i="17"/>
  <c r="I736" i="17"/>
  <c r="I735" i="17"/>
  <c r="I734" i="17"/>
  <c r="I733" i="17"/>
  <c r="I732" i="17"/>
  <c r="I731" i="17"/>
  <c r="I730" i="17"/>
  <c r="I729" i="17"/>
  <c r="I728" i="17"/>
  <c r="I727" i="17"/>
  <c r="I726" i="17"/>
  <c r="I725" i="17"/>
  <c r="I724" i="17"/>
  <c r="I723" i="17"/>
  <c r="I722" i="17"/>
  <c r="I721" i="17"/>
  <c r="I720" i="17"/>
  <c r="I719" i="17"/>
  <c r="I718" i="17"/>
  <c r="I717" i="17"/>
  <c r="I716" i="17"/>
  <c r="I715" i="17"/>
  <c r="I714" i="17"/>
  <c r="I713" i="17"/>
  <c r="I712" i="17"/>
  <c r="I711" i="17"/>
  <c r="I710" i="17"/>
  <c r="I709" i="17"/>
  <c r="I708" i="17"/>
  <c r="I707" i="17"/>
  <c r="I706" i="17"/>
  <c r="I705" i="17"/>
  <c r="I704" i="17"/>
  <c r="I703" i="17"/>
  <c r="I702" i="17"/>
  <c r="I701" i="17"/>
  <c r="I700" i="17"/>
  <c r="I699" i="17"/>
  <c r="I698" i="17"/>
  <c r="I697" i="17"/>
  <c r="I696" i="17"/>
  <c r="I695" i="17"/>
  <c r="I694" i="17"/>
  <c r="I693" i="17"/>
  <c r="I692" i="17"/>
  <c r="I691" i="17"/>
  <c r="I690" i="17"/>
  <c r="I689" i="17"/>
  <c r="I688" i="17"/>
  <c r="I687" i="17"/>
  <c r="I686" i="17"/>
  <c r="I685" i="17"/>
  <c r="I684" i="17"/>
  <c r="I683" i="17"/>
  <c r="I682" i="17"/>
  <c r="I681" i="17"/>
  <c r="I680" i="17"/>
  <c r="I679" i="17"/>
  <c r="I678" i="17"/>
  <c r="I677" i="17"/>
  <c r="I676" i="17"/>
  <c r="I675" i="17"/>
  <c r="I674" i="17"/>
  <c r="I673" i="17"/>
  <c r="I672" i="17"/>
  <c r="I671" i="17"/>
  <c r="I670" i="17"/>
  <c r="I669" i="17"/>
  <c r="I668" i="17"/>
  <c r="I667" i="17"/>
  <c r="I666" i="17"/>
  <c r="I665" i="17"/>
  <c r="I664" i="17"/>
  <c r="I663" i="17"/>
  <c r="I662" i="17"/>
  <c r="I661" i="17"/>
  <c r="I660" i="17"/>
  <c r="I659" i="17"/>
  <c r="I658" i="17"/>
  <c r="I657" i="17"/>
  <c r="I656" i="17"/>
  <c r="I655" i="17"/>
  <c r="I654" i="17"/>
  <c r="I653" i="17"/>
  <c r="I652" i="17"/>
  <c r="I651" i="17"/>
  <c r="I650" i="17"/>
  <c r="I649" i="17"/>
  <c r="I648" i="17"/>
  <c r="I647" i="17"/>
  <c r="I646" i="17"/>
  <c r="I645" i="17"/>
  <c r="I644" i="17"/>
  <c r="I643" i="17"/>
  <c r="I642" i="17"/>
  <c r="I641" i="17"/>
  <c r="I640" i="17"/>
  <c r="I639" i="17"/>
  <c r="I638" i="17"/>
  <c r="I637" i="17"/>
  <c r="I636" i="17"/>
  <c r="I635" i="17"/>
  <c r="I634" i="17"/>
  <c r="I633" i="17"/>
  <c r="I632" i="17"/>
  <c r="I631" i="17"/>
  <c r="I630" i="17"/>
  <c r="I629" i="17"/>
  <c r="I628" i="17"/>
  <c r="I627" i="17"/>
  <c r="I626" i="17"/>
  <c r="I625" i="17"/>
  <c r="I624" i="17"/>
  <c r="I623" i="17"/>
  <c r="I622" i="17"/>
  <c r="I621" i="17"/>
  <c r="I620" i="17"/>
  <c r="I619" i="17"/>
  <c r="I618" i="17"/>
  <c r="I617" i="17"/>
  <c r="I616" i="17"/>
  <c r="I615" i="17"/>
  <c r="I614" i="17"/>
  <c r="I613" i="17"/>
  <c r="I612" i="17"/>
  <c r="I611" i="17"/>
  <c r="I610" i="17"/>
  <c r="I609" i="17"/>
  <c r="I608" i="17"/>
  <c r="I607" i="17"/>
  <c r="I606" i="17"/>
  <c r="I605" i="17"/>
  <c r="I604" i="17"/>
  <c r="I603" i="17"/>
  <c r="I602" i="17"/>
  <c r="I601" i="17"/>
  <c r="I600" i="17"/>
  <c r="I599" i="17"/>
  <c r="I598" i="17"/>
  <c r="I597" i="17"/>
  <c r="I596" i="17"/>
  <c r="I595" i="17"/>
  <c r="I594" i="17"/>
  <c r="I593" i="17"/>
  <c r="I592" i="17"/>
  <c r="I591" i="17"/>
  <c r="I590" i="17"/>
  <c r="I589" i="17"/>
  <c r="I588" i="17"/>
  <c r="I587" i="17"/>
  <c r="I586" i="17"/>
  <c r="I585" i="17"/>
  <c r="I584" i="17"/>
  <c r="I583" i="17"/>
  <c r="I582" i="17"/>
  <c r="I581" i="17"/>
  <c r="I580" i="17"/>
  <c r="I579" i="17"/>
  <c r="I578" i="17"/>
  <c r="I577" i="17"/>
  <c r="I576" i="17"/>
  <c r="I575" i="17"/>
  <c r="I574" i="17"/>
  <c r="I573" i="17"/>
  <c r="I572" i="17"/>
  <c r="I571" i="17"/>
  <c r="I570" i="17"/>
  <c r="I569" i="17"/>
  <c r="I568" i="17"/>
  <c r="I567" i="17"/>
  <c r="I566" i="17"/>
  <c r="I565" i="17"/>
  <c r="I564" i="17"/>
  <c r="I563" i="17"/>
  <c r="I562" i="17"/>
  <c r="I561" i="17"/>
  <c r="I560" i="17"/>
  <c r="I559" i="17"/>
  <c r="I558" i="17"/>
  <c r="I557" i="17"/>
  <c r="I556" i="17"/>
  <c r="I555" i="17"/>
  <c r="I554" i="17"/>
  <c r="I553" i="17"/>
  <c r="I552" i="17"/>
  <c r="I551" i="17"/>
  <c r="I550" i="17"/>
  <c r="I549" i="17"/>
  <c r="I548" i="17"/>
  <c r="I547" i="17"/>
  <c r="I546" i="17"/>
  <c r="I545" i="17"/>
  <c r="I544" i="17"/>
  <c r="I543" i="17"/>
  <c r="I542" i="17"/>
  <c r="I541" i="17"/>
  <c r="I540" i="17"/>
  <c r="I539" i="17"/>
  <c r="I538" i="17"/>
  <c r="I537" i="17"/>
  <c r="I536" i="17"/>
  <c r="I535" i="17"/>
  <c r="I534" i="17"/>
  <c r="I533" i="17"/>
  <c r="I532" i="17"/>
  <c r="I531" i="17"/>
  <c r="I530" i="17"/>
  <c r="I529" i="17"/>
  <c r="I528" i="17"/>
  <c r="I527" i="17"/>
  <c r="I526" i="17"/>
  <c r="I525" i="17"/>
  <c r="I524" i="17"/>
  <c r="I523" i="17"/>
  <c r="I522" i="17"/>
  <c r="I521" i="17"/>
  <c r="I520" i="17"/>
  <c r="I519" i="17"/>
  <c r="I518" i="17"/>
  <c r="I517" i="17"/>
  <c r="I516" i="17"/>
  <c r="I515" i="17"/>
  <c r="I514" i="17"/>
  <c r="I513" i="17"/>
  <c r="I512" i="17"/>
  <c r="I511" i="17"/>
  <c r="I510" i="17"/>
  <c r="I509" i="17"/>
  <c r="I508" i="17"/>
  <c r="I507" i="17"/>
  <c r="I506" i="17"/>
  <c r="I505" i="17"/>
  <c r="I504" i="17"/>
  <c r="I503" i="17"/>
  <c r="I502" i="17"/>
  <c r="I501" i="17"/>
  <c r="I500" i="17"/>
  <c r="I499" i="17"/>
  <c r="I498" i="17"/>
  <c r="I497" i="17"/>
  <c r="I496" i="17"/>
  <c r="I495" i="17"/>
  <c r="I494" i="17"/>
  <c r="I493" i="17"/>
  <c r="I492" i="17"/>
  <c r="I491" i="17"/>
  <c r="I490" i="17"/>
  <c r="I489" i="17"/>
  <c r="I488" i="17"/>
  <c r="I487" i="17"/>
  <c r="I486" i="17"/>
  <c r="I485" i="17"/>
  <c r="I484" i="17"/>
  <c r="I483" i="17"/>
  <c r="I482" i="17"/>
  <c r="I481" i="17"/>
  <c r="I480" i="17"/>
  <c r="I479" i="17"/>
  <c r="I478" i="17"/>
  <c r="I477" i="17"/>
  <c r="I476" i="17"/>
  <c r="I475" i="17"/>
  <c r="I474" i="17"/>
  <c r="I473" i="17"/>
  <c r="I472" i="17"/>
  <c r="I471" i="17"/>
  <c r="I470" i="17"/>
  <c r="I469" i="17"/>
  <c r="I468" i="17"/>
  <c r="I467" i="17"/>
  <c r="I466" i="17"/>
  <c r="I465" i="17"/>
  <c r="I464" i="17"/>
  <c r="I463" i="17"/>
  <c r="I462" i="17"/>
  <c r="I461" i="17"/>
  <c r="I460" i="17"/>
  <c r="I459" i="17"/>
  <c r="I458" i="17"/>
  <c r="I457" i="17"/>
  <c r="I456" i="17"/>
  <c r="I455" i="17"/>
  <c r="I454" i="17"/>
  <c r="I453" i="17"/>
  <c r="I452" i="17"/>
  <c r="I451" i="17"/>
  <c r="I450" i="17"/>
  <c r="I449" i="17"/>
  <c r="I448" i="17"/>
  <c r="I447" i="17"/>
  <c r="I446" i="17"/>
  <c r="I445" i="17"/>
  <c r="I444" i="17"/>
  <c r="I443" i="17"/>
  <c r="I442" i="17"/>
  <c r="I441" i="17"/>
  <c r="I440" i="17"/>
  <c r="I439" i="17"/>
  <c r="I438" i="17"/>
  <c r="I437" i="17"/>
  <c r="I436" i="17"/>
  <c r="I435" i="17"/>
  <c r="I434" i="17"/>
  <c r="I433" i="17"/>
  <c r="I432" i="17"/>
  <c r="I431" i="17"/>
  <c r="I430" i="17"/>
  <c r="I429" i="17"/>
  <c r="I428" i="17"/>
  <c r="I427" i="17"/>
  <c r="I426" i="17"/>
  <c r="I425" i="17"/>
  <c r="I424" i="17"/>
  <c r="I423" i="17"/>
  <c r="I422" i="17"/>
  <c r="I421" i="17"/>
  <c r="I420" i="17"/>
  <c r="I419" i="17"/>
  <c r="I418" i="17"/>
  <c r="I417" i="17"/>
  <c r="I416" i="17"/>
  <c r="I415" i="17"/>
  <c r="I414" i="17"/>
  <c r="I413" i="17"/>
  <c r="I412" i="17"/>
  <c r="I411" i="17"/>
  <c r="I410" i="17"/>
  <c r="I409" i="17"/>
  <c r="I408" i="17"/>
  <c r="I407" i="17"/>
  <c r="I406" i="17"/>
  <c r="I405" i="17"/>
  <c r="I404" i="17"/>
  <c r="I403" i="17"/>
  <c r="I402" i="17"/>
  <c r="I401" i="17"/>
  <c r="I400" i="17"/>
  <c r="I399" i="17"/>
  <c r="I398" i="17"/>
  <c r="I397" i="17"/>
  <c r="I396" i="17"/>
  <c r="I395" i="17"/>
  <c r="I394" i="17"/>
  <c r="I393" i="17"/>
  <c r="I392" i="17"/>
  <c r="I391" i="17"/>
  <c r="I390" i="17"/>
  <c r="I389" i="17"/>
  <c r="I388" i="17"/>
  <c r="I387" i="17"/>
  <c r="I386" i="17"/>
  <c r="I385" i="17"/>
  <c r="I384" i="17"/>
  <c r="I383" i="17"/>
  <c r="I382" i="17"/>
  <c r="I381" i="17"/>
  <c r="I380" i="17"/>
  <c r="I379" i="17"/>
  <c r="I378" i="17"/>
  <c r="I377" i="17"/>
  <c r="I376" i="17"/>
  <c r="I375" i="17"/>
  <c r="I374" i="17"/>
  <c r="I373" i="17"/>
  <c r="I372" i="17"/>
  <c r="I371" i="17"/>
  <c r="I370" i="17"/>
  <c r="I369" i="17"/>
  <c r="I368" i="17"/>
  <c r="I367" i="17"/>
  <c r="I366" i="17"/>
  <c r="I365" i="17"/>
  <c r="I364" i="17"/>
  <c r="I363" i="17"/>
  <c r="I362" i="17"/>
  <c r="I361" i="17"/>
  <c r="I360" i="17"/>
  <c r="I359" i="17"/>
  <c r="I358" i="17"/>
  <c r="I357" i="17"/>
  <c r="I356" i="17"/>
  <c r="I355" i="17"/>
  <c r="I354" i="17"/>
  <c r="I353" i="17"/>
  <c r="I352" i="17"/>
  <c r="I351" i="17"/>
  <c r="I350" i="17"/>
  <c r="I349" i="17"/>
  <c r="I348" i="17"/>
  <c r="I347" i="17"/>
  <c r="I346" i="17"/>
  <c r="I345" i="17"/>
  <c r="I344" i="17"/>
  <c r="I343" i="17"/>
  <c r="I342" i="17"/>
  <c r="I341" i="17"/>
  <c r="I340" i="17"/>
  <c r="I339" i="17"/>
  <c r="I338" i="17"/>
  <c r="I337" i="17"/>
  <c r="I336" i="17"/>
  <c r="I335" i="17"/>
  <c r="I334" i="17"/>
  <c r="I333" i="17"/>
  <c r="I332" i="17"/>
  <c r="I331" i="17"/>
  <c r="I330" i="17"/>
  <c r="I329" i="17"/>
  <c r="I328" i="17"/>
  <c r="I327" i="17"/>
  <c r="I326" i="17"/>
  <c r="I325" i="17"/>
  <c r="I324" i="17"/>
  <c r="I323" i="17"/>
  <c r="I322" i="17"/>
  <c r="I321" i="17"/>
  <c r="I320" i="17"/>
  <c r="I319" i="17"/>
  <c r="I318" i="17"/>
  <c r="I317" i="17"/>
  <c r="I316" i="17"/>
  <c r="I315" i="17"/>
  <c r="I314" i="17"/>
  <c r="I313" i="17"/>
  <c r="I312" i="17"/>
  <c r="I311" i="17"/>
  <c r="I310" i="17"/>
  <c r="I309" i="17"/>
  <c r="I308" i="17"/>
  <c r="I307" i="17"/>
  <c r="I306" i="17"/>
  <c r="I305" i="17"/>
  <c r="I304" i="17"/>
  <c r="I303" i="17"/>
  <c r="I302" i="17"/>
  <c r="I301" i="17"/>
  <c r="I300" i="17"/>
  <c r="I299" i="17"/>
  <c r="I298" i="17"/>
  <c r="I297" i="17"/>
  <c r="I296" i="17"/>
  <c r="I295" i="17"/>
  <c r="I294" i="17"/>
  <c r="I293" i="17"/>
  <c r="I292" i="17"/>
  <c r="I291" i="17"/>
  <c r="I290" i="17"/>
  <c r="I289" i="17"/>
  <c r="I288" i="17"/>
  <c r="I287" i="17"/>
  <c r="I286" i="17"/>
  <c r="I285" i="17"/>
  <c r="I284" i="17"/>
  <c r="I283" i="17"/>
  <c r="I282" i="17"/>
  <c r="I281" i="17"/>
  <c r="I280" i="17"/>
  <c r="I279" i="17"/>
  <c r="I278" i="17"/>
  <c r="I277" i="17"/>
  <c r="I276" i="17"/>
  <c r="I275" i="17"/>
  <c r="I274" i="17"/>
  <c r="I273" i="17"/>
  <c r="I272" i="17"/>
  <c r="I271" i="17"/>
  <c r="I270" i="17"/>
  <c r="I269" i="17"/>
  <c r="I268" i="17"/>
  <c r="I267" i="17"/>
  <c r="I266" i="17"/>
  <c r="I265" i="17"/>
  <c r="I264" i="17"/>
  <c r="I263" i="17"/>
  <c r="I262" i="17"/>
  <c r="I261" i="17"/>
  <c r="I260" i="17"/>
  <c r="I259" i="17"/>
  <c r="I258" i="17"/>
  <c r="I257" i="17"/>
  <c r="I256" i="17"/>
  <c r="I255" i="17"/>
  <c r="I254" i="17"/>
  <c r="I253" i="17"/>
  <c r="I252" i="17"/>
  <c r="I251" i="17"/>
  <c r="I250" i="17"/>
  <c r="I249" i="17"/>
  <c r="I248" i="17"/>
  <c r="I247" i="17"/>
  <c r="I246" i="17"/>
  <c r="I245" i="17"/>
  <c r="I244" i="17"/>
  <c r="I243" i="17"/>
  <c r="I242" i="17"/>
  <c r="I241" i="17"/>
  <c r="I240" i="17"/>
  <c r="I239" i="17"/>
  <c r="I238" i="17"/>
  <c r="I237" i="17"/>
  <c r="I236" i="17"/>
  <c r="I235" i="17"/>
  <c r="I234" i="17"/>
  <c r="I233" i="17"/>
  <c r="I232" i="17"/>
  <c r="I231" i="17"/>
  <c r="I230" i="17"/>
  <c r="I229" i="17"/>
  <c r="I228" i="17"/>
  <c r="I227" i="17"/>
  <c r="I226" i="17"/>
  <c r="I225" i="17"/>
  <c r="I224" i="17"/>
  <c r="I223" i="17"/>
  <c r="I222" i="17"/>
  <c r="I221" i="17"/>
  <c r="I220" i="17"/>
  <c r="I219" i="17"/>
  <c r="I218" i="17"/>
  <c r="I217" i="17"/>
  <c r="I216" i="17"/>
  <c r="I215" i="17"/>
  <c r="I214" i="17"/>
  <c r="I213" i="17"/>
  <c r="I212" i="17"/>
  <c r="I211" i="17"/>
  <c r="I210" i="17"/>
  <c r="I209" i="17"/>
  <c r="I208" i="17"/>
  <c r="I207" i="17"/>
  <c r="I206" i="17"/>
  <c r="I205" i="17"/>
  <c r="I204" i="17"/>
  <c r="I203" i="17"/>
  <c r="I202" i="17"/>
  <c r="I201" i="17"/>
  <c r="I200" i="17"/>
  <c r="I199" i="17"/>
  <c r="I198" i="17"/>
  <c r="I197" i="17"/>
  <c r="I196" i="17"/>
  <c r="I195" i="17"/>
  <c r="I194" i="17"/>
  <c r="I193" i="17"/>
  <c r="I192" i="17"/>
  <c r="I191" i="17"/>
  <c r="I190" i="17"/>
  <c r="I189" i="17"/>
  <c r="I188" i="17"/>
  <c r="I187" i="17"/>
  <c r="I186" i="17"/>
  <c r="I185" i="17"/>
  <c r="I184" i="17"/>
  <c r="I183" i="17"/>
  <c r="I182" i="17"/>
  <c r="I181" i="17"/>
  <c r="I180" i="17"/>
  <c r="I179" i="17"/>
  <c r="I178" i="17"/>
  <c r="I177" i="17"/>
  <c r="I176" i="17"/>
  <c r="I175" i="17"/>
  <c r="I174" i="17"/>
  <c r="I173" i="17"/>
  <c r="I172" i="17"/>
  <c r="I171" i="17"/>
  <c r="I170" i="17"/>
  <c r="I169" i="17"/>
  <c r="I168" i="17"/>
  <c r="I167" i="17"/>
  <c r="I166" i="17"/>
  <c r="I165" i="17"/>
  <c r="I164" i="17"/>
  <c r="I163" i="17"/>
  <c r="I162" i="17"/>
  <c r="I161" i="17"/>
  <c r="I160" i="17"/>
  <c r="I159" i="17"/>
  <c r="I158" i="17"/>
  <c r="I157" i="17"/>
  <c r="I156" i="17"/>
  <c r="I155" i="17"/>
  <c r="I154" i="17"/>
  <c r="I153" i="17"/>
  <c r="I152" i="17"/>
  <c r="I151" i="17"/>
  <c r="I150" i="17"/>
  <c r="I149" i="17"/>
  <c r="I148" i="17"/>
  <c r="I147" i="17"/>
  <c r="I146" i="17"/>
  <c r="I145" i="17"/>
  <c r="I144" i="17"/>
  <c r="I143" i="17"/>
  <c r="I142" i="17"/>
  <c r="I141" i="17"/>
  <c r="I140" i="17"/>
  <c r="I139" i="17"/>
  <c r="I138" i="17"/>
  <c r="I137" i="17"/>
  <c r="I136" i="17"/>
  <c r="I135" i="17"/>
  <c r="I134" i="17"/>
  <c r="I133" i="17"/>
  <c r="I132" i="17"/>
  <c r="I131" i="17"/>
  <c r="I130" i="17"/>
  <c r="I129" i="17"/>
  <c r="I128" i="17"/>
  <c r="I127" i="17"/>
  <c r="I126" i="17"/>
  <c r="I125" i="17"/>
  <c r="I124" i="17"/>
  <c r="I123" i="17"/>
  <c r="I122" i="17"/>
  <c r="I121" i="17"/>
  <c r="I120" i="17"/>
  <c r="I119" i="17"/>
  <c r="I118" i="17"/>
  <c r="I117" i="17"/>
  <c r="I116" i="17"/>
  <c r="I115" i="17"/>
  <c r="I114" i="17"/>
  <c r="I113" i="17"/>
  <c r="I112" i="17"/>
  <c r="I111" i="17"/>
  <c r="I110" i="17"/>
  <c r="I109" i="17"/>
  <c r="I108" i="17"/>
  <c r="I107" i="17"/>
  <c r="I106" i="17"/>
  <c r="I105" i="17"/>
  <c r="I104" i="17"/>
  <c r="I103" i="17"/>
  <c r="I102" i="17"/>
  <c r="I101" i="17"/>
  <c r="I100" i="17"/>
  <c r="I99" i="17"/>
  <c r="I98" i="17"/>
  <c r="I97" i="17"/>
  <c r="I96" i="17"/>
  <c r="I95" i="17"/>
  <c r="I94" i="17"/>
  <c r="I93" i="17"/>
  <c r="I92" i="17"/>
  <c r="I91" i="17"/>
  <c r="I90" i="17"/>
  <c r="I89" i="17"/>
  <c r="I88" i="17"/>
  <c r="I87" i="17"/>
  <c r="I86" i="17"/>
  <c r="I85" i="17"/>
  <c r="I84" i="17"/>
  <c r="I83" i="17"/>
  <c r="I82" i="17"/>
  <c r="I81" i="17"/>
  <c r="I80" i="17"/>
  <c r="I79" i="17"/>
  <c r="I78" i="17"/>
  <c r="I77" i="17"/>
  <c r="I76" i="17"/>
  <c r="I75" i="17"/>
  <c r="I74" i="17"/>
  <c r="I73" i="17"/>
  <c r="I72" i="17"/>
  <c r="I71" i="17"/>
  <c r="I70" i="17"/>
  <c r="I69" i="17"/>
  <c r="I68" i="17"/>
  <c r="I67" i="17"/>
  <c r="I66" i="17"/>
  <c r="I65" i="17"/>
  <c r="I64" i="17"/>
  <c r="I63" i="17"/>
  <c r="I62" i="17"/>
  <c r="I61" i="17"/>
  <c r="I60" i="17"/>
  <c r="I59" i="17"/>
  <c r="I58" i="17"/>
  <c r="I57" i="17"/>
  <c r="I56" i="17"/>
  <c r="I55" i="17"/>
  <c r="I54" i="17"/>
  <c r="I53" i="17"/>
  <c r="I52" i="17"/>
  <c r="I51" i="17"/>
  <c r="I50" i="17"/>
  <c r="I49" i="17"/>
  <c r="I48" i="17"/>
  <c r="I47" i="17"/>
  <c r="I46" i="17"/>
  <c r="I45" i="17"/>
  <c r="I44" i="17"/>
  <c r="I43" i="17"/>
  <c r="I42" i="17"/>
  <c r="I41" i="17"/>
  <c r="I40" i="17"/>
  <c r="I39" i="17"/>
  <c r="I38" i="17"/>
  <c r="I37" i="17"/>
  <c r="I36" i="17"/>
  <c r="I35" i="17"/>
  <c r="I34" i="17"/>
  <c r="I33" i="17"/>
  <c r="I32" i="17"/>
  <c r="I31" i="17"/>
  <c r="I30" i="17"/>
  <c r="I29" i="17"/>
  <c r="I28" i="17"/>
  <c r="I27" i="17"/>
  <c r="I26" i="17"/>
  <c r="I25" i="17"/>
  <c r="I24" i="17"/>
  <c r="I23" i="17"/>
  <c r="I22" i="17"/>
  <c r="I21" i="17"/>
  <c r="I20" i="17"/>
  <c r="I19" i="17"/>
  <c r="I18" i="17"/>
  <c r="I17" i="17"/>
  <c r="I16" i="17"/>
  <c r="I15" i="17"/>
  <c r="I14" i="17"/>
  <c r="I13" i="17"/>
  <c r="I12" i="17"/>
  <c r="I11" i="17"/>
  <c r="I10" i="17"/>
  <c r="I9" i="17"/>
  <c r="I8" i="17"/>
  <c r="I7" i="17"/>
  <c r="I6" i="17"/>
  <c r="I5" i="17"/>
  <c r="I4" i="17"/>
  <c r="I3" i="17"/>
  <c r="I2" i="17"/>
  <c r="I53" i="16"/>
  <c r="I52" i="16"/>
  <c r="I51" i="16"/>
  <c r="I50" i="16"/>
  <c r="I49" i="16"/>
  <c r="I48" i="16"/>
  <c r="I47" i="16"/>
  <c r="I46" i="16"/>
  <c r="I45" i="16"/>
  <c r="I44" i="16"/>
  <c r="I43" i="16"/>
  <c r="I42" i="16"/>
  <c r="I41" i="16"/>
  <c r="I40" i="16"/>
  <c r="I39" i="16"/>
  <c r="I38" i="16"/>
  <c r="I37" i="16"/>
  <c r="I36" i="16"/>
  <c r="I35" i="16"/>
  <c r="I34" i="16"/>
  <c r="I33" i="16"/>
  <c r="I32" i="16"/>
  <c r="I31" i="16"/>
  <c r="I30" i="16"/>
  <c r="I29" i="16"/>
  <c r="I28" i="16"/>
  <c r="I27" i="16"/>
  <c r="I26" i="16"/>
  <c r="I25" i="16"/>
  <c r="I24" i="16"/>
  <c r="I23" i="16"/>
  <c r="I22" i="16"/>
  <c r="I21" i="16"/>
  <c r="I20" i="16"/>
  <c r="I19" i="16"/>
  <c r="I18" i="16"/>
  <c r="I17" i="16"/>
  <c r="I16" i="16"/>
  <c r="I15" i="16"/>
  <c r="I14" i="16"/>
  <c r="I13" i="16"/>
  <c r="I12" i="16"/>
  <c r="I11" i="16"/>
  <c r="I10" i="16"/>
  <c r="I9" i="16"/>
  <c r="I8" i="16"/>
  <c r="I7" i="16"/>
  <c r="I6" i="16"/>
  <c r="I5" i="16"/>
  <c r="I4" i="16"/>
  <c r="I3" i="16"/>
  <c r="I2" i="16"/>
  <c r="I423" i="15"/>
  <c r="I342" i="15"/>
  <c r="I220" i="15"/>
  <c r="I148" i="15"/>
  <c r="I438" i="15"/>
  <c r="I97" i="15"/>
  <c r="I262" i="15"/>
  <c r="I130" i="15"/>
  <c r="I344" i="15"/>
  <c r="I427" i="15"/>
  <c r="I430" i="15"/>
  <c r="I210" i="15"/>
  <c r="I278" i="15"/>
  <c r="I164" i="15"/>
  <c r="I428" i="15"/>
  <c r="I224" i="15"/>
  <c r="I152" i="15"/>
  <c r="I106" i="15"/>
  <c r="I471" i="15"/>
  <c r="I150" i="15"/>
  <c r="I79" i="15"/>
  <c r="I460" i="15"/>
  <c r="I239" i="15"/>
  <c r="I431" i="15"/>
  <c r="I156" i="15"/>
  <c r="I365" i="15"/>
  <c r="I275" i="15"/>
  <c r="I320" i="15"/>
  <c r="I426" i="15"/>
  <c r="I412" i="15"/>
  <c r="I87" i="15"/>
  <c r="I273" i="15"/>
  <c r="I256" i="15"/>
  <c r="I109" i="15"/>
  <c r="I347" i="15"/>
  <c r="I319" i="15"/>
  <c r="I174" i="15"/>
  <c r="I142" i="15"/>
  <c r="I301" i="15"/>
  <c r="I260" i="15"/>
  <c r="I371" i="15"/>
  <c r="I316" i="15"/>
  <c r="I51" i="15"/>
  <c r="I433" i="15"/>
  <c r="I416" i="15"/>
  <c r="I190" i="15"/>
  <c r="I189" i="15"/>
  <c r="I154" i="15"/>
  <c r="I167" i="15"/>
  <c r="I122" i="15"/>
  <c r="I88" i="15"/>
  <c r="I105" i="15"/>
  <c r="I46" i="15"/>
  <c r="I279" i="15"/>
  <c r="I25" i="15"/>
  <c r="I192" i="15"/>
  <c r="I191" i="15"/>
  <c r="I455" i="15"/>
  <c r="I103" i="15"/>
  <c r="I226" i="15"/>
  <c r="I107" i="15"/>
  <c r="I199" i="15"/>
  <c r="I181" i="15"/>
  <c r="I232" i="15"/>
  <c r="I227" i="15"/>
  <c r="I195" i="15"/>
  <c r="I194" i="15"/>
  <c r="I193" i="15"/>
  <c r="I52" i="15"/>
  <c r="I419" i="15"/>
  <c r="I182" i="15"/>
  <c r="I462" i="15"/>
  <c r="I26" i="15"/>
  <c r="I329" i="15"/>
  <c r="I389" i="15"/>
  <c r="I197" i="15"/>
  <c r="I196" i="15"/>
  <c r="I179" i="15"/>
  <c r="I131" i="15"/>
  <c r="I432" i="15"/>
  <c r="I328" i="15"/>
  <c r="I289" i="15"/>
  <c r="I48" i="15"/>
  <c r="I108" i="15"/>
  <c r="I128" i="15"/>
  <c r="I55" i="15"/>
  <c r="I188" i="15"/>
  <c r="I429" i="15"/>
  <c r="I348" i="15"/>
  <c r="I370" i="15"/>
  <c r="I160" i="15"/>
  <c r="I178" i="15"/>
  <c r="I251" i="15"/>
  <c r="I175" i="15"/>
  <c r="I157" i="15"/>
  <c r="I173" i="15"/>
  <c r="I366" i="15"/>
  <c r="I231" i="15"/>
  <c r="I415" i="15"/>
  <c r="I363" i="15"/>
  <c r="I137" i="15"/>
  <c r="I68" i="15"/>
  <c r="I388" i="15"/>
  <c r="I202" i="15"/>
  <c r="I332" i="15"/>
  <c r="I96" i="15"/>
  <c r="I75" i="15"/>
  <c r="I425" i="15"/>
  <c r="I454" i="15"/>
  <c r="I74" i="15"/>
  <c r="I276" i="15"/>
  <c r="I218" i="15"/>
  <c r="I357" i="15"/>
  <c r="I322" i="15"/>
  <c r="I288" i="15"/>
  <c r="I93" i="15"/>
  <c r="I394" i="15"/>
  <c r="I290" i="15"/>
  <c r="I161" i="15"/>
  <c r="I136" i="15"/>
  <c r="I37" i="15"/>
  <c r="I298" i="15"/>
  <c r="I76" i="15"/>
  <c r="I62" i="15"/>
  <c r="I333" i="15"/>
  <c r="I372" i="15"/>
  <c r="I147" i="15"/>
  <c r="I121" i="15"/>
  <c r="I57" i="15"/>
  <c r="I61" i="15"/>
  <c r="I163" i="15"/>
  <c r="I143" i="15"/>
  <c r="I330" i="15"/>
  <c r="I424" i="15"/>
  <c r="I146" i="15"/>
  <c r="I77" i="15"/>
  <c r="I338" i="15"/>
  <c r="I323" i="15"/>
  <c r="I295" i="15"/>
  <c r="I361" i="15"/>
  <c r="I78" i="15"/>
  <c r="I185" i="15"/>
  <c r="I58" i="15"/>
  <c r="I127" i="15"/>
  <c r="I31" i="15"/>
  <c r="I469" i="15"/>
  <c r="I340" i="15"/>
  <c r="I23" i="15"/>
  <c r="I10" i="15"/>
  <c r="I390" i="15"/>
  <c r="I280" i="15"/>
  <c r="I9" i="15"/>
  <c r="I90" i="15"/>
  <c r="I435" i="15"/>
  <c r="I337" i="15"/>
  <c r="I85" i="15"/>
  <c r="I367" i="15"/>
  <c r="I186" i="15"/>
  <c r="I63" i="15"/>
  <c r="I343" i="15"/>
  <c r="I282" i="15"/>
  <c r="I59" i="15"/>
  <c r="I54" i="15"/>
  <c r="I145" i="15"/>
  <c r="I104" i="15"/>
  <c r="I64" i="15"/>
  <c r="I43" i="15"/>
  <c r="I141" i="15"/>
  <c r="I436" i="15"/>
  <c r="I114" i="15"/>
  <c r="I34" i="15"/>
  <c r="I24" i="15"/>
  <c r="I11" i="15"/>
  <c r="I321" i="15"/>
  <c r="I317" i="15"/>
  <c r="I281" i="15"/>
  <c r="I461" i="15"/>
  <c r="I346" i="15"/>
  <c r="I296" i="15"/>
  <c r="I177" i="15"/>
  <c r="I162" i="15"/>
  <c r="I12" i="15"/>
  <c r="I451" i="15"/>
  <c r="I294" i="15"/>
  <c r="I253" i="15"/>
  <c r="I407" i="15"/>
  <c r="I313" i="15"/>
  <c r="I80" i="15"/>
  <c r="I198" i="15"/>
  <c r="I158" i="15"/>
  <c r="I446" i="15"/>
  <c r="I434" i="15"/>
  <c r="I140" i="15"/>
  <c r="I70" i="15"/>
  <c r="I14" i="15"/>
  <c r="I222" i="15"/>
  <c r="I2" i="15"/>
  <c r="I101" i="15"/>
  <c r="I53" i="15"/>
  <c r="I291" i="15"/>
  <c r="I89" i="15"/>
  <c r="I5" i="15"/>
  <c r="I293" i="15"/>
  <c r="I184" i="15"/>
  <c r="I169" i="15"/>
  <c r="I118" i="15"/>
  <c r="I134" i="15"/>
  <c r="I49" i="15"/>
  <c r="I47" i="15"/>
  <c r="I315" i="15"/>
  <c r="I72" i="15"/>
  <c r="I67" i="15"/>
  <c r="I42" i="15"/>
  <c r="I283" i="15"/>
  <c r="I268" i="15"/>
  <c r="I236" i="15"/>
  <c r="I233" i="15"/>
  <c r="I33" i="15"/>
  <c r="I28" i="15"/>
  <c r="I306" i="15"/>
  <c r="I66" i="15"/>
  <c r="I452" i="15"/>
  <c r="I441" i="15"/>
  <c r="I56" i="15"/>
  <c r="I206" i="15"/>
  <c r="I264" i="15"/>
  <c r="I168" i="15"/>
  <c r="I125" i="15"/>
  <c r="I65" i="15"/>
  <c r="I82" i="15"/>
  <c r="I285" i="15"/>
  <c r="I84" i="15"/>
  <c r="I60" i="15"/>
  <c r="I123" i="15"/>
  <c r="I69" i="15"/>
  <c r="I392" i="15"/>
  <c r="I112" i="15"/>
  <c r="I71" i="15"/>
  <c r="I3" i="15"/>
  <c r="I92" i="15"/>
  <c r="I406" i="15"/>
  <c r="I183" i="15"/>
  <c r="I50" i="15"/>
  <c r="I339" i="15"/>
  <c r="I336" i="15"/>
  <c r="I263" i="15"/>
  <c r="I230" i="15"/>
  <c r="I144" i="15"/>
  <c r="I355" i="15"/>
  <c r="I269" i="15"/>
  <c r="I166" i="15"/>
  <c r="I467" i="15"/>
  <c r="I211" i="15"/>
  <c r="I81" i="15"/>
  <c r="I73" i="15"/>
  <c r="I38" i="15"/>
  <c r="I258" i="15"/>
  <c r="I439" i="15"/>
  <c r="I391" i="15"/>
  <c r="I353" i="15"/>
  <c r="I418" i="15"/>
  <c r="I364" i="15"/>
  <c r="I309" i="15"/>
  <c r="I292" i="15"/>
  <c r="I265" i="15"/>
  <c r="I354" i="15"/>
  <c r="I318" i="15"/>
  <c r="I349" i="15"/>
  <c r="I129" i="15"/>
  <c r="I395" i="15"/>
  <c r="I304" i="15"/>
  <c r="I443" i="15"/>
  <c r="I113" i="15"/>
  <c r="I444" i="15"/>
  <c r="I254" i="15"/>
  <c r="I240" i="15"/>
  <c r="I120" i="15"/>
  <c r="I410" i="15"/>
  <c r="I165" i="15"/>
  <c r="I362" i="15"/>
  <c r="I334" i="15"/>
  <c r="I267" i="15"/>
  <c r="I261" i="15"/>
  <c r="I115" i="15"/>
  <c r="I450" i="15"/>
  <c r="I204" i="15"/>
  <c r="I27" i="15"/>
  <c r="I456" i="15"/>
  <c r="I393" i="15"/>
  <c r="I335" i="15"/>
  <c r="I381" i="15"/>
  <c r="I286" i="15"/>
  <c r="I257" i="15"/>
  <c r="I171" i="15"/>
  <c r="I458" i="15"/>
  <c r="I358" i="15"/>
  <c r="I356" i="15"/>
  <c r="I44" i="15"/>
  <c r="I39" i="15"/>
  <c r="I377" i="15"/>
  <c r="I255" i="15"/>
  <c r="I463" i="15"/>
  <c r="I397" i="15"/>
  <c r="I305" i="15"/>
  <c r="I138" i="15"/>
  <c r="I116" i="15"/>
  <c r="I100" i="15"/>
  <c r="I111" i="15"/>
  <c r="I40" i="15"/>
  <c r="I21" i="15"/>
  <c r="I19" i="15"/>
  <c r="I411" i="15"/>
  <c r="I352" i="15"/>
  <c r="I297" i="15"/>
  <c r="I409" i="15"/>
  <c r="I405" i="15"/>
  <c r="I32" i="15"/>
  <c r="I400" i="15"/>
  <c r="I250" i="15"/>
  <c r="I36" i="15"/>
  <c r="I345" i="15"/>
  <c r="I247" i="15"/>
  <c r="I244" i="15"/>
  <c r="I214" i="15"/>
  <c r="I30" i="15"/>
  <c r="I379" i="15"/>
  <c r="I351" i="15"/>
  <c r="I270" i="15"/>
  <c r="I404" i="15"/>
  <c r="I387" i="15"/>
  <c r="I350" i="15"/>
  <c r="I124" i="15"/>
  <c r="I408" i="15"/>
  <c r="I284" i="15"/>
  <c r="I219" i="15"/>
  <c r="I457" i="15"/>
  <c r="I326" i="15"/>
  <c r="I266" i="15"/>
  <c r="I180" i="15"/>
  <c r="I172" i="15"/>
  <c r="I126" i="15"/>
  <c r="I91" i="15"/>
  <c r="I401" i="15"/>
  <c r="I380" i="15"/>
  <c r="I259" i="15"/>
  <c r="I327" i="15"/>
  <c r="I200" i="15"/>
  <c r="I149" i="15"/>
  <c r="I45" i="15"/>
  <c r="I29" i="15"/>
  <c r="I383" i="15"/>
  <c r="I242" i="15"/>
  <c r="I205" i="15"/>
  <c r="I417" i="15"/>
  <c r="I252" i="15"/>
  <c r="I20" i="15"/>
  <c r="I396" i="15"/>
  <c r="I277" i="15"/>
  <c r="I223" i="15"/>
  <c r="I403" i="15"/>
  <c r="I249" i="15"/>
  <c r="I83" i="15"/>
  <c r="I274" i="15"/>
  <c r="I243" i="15"/>
  <c r="I201" i="15"/>
  <c r="I468" i="15"/>
  <c r="I212" i="15"/>
  <c r="I466" i="15"/>
  <c r="I422" i="15"/>
  <c r="I203" i="15"/>
  <c r="I98" i="15"/>
  <c r="I4" i="15"/>
  <c r="I399" i="15"/>
  <c r="I398" i="15"/>
  <c r="I159" i="15"/>
  <c r="I110" i="15"/>
  <c r="I325" i="15"/>
  <c r="I248" i="15"/>
  <c r="I470" i="15"/>
  <c r="I465" i="15"/>
  <c r="I241" i="15"/>
  <c r="I215" i="15"/>
  <c r="I133" i="15"/>
  <c r="I386" i="15"/>
  <c r="I287" i="15"/>
  <c r="I331" i="15"/>
  <c r="I35" i="15"/>
  <c r="I312" i="15"/>
  <c r="I300" i="15"/>
  <c r="I271" i="15"/>
  <c r="I225" i="15"/>
  <c r="I95" i="15"/>
  <c r="I41" i="15"/>
  <c r="I464" i="15"/>
  <c r="I16" i="15"/>
  <c r="I382" i="15"/>
  <c r="I324" i="15"/>
  <c r="I308" i="15"/>
  <c r="I302" i="15"/>
  <c r="I272" i="15"/>
  <c r="I445" i="15"/>
  <c r="I385" i="15"/>
  <c r="I360" i="15"/>
  <c r="I442" i="15"/>
  <c r="I216" i="15"/>
  <c r="I402" i="15"/>
  <c r="I213" i="15"/>
  <c r="I209" i="15"/>
  <c r="I420" i="15"/>
  <c r="I384" i="15"/>
  <c r="I176" i="15"/>
  <c r="I119" i="15"/>
  <c r="I359" i="15"/>
  <c r="I341" i="15"/>
  <c r="I208" i="15"/>
  <c r="I94" i="15"/>
  <c r="I314" i="15"/>
  <c r="I86" i="15"/>
  <c r="I299" i="15"/>
  <c r="I207" i="15"/>
  <c r="I99" i="15"/>
  <c r="I368" i="15"/>
  <c r="I235" i="15"/>
  <c r="I459" i="15"/>
  <c r="I447" i="15"/>
  <c r="I310" i="15"/>
  <c r="I303" i="15"/>
  <c r="I453" i="15"/>
  <c r="I369" i="15"/>
  <c r="I378" i="15"/>
  <c r="I18" i="15"/>
  <c r="I448" i="15"/>
  <c r="I221" i="15"/>
  <c r="I187" i="15"/>
  <c r="I117" i="15"/>
  <c r="I13" i="15"/>
  <c r="I170" i="15"/>
  <c r="I421" i="15"/>
  <c r="I449" i="15"/>
  <c r="I237" i="15"/>
  <c r="I229" i="15"/>
  <c r="I311" i="15"/>
  <c r="I376" i="15"/>
  <c r="I375" i="15"/>
  <c r="I440" i="15"/>
  <c r="I15" i="15"/>
  <c r="I374" i="15"/>
  <c r="I234" i="15"/>
  <c r="I102" i="15"/>
  <c r="I22" i="15"/>
  <c r="I17" i="15"/>
  <c r="I246" i="15"/>
  <c r="I8" i="15"/>
  <c r="I7" i="15"/>
  <c r="I6" i="15"/>
  <c r="I245" i="15"/>
  <c r="I228" i="15"/>
  <c r="I238" i="15"/>
  <c r="I285" i="14"/>
  <c r="I284" i="14"/>
  <c r="I283" i="14"/>
  <c r="I282" i="14"/>
  <c r="I281" i="14"/>
  <c r="I280" i="14"/>
  <c r="I279" i="14"/>
  <c r="I278" i="14"/>
  <c r="I277" i="14"/>
  <c r="I276" i="14"/>
  <c r="I275" i="14"/>
  <c r="I274" i="14"/>
  <c r="I273" i="14"/>
  <c r="I272" i="14"/>
  <c r="I271" i="14"/>
  <c r="I270" i="14"/>
  <c r="I269" i="14"/>
  <c r="I268" i="14"/>
  <c r="I267" i="14"/>
  <c r="I266" i="14"/>
  <c r="I265" i="14"/>
  <c r="I264" i="14"/>
  <c r="I263" i="14"/>
  <c r="I262" i="14"/>
  <c r="I261" i="14"/>
  <c r="I260" i="14"/>
  <c r="I259" i="14"/>
  <c r="I258" i="14"/>
  <c r="I257" i="14"/>
  <c r="I256" i="14"/>
  <c r="I255" i="14"/>
  <c r="I254" i="14"/>
  <c r="I253" i="14"/>
  <c r="I252" i="14"/>
  <c r="I251" i="14"/>
  <c r="I250" i="14"/>
  <c r="I249" i="14"/>
  <c r="I248" i="14"/>
  <c r="I247" i="14"/>
  <c r="I246" i="14"/>
  <c r="I245" i="14"/>
  <c r="I244" i="14"/>
  <c r="I243" i="14"/>
  <c r="I242" i="14"/>
  <c r="I241" i="14"/>
  <c r="I240" i="14"/>
  <c r="I239" i="14"/>
  <c r="I238" i="14"/>
  <c r="I237" i="14"/>
  <c r="I236" i="14"/>
  <c r="I235" i="14"/>
  <c r="I234" i="14"/>
  <c r="I233" i="14"/>
  <c r="I232" i="14"/>
  <c r="I231" i="14"/>
  <c r="I230" i="14"/>
  <c r="I229" i="14"/>
  <c r="I228" i="14"/>
  <c r="I227" i="14"/>
  <c r="I226" i="14"/>
  <c r="I225" i="14"/>
  <c r="I224" i="14"/>
  <c r="I223" i="14"/>
  <c r="I222" i="14"/>
  <c r="I221" i="14"/>
  <c r="I220" i="14"/>
  <c r="I219" i="14"/>
  <c r="I218" i="14"/>
  <c r="I217" i="14"/>
  <c r="I216" i="14"/>
  <c r="I215" i="14"/>
  <c r="I214" i="14"/>
  <c r="I213" i="14"/>
  <c r="I212" i="14"/>
  <c r="I211" i="14"/>
  <c r="I210" i="14"/>
  <c r="I209" i="14"/>
  <c r="I208" i="14"/>
  <c r="I207" i="14"/>
  <c r="I206" i="14"/>
  <c r="I205" i="14"/>
  <c r="I204" i="14"/>
  <c r="I203" i="14"/>
  <c r="I202" i="14"/>
  <c r="I201" i="14"/>
  <c r="I200" i="14"/>
  <c r="I199" i="14"/>
  <c r="I198" i="14"/>
  <c r="I197" i="14"/>
  <c r="I196" i="14"/>
  <c r="I195" i="14"/>
  <c r="I194" i="14"/>
  <c r="I193" i="14"/>
  <c r="I192" i="14"/>
  <c r="I191" i="14"/>
  <c r="I190" i="14"/>
  <c r="I189" i="14"/>
  <c r="I188" i="14"/>
  <c r="I187" i="14"/>
  <c r="I186" i="14"/>
  <c r="I185" i="14"/>
  <c r="I184" i="14"/>
  <c r="I183" i="14"/>
  <c r="I182" i="14"/>
  <c r="I181" i="14"/>
  <c r="I180" i="14"/>
  <c r="I179" i="14"/>
  <c r="I178" i="14"/>
  <c r="I177" i="14"/>
  <c r="I176" i="14"/>
  <c r="I175" i="14"/>
  <c r="I174" i="14"/>
  <c r="I173" i="14"/>
  <c r="I172" i="14"/>
  <c r="I171" i="14"/>
  <c r="I170" i="14"/>
  <c r="I169" i="14"/>
  <c r="I168" i="14"/>
  <c r="I167" i="14"/>
  <c r="I166" i="14"/>
  <c r="I165" i="14"/>
  <c r="I164" i="14"/>
  <c r="I163" i="14"/>
  <c r="I162" i="14"/>
  <c r="I161" i="14"/>
  <c r="I160" i="14"/>
  <c r="I159" i="14"/>
  <c r="I158" i="14"/>
  <c r="I157" i="14"/>
  <c r="I156" i="14"/>
  <c r="I155" i="14"/>
  <c r="I154" i="14"/>
  <c r="I153" i="14"/>
  <c r="I152" i="14"/>
  <c r="I151" i="14"/>
  <c r="I150" i="14"/>
  <c r="I149" i="14"/>
  <c r="I148" i="14"/>
  <c r="I147" i="14"/>
  <c r="I146" i="14"/>
  <c r="I145" i="14"/>
  <c r="I144" i="14"/>
  <c r="I143" i="14"/>
  <c r="I142" i="14"/>
  <c r="I141" i="14"/>
  <c r="I140" i="14"/>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c r="I129" i="13"/>
  <c r="I128" i="13"/>
  <c r="I127" i="13"/>
  <c r="I126" i="13"/>
  <c r="I125" i="13"/>
  <c r="I124" i="13"/>
  <c r="I123" i="13"/>
  <c r="I122" i="13"/>
  <c r="I121" i="13"/>
  <c r="I120" i="13"/>
  <c r="I119" i="13"/>
  <c r="I118" i="13"/>
  <c r="I117" i="13"/>
  <c r="I116" i="13"/>
  <c r="I115" i="13"/>
  <c r="I114" i="13"/>
  <c r="I113" i="13"/>
  <c r="I112" i="13"/>
  <c r="I111" i="13"/>
  <c r="I110" i="13"/>
  <c r="I109" i="13"/>
  <c r="I108" i="13"/>
  <c r="I107" i="13"/>
  <c r="I106" i="13"/>
  <c r="I105" i="13"/>
  <c r="I104" i="13"/>
  <c r="I103" i="13"/>
  <c r="I102" i="13"/>
  <c r="I101" i="13"/>
  <c r="I100" i="13"/>
  <c r="I99" i="13"/>
  <c r="I98" i="13"/>
  <c r="I97" i="13"/>
  <c r="I96" i="13"/>
  <c r="I95" i="13"/>
  <c r="I94" i="13"/>
  <c r="I93" i="13"/>
  <c r="I92" i="13"/>
  <c r="I91" i="13"/>
  <c r="I90" i="13"/>
  <c r="I89" i="13"/>
  <c r="I88" i="13"/>
  <c r="I87" i="13"/>
  <c r="I86" i="13"/>
  <c r="I85" i="13"/>
  <c r="I84" i="13"/>
  <c r="I83" i="13"/>
  <c r="I82" i="13"/>
  <c r="I81" i="13"/>
  <c r="I80" i="13"/>
  <c r="I79" i="13"/>
  <c r="I78" i="13"/>
  <c r="I77" i="13"/>
  <c r="I76" i="13"/>
  <c r="I75" i="13"/>
  <c r="I74" i="13"/>
  <c r="I73" i="13"/>
  <c r="I72" i="13"/>
  <c r="I71" i="13"/>
  <c r="I70" i="13"/>
  <c r="I69" i="13"/>
  <c r="I68" i="13"/>
  <c r="I67" i="13"/>
  <c r="I66" i="13"/>
  <c r="I65" i="13"/>
  <c r="I64" i="13"/>
  <c r="I63" i="13"/>
  <c r="I62" i="13"/>
  <c r="I61" i="13"/>
  <c r="I60" i="13"/>
  <c r="I59" i="13"/>
  <c r="I58" i="13"/>
  <c r="I57" i="13"/>
  <c r="I56" i="13"/>
  <c r="I55" i="13"/>
  <c r="I54" i="13"/>
  <c r="I53" i="13"/>
  <c r="I52" i="13"/>
  <c r="I51" i="13"/>
  <c r="I50" i="13"/>
  <c r="I49" i="13"/>
  <c r="I48" i="13"/>
  <c r="I47" i="13"/>
  <c r="I46" i="13"/>
  <c r="I45" i="13"/>
  <c r="I44" i="13"/>
  <c r="I43" i="13"/>
  <c r="I42" i="13"/>
  <c r="I41" i="13"/>
  <c r="I40" i="13"/>
  <c r="I39" i="13"/>
  <c r="I38" i="13"/>
  <c r="I37" i="13"/>
  <c r="I36" i="13"/>
  <c r="I35" i="13"/>
  <c r="I34" i="13"/>
  <c r="I33" i="13"/>
  <c r="I32" i="13"/>
  <c r="I31" i="13"/>
  <c r="I30" i="13"/>
  <c r="I29" i="13"/>
  <c r="I28" i="13"/>
  <c r="I27" i="13"/>
  <c r="I26" i="13"/>
  <c r="I25" i="13"/>
  <c r="I24" i="13"/>
  <c r="I23" i="13"/>
  <c r="I22" i="13"/>
  <c r="I21" i="13"/>
  <c r="I20" i="13"/>
  <c r="I19" i="13"/>
  <c r="I18" i="13"/>
  <c r="I17" i="13"/>
  <c r="I16" i="13"/>
  <c r="I15" i="13"/>
  <c r="I14" i="13"/>
  <c r="I13" i="13"/>
  <c r="I12" i="13"/>
  <c r="I11" i="13"/>
  <c r="I10" i="13"/>
  <c r="I9" i="13"/>
  <c r="I8" i="13"/>
  <c r="I7" i="13"/>
  <c r="I6" i="13"/>
  <c r="I5" i="13"/>
  <c r="I4" i="13"/>
  <c r="I3" i="13"/>
  <c r="I2" i="13"/>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4" i="12"/>
  <c r="I53" i="12"/>
  <c r="I52" i="12"/>
  <c r="I51" i="12"/>
  <c r="I50" i="12"/>
  <c r="I49" i="12"/>
  <c r="I48" i="12"/>
  <c r="I47" i="12"/>
  <c r="I46" i="12"/>
  <c r="I45" i="12"/>
  <c r="I44" i="12"/>
  <c r="I43" i="12"/>
  <c r="I42" i="12"/>
  <c r="I41" i="12"/>
  <c r="I40" i="12"/>
  <c r="I39" i="12"/>
  <c r="I38" i="12"/>
  <c r="I37" i="12"/>
  <c r="I36" i="12"/>
  <c r="I35" i="12"/>
  <c r="I34"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I3" i="12"/>
  <c r="I2" i="12"/>
  <c r="I676" i="11"/>
  <c r="I675" i="11"/>
  <c r="I674" i="11"/>
  <c r="I673" i="11"/>
  <c r="I672" i="11"/>
  <c r="I671" i="11"/>
  <c r="I670" i="11"/>
  <c r="I669" i="11"/>
  <c r="I668" i="11"/>
  <c r="I666" i="11"/>
  <c r="I667" i="11"/>
  <c r="I665" i="11"/>
  <c r="I664" i="11"/>
  <c r="I663" i="11"/>
  <c r="I662" i="11"/>
  <c r="I661" i="11"/>
  <c r="I660" i="11"/>
  <c r="I659" i="11"/>
  <c r="I658" i="11"/>
  <c r="I657" i="11"/>
  <c r="I654" i="11"/>
  <c r="I656" i="11"/>
  <c r="I655" i="11"/>
  <c r="I653" i="11"/>
  <c r="I652" i="11"/>
  <c r="I651" i="11"/>
  <c r="I650" i="11"/>
  <c r="I649" i="11"/>
  <c r="I648" i="11"/>
  <c r="I647" i="11"/>
  <c r="I646" i="11"/>
  <c r="I645" i="11"/>
  <c r="I644" i="11"/>
  <c r="I643" i="11"/>
  <c r="I642" i="11"/>
  <c r="I641" i="11"/>
  <c r="I640" i="11"/>
  <c r="I639" i="11"/>
  <c r="I638" i="11"/>
  <c r="I637" i="11"/>
  <c r="I635" i="11"/>
  <c r="I636" i="11"/>
  <c r="I634" i="11"/>
  <c r="I633" i="11"/>
  <c r="I632" i="11"/>
  <c r="I631" i="11"/>
  <c r="I629" i="11"/>
  <c r="I630" i="11"/>
  <c r="I628" i="11"/>
  <c r="I627" i="11"/>
  <c r="I626" i="11"/>
  <c r="I625" i="11"/>
  <c r="I624" i="11"/>
  <c r="I623" i="11"/>
  <c r="I622" i="11"/>
  <c r="I621" i="11"/>
  <c r="I620" i="11"/>
  <c r="I617" i="11"/>
  <c r="I619" i="11"/>
  <c r="I618" i="11"/>
  <c r="I616" i="11"/>
  <c r="I615" i="11"/>
  <c r="I614" i="11"/>
  <c r="I612" i="11"/>
  <c r="I613" i="11"/>
  <c r="I611" i="11"/>
  <c r="I610" i="11"/>
  <c r="I609" i="11"/>
  <c r="I608" i="11"/>
  <c r="I607" i="11"/>
  <c r="I606" i="11"/>
  <c r="I605" i="11"/>
  <c r="I603" i="11"/>
  <c r="I604" i="11"/>
  <c r="I602" i="11"/>
  <c r="I601" i="11"/>
  <c r="I600" i="11"/>
  <c r="I599" i="11"/>
  <c r="I598" i="11"/>
  <c r="I597" i="11"/>
  <c r="I596" i="11"/>
  <c r="I594" i="11"/>
  <c r="I595" i="11"/>
  <c r="I593" i="11"/>
  <c r="I592" i="11"/>
  <c r="I591" i="11"/>
  <c r="I590" i="11"/>
  <c r="I589" i="11"/>
  <c r="I588" i="11"/>
  <c r="I587" i="11"/>
  <c r="I586" i="11"/>
  <c r="I585" i="11"/>
  <c r="I584" i="11"/>
  <c r="I583" i="11"/>
  <c r="I582" i="11"/>
  <c r="I581" i="11"/>
  <c r="I580" i="11"/>
  <c r="I579" i="11"/>
  <c r="I577" i="11"/>
  <c r="I578" i="11"/>
  <c r="I575" i="11"/>
  <c r="I576" i="11"/>
  <c r="I574" i="11"/>
  <c r="I572" i="11"/>
  <c r="I573" i="11"/>
  <c r="I571" i="11"/>
  <c r="I570" i="11"/>
  <c r="I569" i="11"/>
  <c r="I568" i="11"/>
  <c r="I567" i="11"/>
  <c r="I566" i="11"/>
  <c r="I565" i="11"/>
  <c r="I562" i="11"/>
  <c r="I561" i="11"/>
  <c r="I564" i="11"/>
  <c r="I563" i="11"/>
  <c r="I560" i="11"/>
  <c r="I559" i="11"/>
  <c r="I558" i="11"/>
  <c r="I557" i="11"/>
  <c r="I553" i="11"/>
  <c r="I556" i="11"/>
  <c r="I555" i="11"/>
  <c r="I554" i="11"/>
  <c r="I550" i="11"/>
  <c r="I552" i="11"/>
  <c r="I551" i="11"/>
  <c r="I549" i="11"/>
  <c r="I545" i="11"/>
  <c r="I548" i="11"/>
  <c r="I547" i="11"/>
  <c r="I544" i="11"/>
  <c r="I546" i="11"/>
  <c r="I543" i="11"/>
  <c r="I542" i="11"/>
  <c r="I541" i="11"/>
  <c r="I538" i="11"/>
  <c r="I540" i="11"/>
  <c r="I539" i="11"/>
  <c r="I537" i="11"/>
  <c r="I535" i="11"/>
  <c r="I536" i="11"/>
  <c r="I534" i="11"/>
  <c r="I533" i="11"/>
  <c r="I532" i="11"/>
  <c r="I530" i="11"/>
  <c r="I531" i="11"/>
  <c r="I529" i="11"/>
  <c r="I528" i="11"/>
  <c r="I526" i="11"/>
  <c r="I527" i="11"/>
  <c r="I525" i="11"/>
  <c r="I524" i="11"/>
  <c r="I522" i="11"/>
  <c r="I523" i="11"/>
  <c r="I520" i="11"/>
  <c r="I518" i="11"/>
  <c r="I517" i="11"/>
  <c r="I519" i="11"/>
  <c r="I516" i="11"/>
  <c r="I515" i="11"/>
  <c r="I513" i="11"/>
  <c r="I512" i="11"/>
  <c r="I514" i="11"/>
  <c r="I511" i="11"/>
  <c r="I510" i="11"/>
  <c r="I509" i="11"/>
  <c r="I504" i="11"/>
  <c r="I508" i="11"/>
  <c r="I506" i="11"/>
  <c r="I503" i="11"/>
  <c r="I507" i="11"/>
  <c r="I502" i="11"/>
  <c r="I500" i="11"/>
  <c r="I505" i="11"/>
  <c r="I499" i="11"/>
  <c r="I501" i="11"/>
  <c r="I497" i="11"/>
  <c r="I498" i="11"/>
  <c r="I496" i="11"/>
  <c r="I495" i="11"/>
  <c r="I494" i="11"/>
  <c r="I493" i="11"/>
  <c r="I492" i="11"/>
  <c r="I491" i="11"/>
  <c r="I490" i="11"/>
  <c r="I488" i="11"/>
  <c r="I489" i="11"/>
  <c r="I487" i="11"/>
  <c r="I486" i="11"/>
  <c r="I485" i="11"/>
  <c r="I484" i="11"/>
  <c r="I481" i="11"/>
  <c r="I483" i="11"/>
  <c r="I482" i="11"/>
  <c r="I479" i="11"/>
  <c r="I478" i="11"/>
  <c r="I477" i="11"/>
  <c r="I480" i="11"/>
  <c r="I476" i="11"/>
  <c r="I474" i="11"/>
  <c r="I475" i="11"/>
  <c r="I472" i="11"/>
  <c r="I470" i="11"/>
  <c r="I473" i="11"/>
  <c r="I471" i="11"/>
  <c r="I469" i="11"/>
  <c r="I468" i="11"/>
  <c r="I467" i="11"/>
  <c r="I466" i="11"/>
  <c r="I465" i="11"/>
  <c r="I464" i="11"/>
  <c r="I462" i="11"/>
  <c r="I463" i="11"/>
  <c r="I461" i="11"/>
  <c r="I460" i="11"/>
  <c r="I459" i="11"/>
  <c r="I458" i="11"/>
  <c r="I457" i="11"/>
  <c r="I456" i="11"/>
  <c r="I455" i="11"/>
  <c r="I454" i="11"/>
  <c r="I452" i="11"/>
  <c r="I453" i="11"/>
  <c r="I450" i="11"/>
  <c r="I449" i="11"/>
  <c r="I451" i="11"/>
  <c r="I448" i="11"/>
  <c r="I447" i="11"/>
  <c r="I446" i="11"/>
  <c r="I445" i="11"/>
  <c r="I444" i="11"/>
  <c r="I442" i="11"/>
  <c r="I443" i="11"/>
  <c r="I440" i="11"/>
  <c r="I441" i="11"/>
  <c r="I439" i="11"/>
  <c r="I438" i="11"/>
  <c r="I437" i="11"/>
  <c r="I435" i="11"/>
  <c r="I436" i="11"/>
  <c r="I434" i="11"/>
  <c r="I433" i="11"/>
  <c r="I432" i="11"/>
  <c r="I431" i="11"/>
  <c r="I430" i="11"/>
  <c r="I429" i="11"/>
  <c r="I428" i="11"/>
  <c r="I427" i="11"/>
  <c r="I426" i="11"/>
  <c r="I425" i="11"/>
  <c r="I424" i="11"/>
  <c r="I423" i="11"/>
  <c r="I422" i="11"/>
  <c r="I420" i="11"/>
  <c r="I421" i="11"/>
  <c r="I419" i="11"/>
  <c r="I418" i="11"/>
  <c r="I417" i="11"/>
  <c r="I416" i="11"/>
  <c r="I413" i="11"/>
  <c r="I415" i="11"/>
  <c r="I412" i="11"/>
  <c r="I414" i="11"/>
  <c r="I411" i="11"/>
  <c r="I408" i="11"/>
  <c r="I410" i="11"/>
  <c r="I409" i="11"/>
  <c r="I406" i="11"/>
  <c r="I405" i="11"/>
  <c r="I407" i="11"/>
  <c r="I402" i="11"/>
  <c r="I404" i="11"/>
  <c r="I401" i="11"/>
  <c r="I403" i="11"/>
  <c r="I400" i="11"/>
  <c r="I399" i="11"/>
  <c r="I397" i="11"/>
  <c r="I396" i="11"/>
  <c r="I395" i="11"/>
  <c r="I398" i="11"/>
  <c r="I394" i="11"/>
  <c r="I393" i="11"/>
  <c r="I392" i="11"/>
  <c r="I391" i="11"/>
  <c r="I386" i="11"/>
  <c r="I390" i="11"/>
  <c r="I389" i="11"/>
  <c r="I388" i="11"/>
  <c r="I387" i="11"/>
  <c r="I383" i="11"/>
  <c r="I385" i="11"/>
  <c r="I384" i="11"/>
  <c r="I381" i="11"/>
  <c r="I379" i="11"/>
  <c r="I382" i="11"/>
  <c r="I380" i="11"/>
  <c r="I378" i="11"/>
  <c r="I377" i="11"/>
  <c r="I376" i="11"/>
  <c r="I375" i="11"/>
  <c r="I373" i="11"/>
  <c r="I374" i="11"/>
  <c r="I372" i="11"/>
  <c r="I369" i="11"/>
  <c r="I371" i="11"/>
  <c r="I370" i="11"/>
  <c r="I368" i="11"/>
  <c r="I367" i="11"/>
  <c r="I366" i="11"/>
  <c r="I365" i="11"/>
  <c r="I364" i="11"/>
  <c r="I363" i="11"/>
  <c r="I362" i="11"/>
  <c r="I361" i="11"/>
  <c r="I359" i="11"/>
  <c r="I360" i="11"/>
  <c r="I357" i="11"/>
  <c r="I358" i="11"/>
  <c r="I355" i="11"/>
  <c r="I356" i="11"/>
  <c r="I354" i="11"/>
  <c r="I352" i="11"/>
  <c r="I350" i="11"/>
  <c r="I349" i="11"/>
  <c r="I353" i="11"/>
  <c r="I351" i="11"/>
  <c r="I347" i="11"/>
  <c r="I348" i="11"/>
  <c r="I346" i="11"/>
  <c r="I345" i="11"/>
  <c r="I344" i="11"/>
  <c r="I343" i="11"/>
  <c r="I341" i="11"/>
  <c r="I342" i="11"/>
  <c r="I338" i="11"/>
  <c r="I340" i="11"/>
  <c r="I337" i="11"/>
  <c r="I336" i="11"/>
  <c r="I339" i="11"/>
  <c r="I335" i="11"/>
  <c r="I334" i="11"/>
  <c r="I333" i="11"/>
  <c r="I329" i="11"/>
  <c r="I332" i="11"/>
  <c r="I331" i="11"/>
  <c r="I330" i="11"/>
  <c r="I328" i="11"/>
  <c r="I327" i="11"/>
  <c r="I325" i="11"/>
  <c r="I326" i="11"/>
  <c r="I324" i="11"/>
  <c r="I321" i="11"/>
  <c r="I323" i="11"/>
  <c r="I320" i="11"/>
  <c r="I319" i="11"/>
  <c r="I322" i="11"/>
  <c r="I318" i="11"/>
  <c r="I317" i="11"/>
  <c r="I316" i="11"/>
  <c r="I315" i="11"/>
  <c r="I313" i="11"/>
  <c r="I314" i="11"/>
  <c r="I312" i="11"/>
  <c r="I311" i="11"/>
  <c r="I310" i="11"/>
  <c r="I309" i="11"/>
  <c r="I307" i="11"/>
  <c r="I308" i="11"/>
  <c r="I306" i="11"/>
  <c r="I305" i="11"/>
  <c r="I304" i="11"/>
  <c r="I303" i="11"/>
  <c r="I302" i="11"/>
  <c r="I298" i="11"/>
  <c r="I301" i="11"/>
  <c r="I299" i="11"/>
  <c r="I297" i="11"/>
  <c r="I296" i="11"/>
  <c r="I295" i="11"/>
  <c r="I292" i="11"/>
  <c r="I294" i="11"/>
  <c r="I293" i="11"/>
  <c r="I289" i="11"/>
  <c r="I288" i="11"/>
  <c r="I287" i="11"/>
  <c r="I290" i="11"/>
  <c r="I291" i="11"/>
  <c r="I284" i="11"/>
  <c r="I286" i="11"/>
  <c r="I285" i="11"/>
  <c r="I283" i="11"/>
  <c r="I282" i="11"/>
  <c r="I281" i="11"/>
  <c r="I280" i="11"/>
  <c r="I279" i="11"/>
  <c r="I278" i="11"/>
  <c r="I277" i="11"/>
  <c r="I276" i="11"/>
  <c r="I275" i="11"/>
  <c r="I274" i="11"/>
  <c r="I273" i="11"/>
  <c r="I272" i="11"/>
  <c r="I271" i="11"/>
  <c r="I270" i="11"/>
  <c r="I269" i="11"/>
  <c r="I268" i="11"/>
  <c r="I267" i="11"/>
  <c r="I266" i="11"/>
  <c r="I265" i="11"/>
  <c r="I264" i="11"/>
  <c r="I263" i="11"/>
  <c r="I262" i="11"/>
  <c r="I261" i="11"/>
  <c r="I260" i="11"/>
  <c r="I259" i="11"/>
  <c r="I258" i="11"/>
  <c r="I257" i="11"/>
  <c r="I256" i="11"/>
  <c r="I252" i="11"/>
  <c r="I255" i="11"/>
  <c r="I254" i="11"/>
  <c r="I251" i="11"/>
  <c r="I253" i="11"/>
  <c r="I250" i="11"/>
  <c r="I249" i="11"/>
  <c r="I248" i="11"/>
  <c r="I247" i="11"/>
  <c r="I246" i="11"/>
  <c r="I244" i="11"/>
  <c r="I243" i="11"/>
  <c r="I242" i="11"/>
  <c r="I241" i="11"/>
  <c r="I240" i="11"/>
  <c r="I239" i="11"/>
  <c r="I238" i="11"/>
  <c r="I237" i="11"/>
  <c r="I236" i="11"/>
  <c r="I235" i="11"/>
  <c r="I234" i="11"/>
  <c r="I233" i="11"/>
  <c r="I232" i="11"/>
  <c r="I231" i="11"/>
  <c r="I229" i="11"/>
  <c r="I228" i="11"/>
  <c r="I227" i="11"/>
  <c r="I226" i="11"/>
  <c r="I224" i="11"/>
  <c r="I223" i="11"/>
  <c r="I222" i="11"/>
  <c r="I220" i="11"/>
  <c r="I219" i="11"/>
  <c r="I216" i="11"/>
  <c r="I215" i="11"/>
  <c r="I214" i="11"/>
  <c r="I212" i="11"/>
  <c r="I211" i="11"/>
  <c r="I210" i="11"/>
  <c r="I209" i="11"/>
  <c r="I208" i="11"/>
  <c r="I207" i="11"/>
  <c r="I204" i="11"/>
  <c r="I203" i="11"/>
  <c r="I202" i="11"/>
  <c r="I200" i="11"/>
  <c r="I197" i="11"/>
  <c r="I196" i="11"/>
  <c r="I195" i="11"/>
  <c r="I194" i="11"/>
  <c r="I193" i="11"/>
  <c r="I190" i="11"/>
  <c r="I189" i="11"/>
  <c r="I188" i="11"/>
  <c r="I184" i="11"/>
  <c r="I182" i="11"/>
  <c r="I180" i="11"/>
  <c r="I177" i="11"/>
  <c r="I176" i="11"/>
  <c r="I172" i="11"/>
  <c r="I162" i="11"/>
  <c r="I161" i="11"/>
  <c r="I159" i="11"/>
  <c r="I157" i="11"/>
  <c r="I156" i="11"/>
  <c r="I149" i="11"/>
  <c r="I147" i="11"/>
  <c r="I143" i="11"/>
  <c r="I138" i="11"/>
  <c r="I130" i="11"/>
  <c r="I129" i="11"/>
  <c r="I124" i="11"/>
  <c r="I123" i="11"/>
  <c r="I121" i="11"/>
  <c r="I120" i="11"/>
  <c r="I115" i="11"/>
  <c r="I104" i="11"/>
  <c r="I102" i="11"/>
  <c r="I101" i="11"/>
  <c r="I99" i="11"/>
  <c r="I97" i="11"/>
  <c r="I96" i="11"/>
  <c r="I87" i="11"/>
  <c r="I86" i="11"/>
  <c r="I85" i="11"/>
  <c r="I81" i="11"/>
  <c r="I80" i="11"/>
  <c r="I78" i="11"/>
  <c r="I71" i="11"/>
  <c r="I70" i="11"/>
  <c r="I69" i="11"/>
  <c r="I68" i="11"/>
  <c r="I67" i="11"/>
  <c r="I66" i="11"/>
  <c r="I65" i="11"/>
  <c r="I63" i="11"/>
  <c r="I54" i="11"/>
  <c r="I53" i="11"/>
  <c r="I52" i="11"/>
  <c r="I50" i="11"/>
  <c r="I49" i="11"/>
  <c r="I48" i="11"/>
  <c r="I45" i="11"/>
  <c r="I44" i="11"/>
  <c r="I36" i="11"/>
  <c r="I25" i="11"/>
  <c r="I24" i="11"/>
  <c r="I22" i="11"/>
  <c r="I17" i="11"/>
  <c r="I16" i="11"/>
  <c r="I15" i="11"/>
  <c r="I12" i="11"/>
  <c r="I11" i="11"/>
  <c r="I10" i="11"/>
  <c r="I8" i="11"/>
  <c r="I7" i="11"/>
  <c r="I6" i="11"/>
  <c r="I5" i="11"/>
  <c r="I4" i="11"/>
  <c r="I3" i="11"/>
  <c r="I2" i="11"/>
  <c r="I1126" i="10"/>
  <c r="I1096" i="10"/>
  <c r="I1089" i="10"/>
  <c r="I1074" i="10"/>
  <c r="I1072" i="10"/>
  <c r="I1066" i="10"/>
  <c r="I1067" i="10"/>
  <c r="I1065" i="10"/>
  <c r="I1055" i="10"/>
  <c r="I1053" i="10"/>
  <c r="I1047" i="10"/>
  <c r="I1042" i="10"/>
  <c r="I1041" i="10"/>
  <c r="I1030" i="10"/>
  <c r="I1000" i="10"/>
  <c r="I999" i="10"/>
  <c r="I985" i="10"/>
  <c r="I974" i="10"/>
  <c r="I970" i="10"/>
  <c r="I969" i="10"/>
  <c r="I966" i="10"/>
  <c r="I965" i="10"/>
  <c r="I962" i="10"/>
  <c r="I963" i="10"/>
  <c r="I961" i="10"/>
  <c r="I957" i="10"/>
  <c r="I952" i="10"/>
  <c r="I951" i="10"/>
  <c r="I937" i="10"/>
  <c r="I936" i="10"/>
  <c r="I928" i="10"/>
  <c r="I919" i="10"/>
  <c r="I913" i="10"/>
  <c r="I915" i="10"/>
  <c r="I906" i="10"/>
  <c r="I909" i="10"/>
  <c r="I905" i="10"/>
  <c r="I901" i="10"/>
  <c r="I897" i="10"/>
  <c r="I893" i="10"/>
  <c r="I892" i="10"/>
  <c r="I884" i="10"/>
  <c r="I877" i="10"/>
  <c r="I873" i="10"/>
  <c r="I864" i="10"/>
  <c r="I855" i="10"/>
  <c r="I854" i="10"/>
  <c r="I847" i="10"/>
  <c r="I845" i="10"/>
  <c r="I830" i="10"/>
  <c r="I829" i="10"/>
  <c r="I828" i="10"/>
  <c r="I821" i="10"/>
  <c r="I810" i="10"/>
  <c r="I809" i="10"/>
  <c r="I804" i="10"/>
  <c r="I803" i="10"/>
  <c r="I790" i="10"/>
  <c r="I796" i="10"/>
  <c r="I778" i="10"/>
  <c r="I782" i="10"/>
  <c r="I781" i="10"/>
  <c r="I777" i="10"/>
  <c r="I773" i="10"/>
  <c r="I766" i="10"/>
  <c r="I772" i="10"/>
  <c r="I765" i="10"/>
  <c r="I746" i="10"/>
  <c r="I742" i="10"/>
  <c r="I741" i="10"/>
  <c r="I736" i="10"/>
  <c r="I735" i="10"/>
  <c r="I730" i="10"/>
  <c r="I722" i="10"/>
  <c r="I721" i="10"/>
  <c r="I717" i="10"/>
  <c r="I716" i="10"/>
  <c r="I715" i="10"/>
  <c r="I714" i="10"/>
  <c r="I709" i="10"/>
  <c r="I708" i="10"/>
  <c r="I707" i="10"/>
  <c r="I702" i="10"/>
  <c r="I697" i="10"/>
  <c r="I696" i="10"/>
  <c r="I695" i="10"/>
  <c r="I691" i="10"/>
  <c r="I690" i="10"/>
  <c r="I689" i="10"/>
  <c r="I681" i="10"/>
  <c r="I677" i="10"/>
  <c r="I671" i="10"/>
  <c r="I670" i="10"/>
  <c r="I665" i="10"/>
  <c r="I664" i="10"/>
  <c r="I655" i="10"/>
  <c r="I645" i="10"/>
  <c r="I638" i="10"/>
  <c r="I637" i="10"/>
  <c r="I636" i="10"/>
  <c r="I633" i="10"/>
  <c r="I632" i="10"/>
  <c r="I629" i="10"/>
  <c r="I628" i="10"/>
  <c r="I623" i="10"/>
  <c r="I622" i="10"/>
  <c r="I621" i="10"/>
  <c r="I616" i="10"/>
  <c r="I615" i="10"/>
  <c r="I612" i="10"/>
  <c r="I599" i="10"/>
  <c r="I598" i="10"/>
  <c r="I597" i="10"/>
  <c r="I593" i="10"/>
  <c r="I592" i="10"/>
  <c r="I586" i="10"/>
  <c r="I585" i="10"/>
  <c r="I584" i="10"/>
  <c r="I583" i="10"/>
  <c r="I582" i="10"/>
  <c r="I573" i="10"/>
  <c r="I572" i="10"/>
  <c r="I566" i="10"/>
  <c r="I565" i="10"/>
  <c r="I564" i="10"/>
  <c r="I563" i="10"/>
  <c r="I556" i="10"/>
  <c r="I555" i="10"/>
  <c r="I554" i="10"/>
  <c r="I549" i="10"/>
  <c r="I548" i="10"/>
  <c r="I544" i="10"/>
  <c r="I543" i="10"/>
  <c r="I537" i="10"/>
  <c r="I526" i="10"/>
  <c r="I525" i="10"/>
  <c r="I524" i="10"/>
  <c r="I518" i="10"/>
  <c r="I515" i="10"/>
  <c r="I514" i="10"/>
  <c r="I509" i="10"/>
  <c r="I506" i="10"/>
  <c r="I500" i="10"/>
  <c r="I499" i="10"/>
  <c r="I495" i="10"/>
  <c r="I494" i="10"/>
  <c r="I487" i="10"/>
  <c r="I486" i="10"/>
  <c r="I479" i="10"/>
  <c r="I478" i="10"/>
  <c r="I477" i="10"/>
  <c r="I476" i="10"/>
  <c r="I469" i="10"/>
  <c r="I468" i="10"/>
  <c r="I460" i="10"/>
  <c r="I459" i="10"/>
  <c r="I458" i="10"/>
  <c r="I457" i="10"/>
  <c r="I450" i="10"/>
  <c r="I449" i="10"/>
  <c r="I448" i="10"/>
  <c r="I447" i="10"/>
  <c r="I436" i="10"/>
  <c r="I435" i="10"/>
  <c r="I434" i="10"/>
  <c r="I433" i="10"/>
  <c r="I427" i="10"/>
  <c r="I426" i="10"/>
  <c r="I418" i="10"/>
  <c r="I417" i="10"/>
  <c r="I411" i="10"/>
  <c r="I410" i="10"/>
  <c r="I409" i="10"/>
  <c r="I408" i="10"/>
  <c r="I407" i="10"/>
  <c r="I406" i="10"/>
  <c r="I398" i="10"/>
  <c r="I397" i="10"/>
  <c r="I396" i="10"/>
  <c r="I388" i="10"/>
  <c r="I387" i="10"/>
  <c r="I386" i="10"/>
  <c r="I377" i="10"/>
  <c r="I376" i="10"/>
  <c r="I375" i="10"/>
  <c r="I371" i="10"/>
  <c r="I370" i="10"/>
  <c r="I367" i="10"/>
  <c r="I366" i="10"/>
  <c r="I365" i="10"/>
  <c r="I364" i="10"/>
  <c r="I363" i="10"/>
  <c r="I359" i="10"/>
  <c r="I352" i="10"/>
  <c r="I351" i="10"/>
  <c r="I350" i="10"/>
  <c r="I349" i="10"/>
  <c r="I348" i="10"/>
  <c r="I347" i="10"/>
  <c r="I336" i="10"/>
  <c r="I335" i="10"/>
  <c r="I323" i="10"/>
  <c r="I322" i="10"/>
  <c r="I321" i="10"/>
  <c r="I320" i="10"/>
  <c r="I319" i="10"/>
  <c r="I318" i="10"/>
  <c r="I311" i="10"/>
  <c r="I310" i="10"/>
  <c r="I302" i="10"/>
  <c r="I301" i="10"/>
  <c r="I300" i="10"/>
  <c r="I299" i="10"/>
  <c r="I290" i="10"/>
  <c r="I289" i="10"/>
  <c r="I288" i="10"/>
  <c r="I287" i="10"/>
  <c r="I286" i="10"/>
  <c r="I285" i="10"/>
  <c r="I277" i="10"/>
  <c r="I276" i="10"/>
  <c r="I275" i="10"/>
  <c r="I274" i="10"/>
  <c r="I273" i="10"/>
  <c r="I264" i="10"/>
  <c r="I263" i="10"/>
  <c r="I262" i="10"/>
  <c r="I261" i="10"/>
  <c r="I250" i="10"/>
  <c r="I249" i="10"/>
  <c r="I248" i="10"/>
  <c r="I247" i="10"/>
  <c r="I241" i="10"/>
  <c r="I240" i="10"/>
  <c r="I229" i="10"/>
  <c r="I228" i="10"/>
  <c r="I227" i="10"/>
  <c r="I226" i="10"/>
  <c r="I225" i="10"/>
  <c r="I216" i="10"/>
  <c r="I215" i="10"/>
  <c r="I214" i="10"/>
  <c r="I213" i="10"/>
  <c r="I212" i="10"/>
  <c r="I207" i="10"/>
  <c r="I206" i="10"/>
  <c r="I205" i="10"/>
  <c r="I192" i="10"/>
  <c r="I191" i="10"/>
  <c r="I190" i="10"/>
  <c r="I189" i="10"/>
  <c r="I188" i="10"/>
  <c r="I181" i="10"/>
  <c r="I180" i="10"/>
  <c r="I179" i="10"/>
  <c r="I173" i="10"/>
  <c r="I172" i="10"/>
  <c r="I171" i="10"/>
  <c r="I170" i="10"/>
  <c r="I169" i="10"/>
  <c r="I168" i="10"/>
  <c r="I167" i="10"/>
  <c r="I156" i="10"/>
  <c r="I155" i="10"/>
  <c r="I154" i="10"/>
  <c r="I146" i="10"/>
  <c r="I145" i="10"/>
  <c r="I144" i="10"/>
  <c r="I143" i="10"/>
  <c r="I142" i="10"/>
  <c r="I141" i="10"/>
  <c r="I137" i="10"/>
  <c r="I136" i="10"/>
  <c r="I128" i="10"/>
  <c r="I127" i="10"/>
  <c r="I122" i="10"/>
  <c r="I121" i="10"/>
  <c r="I120" i="10"/>
  <c r="I115" i="10"/>
  <c r="I114" i="10"/>
  <c r="I105" i="10"/>
  <c r="I104" i="10"/>
  <c r="I98" i="10"/>
  <c r="I90" i="10"/>
  <c r="I89" i="10"/>
  <c r="I88" i="10"/>
  <c r="I87" i="10"/>
  <c r="I86" i="10"/>
  <c r="I85" i="10"/>
  <c r="I81" i="10"/>
  <c r="I80" i="10"/>
  <c r="I79" i="10"/>
  <c r="I78" i="10"/>
  <c r="I77" i="10"/>
  <c r="I67" i="10"/>
  <c r="I63" i="10"/>
  <c r="I62" i="10"/>
  <c r="I61" i="10"/>
  <c r="I60" i="10"/>
  <c r="I59" i="10"/>
  <c r="I58" i="10"/>
  <c r="I57" i="10"/>
  <c r="I56" i="10"/>
  <c r="I53" i="10"/>
  <c r="I52" i="10"/>
  <c r="I47" i="10"/>
  <c r="I43" i="10"/>
  <c r="I42" i="10"/>
  <c r="I33" i="10"/>
  <c r="I32" i="10"/>
  <c r="I31" i="10"/>
  <c r="I30" i="10"/>
  <c r="I25" i="10"/>
  <c r="I23" i="10"/>
  <c r="I20" i="10"/>
  <c r="I19" i="10"/>
  <c r="I18" i="10"/>
  <c r="I17" i="10"/>
  <c r="I16" i="10"/>
  <c r="I14" i="10"/>
  <c r="I13" i="10"/>
  <c r="I11" i="10"/>
  <c r="I7" i="10"/>
  <c r="I2" i="10"/>
  <c r="I119" i="9"/>
  <c r="I7" i="9"/>
  <c r="I118" i="9"/>
  <c r="I117" i="9"/>
  <c r="I70" i="9"/>
  <c r="I116" i="9"/>
  <c r="I115" i="9"/>
  <c r="I40" i="9"/>
  <c r="I68" i="9"/>
  <c r="I39" i="9"/>
  <c r="I66" i="9"/>
  <c r="I64" i="9"/>
  <c r="I62" i="9"/>
  <c r="I60" i="9"/>
  <c r="I58" i="9"/>
  <c r="I56" i="9"/>
  <c r="I54" i="9"/>
  <c r="I52" i="9"/>
  <c r="I114" i="9"/>
  <c r="I50" i="9"/>
  <c r="I407" i="9"/>
  <c r="I48" i="9"/>
  <c r="I38" i="9"/>
  <c r="I113" i="9"/>
  <c r="I112" i="9"/>
  <c r="I111" i="9"/>
  <c r="I46" i="9"/>
  <c r="I37" i="9"/>
  <c r="I36" i="9"/>
  <c r="I110" i="9"/>
  <c r="I35" i="9"/>
  <c r="I406" i="9"/>
  <c r="I6" i="9"/>
  <c r="I34" i="9"/>
  <c r="I33" i="9"/>
  <c r="I405" i="9"/>
  <c r="I404" i="9"/>
  <c r="I403" i="9"/>
  <c r="I401" i="9"/>
  <c r="I402" i="9"/>
  <c r="I400" i="9"/>
  <c r="I109" i="9"/>
  <c r="I108" i="9"/>
  <c r="I107" i="9"/>
  <c r="I32" i="9"/>
  <c r="I31" i="9"/>
  <c r="I106" i="9"/>
  <c r="I105" i="9"/>
  <c r="I44" i="9"/>
  <c r="I399" i="9"/>
  <c r="I398" i="9"/>
  <c r="I104" i="9"/>
  <c r="I397" i="9"/>
  <c r="I30" i="9"/>
  <c r="I29" i="9"/>
  <c r="I396" i="9"/>
  <c r="I28" i="9"/>
  <c r="I395" i="9"/>
  <c r="I394" i="9"/>
  <c r="I27" i="9"/>
  <c r="I393" i="9"/>
  <c r="I103" i="9"/>
  <c r="I392" i="9"/>
  <c r="I391" i="9"/>
  <c r="I390" i="9"/>
  <c r="I4" i="9"/>
  <c r="I389" i="9"/>
  <c r="I102" i="9"/>
  <c r="I388" i="9"/>
  <c r="I101" i="9"/>
  <c r="I387" i="9"/>
  <c r="I26" i="9"/>
  <c r="I386" i="9"/>
  <c r="I385" i="9"/>
  <c r="I384" i="9"/>
  <c r="I383" i="9"/>
  <c r="I100" i="9"/>
  <c r="I382" i="9"/>
  <c r="I99" i="9"/>
  <c r="I73" i="9"/>
  <c r="I25" i="9"/>
  <c r="I98" i="9"/>
  <c r="I97" i="9"/>
  <c r="I381" i="9"/>
  <c r="I96" i="9"/>
  <c r="I380" i="9"/>
  <c r="I95" i="9"/>
  <c r="I94" i="9"/>
  <c r="I379" i="9"/>
  <c r="I93" i="9"/>
  <c r="I24" i="9"/>
  <c r="I92" i="9"/>
  <c r="I91" i="9"/>
  <c r="I378" i="9"/>
  <c r="I23" i="9"/>
  <c r="I376" i="9"/>
  <c r="I377" i="9"/>
  <c r="I375" i="9"/>
  <c r="I374" i="9"/>
  <c r="I373" i="9"/>
  <c r="I372" i="9"/>
  <c r="I370" i="9"/>
  <c r="I371" i="9"/>
  <c r="I369" i="9"/>
  <c r="I90" i="9"/>
  <c r="I368" i="9"/>
  <c r="I22" i="9"/>
  <c r="I89" i="9"/>
  <c r="I367" i="9"/>
  <c r="I365" i="9"/>
  <c r="I88" i="9"/>
  <c r="I366" i="9"/>
  <c r="I5" i="9"/>
  <c r="I21" i="9"/>
  <c r="I363" i="9"/>
  <c r="I364" i="9"/>
  <c r="I87" i="9"/>
  <c r="I20" i="9"/>
  <c r="I19" i="9"/>
  <c r="I361" i="9"/>
  <c r="I362" i="9"/>
  <c r="I359" i="9"/>
  <c r="I360" i="9"/>
  <c r="I358" i="9"/>
  <c r="I357" i="9"/>
  <c r="I18" i="9"/>
  <c r="I356" i="9"/>
  <c r="I17" i="9"/>
  <c r="I355" i="9"/>
  <c r="I16" i="9"/>
  <c r="I351" i="9"/>
  <c r="I354" i="9"/>
  <c r="I15" i="9"/>
  <c r="I353" i="9"/>
  <c r="I352" i="9"/>
  <c r="I14" i="9"/>
  <c r="I350" i="9"/>
  <c r="I86" i="9"/>
  <c r="I85" i="9"/>
  <c r="I349" i="9"/>
  <c r="I348" i="9"/>
  <c r="I84" i="9"/>
  <c r="I83" i="9"/>
  <c r="I347" i="9"/>
  <c r="I82" i="9"/>
  <c r="I346" i="9"/>
  <c r="I81" i="9"/>
  <c r="I345" i="9"/>
  <c r="I344" i="9"/>
  <c r="I343" i="9"/>
  <c r="I342" i="9"/>
  <c r="I341" i="9"/>
  <c r="I340" i="9"/>
  <c r="I13" i="9"/>
  <c r="I339" i="9"/>
  <c r="I80" i="9"/>
  <c r="I336" i="9"/>
  <c r="I337" i="9"/>
  <c r="I338" i="9"/>
  <c r="I335" i="9"/>
  <c r="I334" i="9"/>
  <c r="I333" i="9"/>
  <c r="I79" i="9"/>
  <c r="I78" i="9"/>
  <c r="I77" i="9"/>
  <c r="I12" i="9"/>
  <c r="I332" i="9"/>
  <c r="I76" i="9"/>
  <c r="I330" i="9"/>
  <c r="I331" i="9"/>
  <c r="I329" i="9"/>
  <c r="I328" i="9"/>
  <c r="I327" i="9"/>
  <c r="I326" i="9"/>
  <c r="I325" i="9"/>
  <c r="I324" i="9"/>
  <c r="I323" i="9"/>
  <c r="I75" i="9"/>
  <c r="I322" i="9"/>
  <c r="I321" i="9"/>
  <c r="I320" i="9"/>
  <c r="I11" i="9"/>
  <c r="I319" i="9"/>
  <c r="I318" i="9"/>
  <c r="I317" i="9"/>
  <c r="I10" i="9"/>
  <c r="I74" i="9"/>
  <c r="I316" i="9"/>
  <c r="I315" i="9"/>
  <c r="I314" i="9"/>
  <c r="I9" i="9"/>
  <c r="I313" i="9"/>
  <c r="I312" i="9"/>
  <c r="I309" i="9"/>
  <c r="I310" i="9"/>
  <c r="I311" i="9"/>
  <c r="I307" i="9"/>
  <c r="I308" i="9"/>
  <c r="I305" i="9"/>
  <c r="I306" i="9"/>
  <c r="I304" i="9"/>
  <c r="I302" i="9"/>
  <c r="I303" i="9"/>
  <c r="I298" i="9"/>
  <c r="I300" i="9"/>
  <c r="I297" i="9"/>
  <c r="I299" i="9"/>
  <c r="I301" i="9"/>
  <c r="I296" i="9"/>
  <c r="I295" i="9"/>
  <c r="I293" i="9"/>
  <c r="I294" i="9"/>
  <c r="I292" i="9"/>
  <c r="I289" i="9"/>
  <c r="I290" i="9"/>
  <c r="I291" i="9"/>
  <c r="I288" i="9"/>
  <c r="I287" i="9"/>
  <c r="I286" i="9"/>
  <c r="I284" i="9"/>
  <c r="I285" i="9"/>
  <c r="I8" i="9"/>
  <c r="I283" i="9"/>
  <c r="I282" i="9"/>
  <c r="I280" i="9"/>
  <c r="I281" i="9"/>
  <c r="I278" i="9"/>
  <c r="I277" i="9"/>
  <c r="I279" i="9"/>
  <c r="I276" i="9"/>
  <c r="I274" i="9"/>
  <c r="I275" i="9"/>
  <c r="I271" i="9"/>
  <c r="I273" i="9"/>
  <c r="I272" i="9"/>
  <c r="I268" i="9"/>
  <c r="I267" i="9"/>
  <c r="I270" i="9"/>
  <c r="I269" i="9"/>
  <c r="I266" i="9"/>
  <c r="I265" i="9"/>
  <c r="I262" i="9"/>
  <c r="I264" i="9"/>
  <c r="I261" i="9"/>
  <c r="I259" i="9"/>
  <c r="I260" i="9"/>
  <c r="I263" i="9"/>
  <c r="I257" i="9"/>
  <c r="I258" i="9"/>
  <c r="I255" i="9"/>
  <c r="I254" i="9"/>
  <c r="I253" i="9"/>
  <c r="I256" i="9"/>
  <c r="I252" i="9"/>
  <c r="I251" i="9"/>
  <c r="I250" i="9"/>
  <c r="I249" i="9"/>
  <c r="I247" i="9"/>
  <c r="I248" i="9"/>
  <c r="I246" i="9"/>
  <c r="I245" i="9"/>
  <c r="I244" i="9"/>
  <c r="I242" i="9"/>
  <c r="I241" i="9"/>
  <c r="I243" i="9"/>
  <c r="I3" i="9"/>
  <c r="I240" i="9"/>
  <c r="I239" i="9"/>
  <c r="I238" i="9"/>
  <c r="I236" i="9"/>
  <c r="I237" i="9"/>
  <c r="I233" i="9"/>
  <c r="I235" i="9"/>
  <c r="I234" i="9"/>
  <c r="I232" i="9"/>
  <c r="I231" i="9"/>
  <c r="I230" i="9"/>
  <c r="I224" i="9"/>
  <c r="I225" i="9"/>
  <c r="I228" i="9"/>
  <c r="I229" i="9"/>
  <c r="I226" i="9"/>
  <c r="I227" i="9"/>
  <c r="I223" i="9"/>
  <c r="I215" i="9"/>
  <c r="I220" i="9"/>
  <c r="I222" i="9"/>
  <c r="I218" i="9"/>
  <c r="I216" i="9"/>
  <c r="I217" i="9"/>
  <c r="I219" i="9"/>
  <c r="I221" i="9"/>
  <c r="I212" i="9"/>
  <c r="I211" i="9"/>
  <c r="I214" i="9"/>
  <c r="I213" i="9"/>
  <c r="I209" i="9"/>
  <c r="I210" i="9"/>
  <c r="I208" i="9"/>
  <c r="I206" i="9"/>
  <c r="I207" i="9"/>
  <c r="I202" i="9"/>
  <c r="I205" i="9"/>
  <c r="I201" i="9"/>
  <c r="I203" i="9"/>
  <c r="I204" i="9"/>
  <c r="I200" i="9"/>
  <c r="I196" i="9"/>
  <c r="I197" i="9"/>
  <c r="I199" i="9"/>
  <c r="I198" i="9"/>
  <c r="I193" i="9"/>
  <c r="I194" i="9"/>
  <c r="I195" i="9"/>
  <c r="I192" i="9"/>
  <c r="I191" i="9"/>
  <c r="I190" i="9"/>
  <c r="I189" i="9"/>
  <c r="I185" i="9"/>
  <c r="I184" i="9"/>
  <c r="I188" i="9"/>
  <c r="I186" i="9"/>
  <c r="I187" i="9"/>
  <c r="I181" i="9"/>
  <c r="I2" i="9"/>
  <c r="I182" i="9"/>
  <c r="I183" i="9"/>
  <c r="I179" i="9"/>
  <c r="I180" i="9"/>
  <c r="I176" i="9"/>
  <c r="I178" i="9"/>
  <c r="I177" i="9"/>
  <c r="I174" i="9"/>
  <c r="I175" i="9"/>
  <c r="I173" i="9"/>
  <c r="I171" i="9"/>
  <c r="I172" i="9"/>
  <c r="I168" i="9"/>
  <c r="I167" i="9"/>
  <c r="I170" i="9"/>
  <c r="I169" i="9"/>
  <c r="I165" i="9"/>
  <c r="I164" i="9"/>
  <c r="I166" i="9"/>
  <c r="I163" i="9"/>
  <c r="I161" i="9"/>
  <c r="I162" i="9"/>
  <c r="I160" i="9"/>
  <c r="I157" i="9"/>
  <c r="I156" i="9"/>
  <c r="I155" i="9"/>
  <c r="I159" i="9"/>
  <c r="I158" i="9"/>
  <c r="I151" i="9"/>
  <c r="I153" i="9"/>
  <c r="I152" i="9"/>
  <c r="I150" i="9"/>
  <c r="I154" i="9"/>
  <c r="I149" i="9"/>
  <c r="I147" i="9"/>
  <c r="I148" i="9"/>
  <c r="I146" i="9"/>
  <c r="I145" i="9"/>
  <c r="I144" i="9"/>
  <c r="I141" i="9"/>
  <c r="I143" i="9"/>
  <c r="I140" i="9"/>
  <c r="I142" i="9"/>
  <c r="I139" i="9"/>
  <c r="I138" i="9"/>
  <c r="I72" i="9"/>
  <c r="I136" i="9"/>
  <c r="I137" i="9"/>
  <c r="I135" i="9"/>
  <c r="I133" i="9"/>
  <c r="I134" i="9"/>
  <c r="I132" i="9"/>
  <c r="I130" i="9"/>
  <c r="I71" i="9"/>
  <c r="I131" i="9"/>
  <c r="I129" i="9"/>
  <c r="I128" i="9"/>
  <c r="I127" i="9"/>
  <c r="I124" i="9"/>
  <c r="I125" i="9"/>
  <c r="I126" i="9"/>
  <c r="I123" i="9"/>
  <c r="I122" i="9"/>
  <c r="I121" i="9"/>
  <c r="I120" i="9"/>
  <c r="L63" i="26" l="1"/>
  <c r="L55" i="26"/>
  <c r="AA12" i="26" a="1"/>
  <c r="AA12" i="26" s="1"/>
  <c r="W26" i="26" a="1"/>
  <c r="W26" i="26" s="1"/>
  <c r="W74" i="26" a="1"/>
  <c r="W74" i="26" s="1"/>
  <c r="W30" i="26" a="1"/>
  <c r="W30" i="26" s="1"/>
  <c r="W24" i="26" a="1"/>
  <c r="W24" i="26" s="1"/>
  <c r="Y75" i="26" a="1"/>
  <c r="Y75" i="26" s="1"/>
  <c r="Y40" i="26" a="1"/>
  <c r="Y40" i="26" s="1"/>
  <c r="W29" i="26" a="1"/>
  <c r="W29" i="26" s="1"/>
  <c r="W75" i="26" a="1"/>
  <c r="W75" i="26" s="1"/>
  <c r="Y55" i="26" a="1"/>
  <c r="Y55" i="26" s="1"/>
  <c r="W70" i="26" a="1"/>
  <c r="W70" i="26" s="1"/>
  <c r="W63" i="26" a="1"/>
  <c r="W63" i="26" s="1"/>
  <c r="W40" i="26" a="1"/>
  <c r="W40" i="26" s="1"/>
  <c r="AC36" i="26" a="1"/>
  <c r="AC36" i="26" s="1"/>
  <c r="W33" i="26" a="1"/>
  <c r="W33" i="26" s="1"/>
  <c r="W28" i="26" a="1"/>
  <c r="W28" i="26" s="1"/>
  <c r="Y12" i="26" a="1"/>
  <c r="Y12" i="26" s="1"/>
  <c r="Y3" i="26" a="1"/>
  <c r="Y3" i="26" s="1"/>
  <c r="Y63" i="26" a="1"/>
  <c r="Y63" i="26" s="1"/>
  <c r="W76" i="26" a="1"/>
  <c r="W76" i="26" s="1"/>
  <c r="AA73" i="26" a="1"/>
  <c r="AA73" i="26" s="1"/>
  <c r="Y72" i="26" a="1"/>
  <c r="Y72" i="26" s="1"/>
  <c r="W71" i="26" a="1"/>
  <c r="W71" i="26" s="1"/>
  <c r="W57" i="26" a="1"/>
  <c r="W57" i="26" s="1"/>
  <c r="W56" i="26" a="1"/>
  <c r="W56" i="26" s="1"/>
  <c r="W50" i="26" a="1"/>
  <c r="W50" i="26" s="1"/>
  <c r="W49" i="26" a="1"/>
  <c r="W49" i="26" s="1"/>
  <c r="W42" i="26" a="1"/>
  <c r="W42" i="26" s="1"/>
  <c r="AA36" i="26" a="1"/>
  <c r="AA36" i="26" s="1"/>
  <c r="Y35" i="26" a="1"/>
  <c r="Y35" i="26" s="1"/>
  <c r="Y34" i="26" a="1"/>
  <c r="Y34" i="26" s="1"/>
  <c r="W12" i="26" a="1"/>
  <c r="W12" i="26" s="1"/>
  <c r="W11" i="26" a="1"/>
  <c r="W11" i="26" s="1"/>
  <c r="W72" i="26" a="1"/>
  <c r="W72" i="26" s="1"/>
  <c r="W65" i="26" a="1"/>
  <c r="W65" i="26" s="1"/>
  <c r="Y59" i="26" a="1"/>
  <c r="Y59" i="26" s="1"/>
  <c r="Y58" i="26" a="1"/>
  <c r="Y58" i="26" s="1"/>
  <c r="W44" i="26" a="1"/>
  <c r="W44" i="26" s="1"/>
  <c r="AA37" i="26" a="1"/>
  <c r="AA37" i="26" s="1"/>
  <c r="W34" i="26" a="1"/>
  <c r="W34" i="26" s="1"/>
  <c r="Y14" i="26" a="1"/>
  <c r="Y14" i="26" s="1"/>
  <c r="W7" i="26" a="1"/>
  <c r="W7" i="26" s="1"/>
  <c r="W5" i="26" a="1"/>
  <c r="W5" i="26" s="1"/>
  <c r="W3" i="26" a="1"/>
  <c r="W3" i="26" s="1"/>
  <c r="W55" i="26" a="1"/>
  <c r="W55" i="26" s="1"/>
  <c r="Y49" i="26" a="1"/>
  <c r="Y49" i="26" s="1"/>
  <c r="Y73" i="26" a="1"/>
  <c r="Y73" i="26" s="1"/>
  <c r="W58" i="26" a="1"/>
  <c r="W58" i="26" s="1"/>
  <c r="W51" i="26" a="1"/>
  <c r="W51" i="26" s="1"/>
  <c r="Y37" i="26" a="1"/>
  <c r="Y37" i="26" s="1"/>
  <c r="Y36" i="26" a="1"/>
  <c r="Y36" i="26" s="1"/>
  <c r="W35" i="26" a="1"/>
  <c r="W35" i="26" s="1"/>
  <c r="Y18" i="26" a="1"/>
  <c r="Y18" i="26" s="1"/>
  <c r="W14" i="26" a="1"/>
  <c r="W14" i="26" s="1"/>
  <c r="W13" i="26" a="1"/>
  <c r="W13" i="26" s="1"/>
  <c r="Y74" i="26" a="1"/>
  <c r="Y74" i="26" s="1"/>
  <c r="W73" i="26" a="1"/>
  <c r="W73" i="26" s="1"/>
  <c r="W66" i="26" a="1"/>
  <c r="W66" i="26" s="1"/>
  <c r="W59" i="26" a="1"/>
  <c r="W59" i="26" s="1"/>
  <c r="W36" i="26" a="1"/>
  <c r="W36" i="26" s="1"/>
  <c r="Y21" i="26" a="1"/>
  <c r="Y21" i="26" s="1"/>
  <c r="W19" i="26" a="1"/>
  <c r="W19" i="26" s="1"/>
  <c r="W18" i="26" a="1"/>
  <c r="W18" i="26" s="1"/>
  <c r="W48" i="26" a="1"/>
  <c r="W48" i="26" s="1"/>
  <c r="AA35" i="26" a="1"/>
  <c r="AA35" i="26" s="1"/>
  <c r="W67" i="26" a="1"/>
  <c r="W67" i="26" s="1"/>
  <c r="W61" i="26" a="1"/>
  <c r="W61" i="26" s="1"/>
  <c r="W37" i="26" a="1"/>
  <c r="W37" i="26" s="1"/>
  <c r="Y26" i="26" a="1"/>
  <c r="Y26" i="26" s="1"/>
  <c r="W21" i="26" a="1"/>
  <c r="W21" i="26" s="1"/>
  <c r="W20" i="26" a="1"/>
  <c r="W20" i="26" s="1"/>
  <c r="W15" i="26" a="1"/>
  <c r="W15"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<sst xmlns="http://schemas.openxmlformats.org/spreadsheetml/2006/main" count="30062" uniqueCount="9756">
  <si>
    <t>ability_type</t>
  </si>
  <si>
    <t>ability_name</t>
  </si>
  <si>
    <t>ability_tags</t>
  </si>
  <si>
    <t>desc</t>
  </si>
  <si>
    <t>dmg_type</t>
  </si>
  <si>
    <t>save_type</t>
  </si>
  <si>
    <t>save_dc</t>
  </si>
  <si>
    <t>review?</t>
  </si>
  <si>
    <t>len</t>
  </si>
  <si>
    <t>Duration</t>
  </si>
  <si>
    <t>One Day</t>
  </si>
  <si>
    <t>1 day</t>
  </si>
  <si>
    <t>Outcome</t>
  </si>
  <si>
    <t>Kill</t>
  </si>
  <si>
    <t>Lethal</t>
  </si>
  <si>
    <t>dies.</t>
  </si>
  <si>
    <t>One Hour</t>
  </si>
  <si>
    <t>1 hour</t>
  </si>
  <si>
    <t>One Round</t>
  </si>
  <si>
    <t>1 round</t>
  </si>
  <si>
    <t>Multiple Days</t>
  </si>
  <si>
    <t>[#] days</t>
  </si>
  <si>
    <t>One Minute</t>
  </si>
  <si>
    <t>1 minute</t>
  </si>
  <si>
    <t>Multiple Hours</t>
  </si>
  <si>
    <t>[#] hours</t>
  </si>
  <si>
    <t>For One Day</t>
  </si>
  <si>
    <t>for 1 day</t>
  </si>
  <si>
    <t>Multiple Rounds</t>
  </si>
  <si>
    <t>[#] rounds</t>
  </si>
  <si>
    <t>Variable Days</t>
  </si>
  <si>
    <t>[#dX] days</t>
  </si>
  <si>
    <t>For One Hour</t>
  </si>
  <si>
    <t>for 1 hour</t>
  </si>
  <si>
    <t>Curse</t>
  </si>
  <si>
    <t>Cursing</t>
  </si>
  <si>
    <t>is cursed.</t>
  </si>
  <si>
    <t>Until Dawn</t>
  </si>
  <si>
    <t>until dawn</t>
  </si>
  <si>
    <t/>
  </si>
  <si>
    <t>Multiple Minutes</t>
  </si>
  <si>
    <t>[#] minutes</t>
  </si>
  <si>
    <t>Variable Hours</t>
  </si>
  <si>
    <t>[#dX] hours</t>
  </si>
  <si>
    <t>Blind</t>
  </si>
  <si>
    <t>Blinding</t>
  </si>
  <si>
    <t>is blinded.</t>
  </si>
  <si>
    <t>For One Round</t>
  </si>
  <si>
    <t>for 1 round</t>
  </si>
  <si>
    <t>Stun</t>
  </si>
  <si>
    <t>Stunning</t>
  </si>
  <si>
    <t>is stunned.</t>
  </si>
  <si>
    <t>Permanently</t>
  </si>
  <si>
    <t>permanently</t>
  </si>
  <si>
    <t>Variable Rounds</t>
  </si>
  <si>
    <t>[#dX] rounds</t>
  </si>
  <si>
    <t>Poison</t>
  </si>
  <si>
    <t>Poisoning</t>
  </si>
  <si>
    <t>is poisoned.</t>
  </si>
  <si>
    <t>For Multiple Days</t>
  </si>
  <si>
    <t>for [#] days</t>
  </si>
  <si>
    <t>For One Minute</t>
  </si>
  <si>
    <t>for 1 minute</t>
  </si>
  <si>
    <t>Deafen</t>
  </si>
  <si>
    <t>Deafening</t>
  </si>
  <si>
    <t>is deafened.</t>
  </si>
  <si>
    <t>Stunned</t>
  </si>
  <si>
    <t>Variable Minutes</t>
  </si>
  <si>
    <t>[#dX] minutes</t>
  </si>
  <si>
    <t>Fall Asleep</t>
  </si>
  <si>
    <t>Knockout</t>
  </si>
  <si>
    <t>falls asleep.</t>
  </si>
  <si>
    <t>For Multiple Hours</t>
  </si>
  <si>
    <t>for [#] hours</t>
  </si>
  <si>
    <t>Paralyze</t>
  </si>
  <si>
    <t>Paralyzing</t>
  </si>
  <si>
    <t>is paralyzed.</t>
  </si>
  <si>
    <t>Petrify</t>
  </si>
  <si>
    <t>Petrifying</t>
  </si>
  <si>
    <t>is petrified.</t>
  </si>
  <si>
    <t>Restrain</t>
  </si>
  <si>
    <t>Restraining</t>
  </si>
  <si>
    <t>is restrained.</t>
  </si>
  <si>
    <t>Strangle</t>
  </si>
  <si>
    <t>Suffocating</t>
  </si>
  <si>
    <t>can't breathe.</t>
  </si>
  <si>
    <t>SUFFOCATION</t>
  </si>
  <si>
    <t>For Multiple Rounds</t>
  </si>
  <si>
    <t>for [#] rounds</t>
  </si>
  <si>
    <t>For Variable Days</t>
  </si>
  <si>
    <t>for [#dX] days</t>
  </si>
  <si>
    <t>Frighten</t>
  </si>
  <si>
    <t>Frightening</t>
  </si>
  <si>
    <t>is frightened.</t>
  </si>
  <si>
    <t>Until It Moves</t>
  </si>
  <si>
    <t>Movement</t>
  </si>
  <si>
    <t>until it moves</t>
  </si>
  <si>
    <t>Stabilize</t>
  </si>
  <si>
    <t>Healing</t>
  </si>
  <si>
    <t>becomes stable.</t>
  </si>
  <si>
    <t>For Multiple Minutes</t>
  </si>
  <si>
    <t>for [#] minutes</t>
  </si>
  <si>
    <t>For Variable Hours</t>
  </si>
  <si>
    <t>for [#dX] hours</t>
  </si>
  <si>
    <t>For Variable Rounds</t>
  </si>
  <si>
    <t>for [#dX] rounds</t>
  </si>
  <si>
    <t>For Variable Minutes</t>
  </si>
  <si>
    <t>for [#dX] minutes</t>
  </si>
  <si>
    <t>immediately dies.</t>
  </si>
  <si>
    <t>Incapacitate</t>
  </si>
  <si>
    <t>Incapacitating</t>
  </si>
  <si>
    <t>is incapacitated.</t>
  </si>
  <si>
    <t>Topple</t>
  </si>
  <si>
    <t>Toppling</t>
  </si>
  <si>
    <t>is knocked prone.</t>
  </si>
  <si>
    <t>No Spellcasting</t>
  </si>
  <si>
    <t>Magic Disrupting</t>
  </si>
  <si>
    <t>can't cast spells.</t>
  </si>
  <si>
    <t>falls unconscious.</t>
  </si>
  <si>
    <t>Suffocate</t>
  </si>
  <si>
    <t>begins suffocating.</t>
  </si>
  <si>
    <t>Silence</t>
  </si>
  <si>
    <t>Silencing</t>
  </si>
  <si>
    <t>is unable to speak.</t>
  </si>
  <si>
    <t>Aged</t>
  </si>
  <si>
    <t>Aging</t>
  </si>
  <si>
    <t>ages 1d4 x 10 years.</t>
  </si>
  <si>
    <t>Nonreactive</t>
  </si>
  <si>
    <t>can't use reactions.</t>
  </si>
  <si>
    <t>Infect</t>
  </si>
  <si>
    <t>Infecting</t>
  </si>
  <si>
    <t>contracts [DISEASE].</t>
  </si>
  <si>
    <t>A Year and A Day</t>
  </si>
  <si>
    <t>for a year and a day</t>
  </si>
  <si>
    <t>Petrified by Great Failure</t>
  </si>
  <si>
    <t>is petrified in ice.</t>
  </si>
  <si>
    <t>Lose Concentration</t>
  </si>
  <si>
    <t>loses concentration.</t>
  </si>
  <si>
    <t>Until [MON] Dies</t>
  </si>
  <si>
    <t>until the [MON] dies</t>
  </si>
  <si>
    <t>Ice Restraints</t>
  </si>
  <si>
    <t>is restrained by ice.</t>
  </si>
  <si>
    <t>can't take reactions.</t>
  </si>
  <si>
    <t>Speed Halved</t>
  </si>
  <si>
    <t>Speed Change</t>
  </si>
  <si>
    <t>has its speed halved.</t>
  </si>
  <si>
    <t>Feature/Ability</t>
  </si>
  <si>
    <t>Massive</t>
  </si>
  <si>
    <t>Movement, Weakness</t>
  </si>
  <si>
    <t>The [MON] can't dash.</t>
  </si>
  <si>
    <t>Target Effect</t>
  </si>
  <si>
    <t>One Target Outcome</t>
  </si>
  <si>
    <t>The target [OUTCOME].</t>
  </si>
  <si>
    <t>Until Damaged</t>
  </si>
  <si>
    <t>until it takes damage</t>
  </si>
  <si>
    <t>Outcome for Each Target</t>
  </si>
  <si>
    <t>Each target [OUTCOME].</t>
  </si>
  <si>
    <t>Speed Doubled</t>
  </si>
  <si>
    <t>has its speed doubled.</t>
  </si>
  <si>
    <t>Pushed</t>
  </si>
  <si>
    <t>Pushing</t>
  </si>
  <si>
    <t>is pushed [#] ft away.</t>
  </si>
  <si>
    <t>Stunned by Great Failure</t>
  </si>
  <si>
    <t>is stunned [DURATION].</t>
  </si>
  <si>
    <t>Poisoned</t>
  </si>
  <si>
    <t>is poisoned [DURATION].</t>
  </si>
  <si>
    <t>Deafened</t>
  </si>
  <si>
    <t>is deafened [DURATION].</t>
  </si>
  <si>
    <t>Instant Petrification</t>
  </si>
  <si>
    <t>is instantly petrified.</t>
  </si>
  <si>
    <t>Knocked Unconscious by Great Failure</t>
  </si>
  <si>
    <t>is knocked unconscious.</t>
  </si>
  <si>
    <t>Attack Effect</t>
  </si>
  <si>
    <t>Effect On a Hit</t>
  </si>
  <si>
    <t>On a hit, [TGT_EFFECT].</t>
  </si>
  <si>
    <t>Heal</t>
  </si>
  <si>
    <t>regains [#] hit points.</t>
  </si>
  <si>
    <t>Invisibility</t>
  </si>
  <si>
    <t>Invisible</t>
  </si>
  <si>
    <t>The [MON] is invisible.</t>
  </si>
  <si>
    <t>This is Charm</t>
  </si>
  <si>
    <t>Charming</t>
  </si>
  <si>
    <t>This is a charm effect.</t>
  </si>
  <si>
    <t>Until Attack</t>
  </si>
  <si>
    <t>until the [MON] attacks</t>
  </si>
  <si>
    <t>Until Grapple Ends</t>
  </si>
  <si>
    <t>Grapple Effect</t>
  </si>
  <si>
    <t>until this grapple ends</t>
  </si>
  <si>
    <t>Two Durations</t>
  </si>
  <si>
    <t>[DURATION] or [DURATION]</t>
  </si>
  <si>
    <t>Two Outcomes</t>
  </si>
  <si>
    <t>[OUTCOME] and [OUTCOME].</t>
  </si>
  <si>
    <t>Unhealable</t>
  </si>
  <si>
    <t>can't regain hit points.</t>
  </si>
  <si>
    <t>INTERACTION</t>
  </si>
  <si>
    <t>Charm</t>
  </si>
  <si>
    <t>is charmed by the [MON].</t>
  </si>
  <si>
    <t>Cure Lycanthropy</t>
  </si>
  <si>
    <t>Restoring</t>
  </si>
  <si>
    <t>is cured of lycanthropy.</t>
  </si>
  <si>
    <t>Drop to Zero HP</t>
  </si>
  <si>
    <t>Drop to 0</t>
  </si>
  <si>
    <t>is reduced to 0 hpoints.</t>
  </si>
  <si>
    <t>Weightlessness</t>
  </si>
  <si>
    <t>The [MON] is weightless.</t>
  </si>
  <si>
    <t>Consume</t>
  </si>
  <si>
    <t>Consuming</t>
  </si>
  <si>
    <t>is consumed by the [MON].</t>
  </si>
  <si>
    <t>Slow</t>
  </si>
  <si>
    <t>is slowed (as the spell).</t>
  </si>
  <si>
    <t>regains [#dX] hit points.</t>
  </si>
  <si>
    <t>Other (d6)</t>
  </si>
  <si>
    <t>Action</t>
  </si>
  <si>
    <t>Orphaned Description</t>
  </si>
  <si>
    <t>Communication</t>
  </si>
  <si>
    <t>The target speaks Sylvan:</t>
  </si>
  <si>
    <t>CONSOLIDATE</t>
  </si>
  <si>
    <t>Half Damage</t>
  </si>
  <si>
    <t>takes half as much damage.</t>
  </si>
  <si>
    <t>Until It is Knocked Out</t>
  </si>
  <si>
    <t>until it falls unconscious</t>
  </si>
  <si>
    <t>Until Disease is Cured</t>
  </si>
  <si>
    <t>Infection Effect</t>
  </si>
  <si>
    <t>until the disease is cured</t>
  </si>
  <si>
    <t>Until End of This Turn</t>
  </si>
  <si>
    <t>until the end of this turn</t>
  </si>
  <si>
    <t>Zero Speed</t>
  </si>
  <si>
    <t>has its speed reduced to 0.</t>
  </si>
  <si>
    <t>Confuse</t>
  </si>
  <si>
    <t>Confusing</t>
  </si>
  <si>
    <t>is confused (as the spell).</t>
  </si>
  <si>
    <t>is frightened of the [MON].</t>
  </si>
  <si>
    <t>Three Heads</t>
  </si>
  <si>
    <t>The [MON] can't be flanked.</t>
  </si>
  <si>
    <t>Incapacitated</t>
  </si>
  <si>
    <t>is incapacitated [DURATION].</t>
  </si>
  <si>
    <t>is unable to take reactions.</t>
  </si>
  <si>
    <t>Damage</t>
  </si>
  <si>
    <t>takes [#] [DMG_TYPE] damage.</t>
  </si>
  <si>
    <t>Radiant ([#])</t>
  </si>
  <si>
    <t>Extra Damage</t>
  </si>
  <si>
    <t>takes an extra [#dX] damage.</t>
  </si>
  <si>
    <t>Other (d4)</t>
  </si>
  <si>
    <t>Multiattack</t>
  </si>
  <si>
    <t>The [MON] makes [#] attacks.</t>
  </si>
  <si>
    <t>Condition Effect</t>
  </si>
  <si>
    <t>Curse Duration</t>
  </si>
  <si>
    <t>Curse Ending</t>
  </si>
  <si>
    <t>This curse lasts [DURATION].</t>
  </si>
  <si>
    <t>Drop Item</t>
  </si>
  <si>
    <t>Disarming</t>
  </si>
  <si>
    <t>drops whatever it is holding.</t>
  </si>
  <si>
    <t>AC Bonus</t>
  </si>
  <si>
    <t>AC Change</t>
  </si>
  <si>
    <t>gains a +[#] bonus to its AC.</t>
  </si>
  <si>
    <t>takes an extra die of damage.</t>
  </si>
  <si>
    <t>Jumpy</t>
  </si>
  <si>
    <t>The [MON] can't be surprised.</t>
  </si>
  <si>
    <t>Disease Duration</t>
  </si>
  <si>
    <t>Infection Ending</t>
  </si>
  <si>
    <t>The disease lasts [DURATION].</t>
  </si>
  <si>
    <t>The target's speed is halved.</t>
  </si>
  <si>
    <t>Effect Duration</t>
  </si>
  <si>
    <t>Effect Ending</t>
  </si>
  <si>
    <t>This effect lasts [DURATION].</t>
  </si>
  <si>
    <t>Until End of Long Rest</t>
  </si>
  <si>
    <t>until it finishes a long rest</t>
  </si>
  <si>
    <t>Blinded if Consumed</t>
  </si>
  <si>
    <t>Consumption Effect</t>
  </si>
  <si>
    <t>A consumed creature [OUTCOME].</t>
  </si>
  <si>
    <t>Deafened if Consumed</t>
  </si>
  <si>
    <t>Consumption Effect, Deafening</t>
  </si>
  <si>
    <t>Restrained if Consumed</t>
  </si>
  <si>
    <t>Consumption Effect, Restraining</t>
  </si>
  <si>
    <t>Exhaustion</t>
  </si>
  <si>
    <t>Exhausting</t>
  </si>
  <si>
    <t>gains one level of exhaustion.</t>
  </si>
  <si>
    <t>takes [#dX] [DMG_TYPE] damage.</t>
  </si>
  <si>
    <t>Lightning (d10)</t>
  </si>
  <si>
    <t>The [MON] consumes the target.</t>
  </si>
  <si>
    <t>Anaerobic</t>
  </si>
  <si>
    <t>The [MON] doesn't require air.</t>
  </si>
  <si>
    <t>Effects Durations</t>
  </si>
  <si>
    <t>These effects last [DURATION].</t>
  </si>
  <si>
    <t>Until End of Short Rest</t>
  </si>
  <si>
    <t>until it finishes a short rest</t>
  </si>
  <si>
    <t>Until the [MON] Is Put to Rest</t>
  </si>
  <si>
    <t>until the [MON] is put to rest</t>
  </si>
  <si>
    <t>Until End of Next Turn</t>
  </si>
  <si>
    <t>until the end of its next turn</t>
  </si>
  <si>
    <t>Temporarily Heal</t>
  </si>
  <si>
    <t>Temporary Healing</t>
  </si>
  <si>
    <t>gains [#] temporary hit points.</t>
  </si>
  <si>
    <t>is unable to regain hit points.</t>
  </si>
  <si>
    <t>Half Damage Only</t>
  </si>
  <si>
    <t>takes half as much damage only.</t>
  </si>
  <si>
    <t>Clockwork Nature</t>
  </si>
  <si>
    <t>The [MON] is immune to disease.</t>
  </si>
  <si>
    <t>Speed Reduction</t>
  </si>
  <si>
    <t>has its speed reduced by [#] ft.</t>
  </si>
  <si>
    <t>Pull</t>
  </si>
  <si>
    <t>Pulling</t>
  </si>
  <si>
    <t>is pulled adjacent to the [MON].</t>
  </si>
  <si>
    <t>Bonus Action</t>
  </si>
  <si>
    <t>Dash</t>
  </si>
  <si>
    <t>The [MON] takes the Dash action.</t>
  </si>
  <si>
    <t>Hidden Predator</t>
  </si>
  <si>
    <t>The [MON] takes the Hide action.</t>
  </si>
  <si>
    <t>Stat Reduction Duration</t>
  </si>
  <si>
    <t>This reduction lasts [DURATION].</t>
  </si>
  <si>
    <t>Until [MON] is Incapacitated</t>
  </si>
  <si>
    <t>until the [MON] is incapacitated</t>
  </si>
  <si>
    <t>Until Start of Next Turn</t>
  </si>
  <si>
    <t>until the start of its next turn</t>
  </si>
  <si>
    <t>Fewer than 30 hit points: stunned</t>
  </si>
  <si>
    <t>gains [#dX] temporary hit points.</t>
  </si>
  <si>
    <t>Long Term Madness</t>
  </si>
  <si>
    <t>Madness</t>
  </si>
  <si>
    <t>gains a long-term madness effect.</t>
  </si>
  <si>
    <t>Gift of Magic Resistance</t>
  </si>
  <si>
    <t>gains the Magic Resistance trait.</t>
  </si>
  <si>
    <t>Curse of Lycanthropy</t>
  </si>
  <si>
    <t>is cursed with [MON] lycanthropy.</t>
  </si>
  <si>
    <t>Attach</t>
  </si>
  <si>
    <t>Attaching</t>
  </si>
  <si>
    <t>The [MON] attaches to the target.</t>
  </si>
  <si>
    <t>Water Breather</t>
  </si>
  <si>
    <t>The [MON] can breathe underwater.</t>
  </si>
  <si>
    <t>Rapid Attack</t>
  </si>
  <si>
    <t>Bonus Action Attack</t>
  </si>
  <si>
    <t>The [MON] makes one melee attack.</t>
  </si>
  <si>
    <t>Heal Self</t>
  </si>
  <si>
    <t>Self Healing</t>
  </si>
  <si>
    <t>The [MON] regains [#] hit points.</t>
  </si>
  <si>
    <t>AC Increase</t>
  </si>
  <si>
    <t>The target's AC increases by [#].</t>
  </si>
  <si>
    <t>Exhaustion Duration</t>
  </si>
  <si>
    <t>Exhaustion Ending</t>
  </si>
  <si>
    <t>This exhaustion lasts [DURATION].</t>
  </si>
  <si>
    <t>Until [MON] is Knocked Out</t>
  </si>
  <si>
    <t>until the [MON] falls unconscious</t>
  </si>
  <si>
    <t>Until Poison Ends</t>
  </si>
  <si>
    <t>Poison Effect</t>
  </si>
  <si>
    <t>until the poisoned condition ends</t>
  </si>
  <si>
    <t>Suffocated if Consumed</t>
  </si>
  <si>
    <t>Consumption Effect, Suffocating</t>
  </si>
  <si>
    <t>A consumed creature can't breathe.</t>
  </si>
  <si>
    <t>Sneak Grapple</t>
  </si>
  <si>
    <t>Grappling</t>
  </si>
  <si>
    <t>is grappled (escape DC [SAVE_DC]).</t>
  </si>
  <si>
    <t>Strength</t>
  </si>
  <si>
    <t>Effect of Taking Damage</t>
  </si>
  <si>
    <t>After taking damage, [DMG_EFFECT].</t>
  </si>
  <si>
    <t>Spare Devils</t>
  </si>
  <si>
    <t>Limitation</t>
  </si>
  <si>
    <t>Devils are immune to this ability.</t>
  </si>
  <si>
    <t>Fewer than 50 hit points: deafened</t>
  </si>
  <si>
    <t>Short Term Madness</t>
  </si>
  <si>
    <t>gains a short-term madness effect.</t>
  </si>
  <si>
    <t>Speed Increase</t>
  </si>
  <si>
    <t>has its speed increased by [#] ft.</t>
  </si>
  <si>
    <t>Absorb</t>
  </si>
  <si>
    <t>is absorbed into the [MON]'s body.</t>
  </si>
  <si>
    <t>is pulled [#] ft toward the [MON].</t>
  </si>
  <si>
    <t>Endurance</t>
  </si>
  <si>
    <t>The [MON] is immune to exhaustion.</t>
  </si>
  <si>
    <t>Champion of Truth</t>
  </si>
  <si>
    <t>The [MON] knows if it hears a lie.</t>
  </si>
  <si>
    <t>Consecutive Durations</t>
  </si>
  <si>
    <t>[DURATION] and [DURATION] afterward</t>
  </si>
  <si>
    <t>Effect of Dealing Damage</t>
  </si>
  <si>
    <t>After dealing damage, [DMG_EFFECT].</t>
  </si>
  <si>
    <t>is charmed by the [MON] [DURATION].</t>
  </si>
  <si>
    <t>Cure Poison</t>
  </si>
  <si>
    <t>is cured of the poisoned condition.</t>
  </si>
  <si>
    <t>Drown in Filth</t>
  </si>
  <si>
    <t>is pushed out of the [MON]'s space.</t>
  </si>
  <si>
    <t>Vulnerability</t>
  </si>
  <si>
    <t>is vulnerable to [DMG_TYPE] damage.</t>
  </si>
  <si>
    <t>Fire (Other)</t>
  </si>
  <si>
    <t>Born of Rime</t>
  </si>
  <si>
    <t>The [MON] can breathe air or water.</t>
  </si>
  <si>
    <t>Reform</t>
  </si>
  <si>
    <t>Other (d8)</t>
  </si>
  <si>
    <t>Ends if the [MON] Dies</t>
  </si>
  <si>
    <t>This effect ends if the [MON] dies.</t>
  </si>
  <si>
    <t>Three Outcomes</t>
  </si>
  <si>
    <t>[OUTCOME], [OUTCOME], and [OUTCOME].</t>
  </si>
  <si>
    <t>Save Disadvantage</t>
  </si>
  <si>
    <t>Disadvantage</t>
  </si>
  <si>
    <t>gains disadvantage on saving throws.</t>
  </si>
  <si>
    <t>Damage Immunity</t>
  </si>
  <si>
    <t>gains immunity to [DMG_TYPE] damage.</t>
  </si>
  <si>
    <t>Cold (Other)</t>
  </si>
  <si>
    <t>Create Difficult Terrain</t>
  </si>
  <si>
    <t>Area, Difficult Terrain</t>
  </si>
  <si>
    <t>That area becomes difficult terrain.</t>
  </si>
  <si>
    <t>Amphibious</t>
  </si>
  <si>
    <t>The [MON] can breathe air and water.</t>
  </si>
  <si>
    <t>Shapeshift</t>
  </si>
  <si>
    <t>Communication, Shapechanging</t>
  </si>
  <si>
    <t>The [MON] can't speak in beast form.</t>
  </si>
  <si>
    <t>SC</t>
  </si>
  <si>
    <t>Celestial Freedom</t>
  </si>
  <si>
    <t>The [MON] ignores difficult terrain.</t>
  </si>
  <si>
    <t>Three Durations</t>
  </si>
  <si>
    <t>[DURATION], [DURATION], or [DURATION]</t>
  </si>
  <si>
    <t>Outcome for All in Area</t>
  </si>
  <si>
    <t>Area</t>
  </si>
  <si>
    <t>Each creature in that area [OUTCOME].</t>
  </si>
  <si>
    <t>Secondary Effect</t>
  </si>
  <si>
    <t>Outcome if Prone</t>
  </si>
  <si>
    <t>Prone Effect</t>
  </si>
  <si>
    <t>If the target is prone, it [OUTCOME].</t>
  </si>
  <si>
    <t>is pulled within [#] ft of the [MON].</t>
  </si>
  <si>
    <t>Push</t>
  </si>
  <si>
    <t>is pushed [#] ft away from the [MON].</t>
  </si>
  <si>
    <t>takes half as much [DMG_TYPE] damage.</t>
  </si>
  <si>
    <t>Slashing (Other)</t>
  </si>
  <si>
    <t>Helping Hand</t>
  </si>
  <si>
    <t>The [MON] can Help as a bonus action.</t>
  </si>
  <si>
    <t>Archer's Step</t>
  </si>
  <si>
    <t>Disengaging</t>
  </si>
  <si>
    <t>The [MON] takes the Disengage action.</t>
  </si>
  <si>
    <t>Dust Storm</t>
  </si>
  <si>
    <t>The [MON] then moves up to its speed.</t>
  </si>
  <si>
    <t>The [MON] turns invisible [DURATION].</t>
  </si>
  <si>
    <t>Until Healed</t>
  </si>
  <si>
    <t>until it regains at least 1 hit point</t>
  </si>
  <si>
    <t>Outcome for Non-Monsters in Area</t>
  </si>
  <si>
    <t>Each non-[MON] in that area [OUTCOME].</t>
  </si>
  <si>
    <t>Acid Protection</t>
  </si>
  <si>
    <t>gains resistance to [DMG_TYPE] damage.</t>
  </si>
  <si>
    <t>Acid (Other)</t>
  </si>
  <si>
    <t>Outcome if Undead</t>
  </si>
  <si>
    <t>If the target is undead, it [OUTCOME].</t>
  </si>
  <si>
    <t>Water Breathing</t>
  </si>
  <si>
    <t>Weakness</t>
  </si>
  <si>
    <t>The [MON] can breathe only underwater.</t>
  </si>
  <si>
    <t>Water Breathing Only</t>
  </si>
  <si>
    <t>The [MON] can only breathe underwater.</t>
  </si>
  <si>
    <t>Eldritch Understanding</t>
  </si>
  <si>
    <t>The [MON] can read and use any scroll.</t>
  </si>
  <si>
    <t>Long Jump</t>
  </si>
  <si>
    <t>The [MON]'s long jump is up to [#] ft.</t>
  </si>
  <si>
    <t>Cloud Form</t>
  </si>
  <si>
    <t>Obscuring</t>
  </si>
  <si>
    <t>The [MON]'s space is heavily obscured.</t>
  </si>
  <si>
    <t>Enveloping Fog</t>
  </si>
  <si>
    <t>The [MON]'s space is lightly obscured.</t>
  </si>
  <si>
    <t>The target's speed is reduced to 0 ft.</t>
  </si>
  <si>
    <t>Until End of Short or Long Rest</t>
  </si>
  <si>
    <t>until it finishes a short or long rest</t>
  </si>
  <si>
    <t>Until End of [MON]'s Turn</t>
  </si>
  <si>
    <t>until the end of the [MON]'s next turn</t>
  </si>
  <si>
    <t>Reaction Attack</t>
  </si>
  <si>
    <t>can make one weapon attack as reaction.</t>
  </si>
  <si>
    <t>drops whatever it is currently holding.</t>
  </si>
  <si>
    <t>Attack Disadvantage</t>
  </si>
  <si>
    <t>gains disadvantage on all attack rolls.</t>
  </si>
  <si>
    <t>Outcome if Stunned</t>
  </si>
  <si>
    <t>Stun Effect</t>
  </si>
  <si>
    <t>If the target is stunned, it [OUTCOME].</t>
  </si>
  <si>
    <t>Stun the Undead</t>
  </si>
  <si>
    <t>is stunned if it is an undead creature.</t>
  </si>
  <si>
    <t>Spare Peers</t>
  </si>
  <si>
    <t>Other [MON]s are immune to this effect.</t>
  </si>
  <si>
    <t>takes an extra [#dX] [DMG_TYPE] damage.</t>
  </si>
  <si>
    <t>Cold (d8)</t>
  </si>
  <si>
    <t>The [MON] becomes invisible [DURATION].</t>
  </si>
  <si>
    <t>Sheriff's Duty</t>
  </si>
  <si>
    <t>Communication, Weakness</t>
  </si>
  <si>
    <t>The [MON] can't speak a deliberate lie.</t>
  </si>
  <si>
    <t>Ephemeral</t>
  </si>
  <si>
    <t>The [MON] can't wear or carry anything.</t>
  </si>
  <si>
    <t>Alien Nature</t>
  </si>
  <si>
    <t>The [MON] doesn't require air or sleep.</t>
  </si>
  <si>
    <t>Sprint</t>
  </si>
  <si>
    <t>The [MON] triples its speed [DURATION].</t>
  </si>
  <si>
    <t>Scree Form</t>
  </si>
  <si>
    <t>Difficult Terrain</t>
  </si>
  <si>
    <t>The [MON]'s space is difficult terrain.</t>
  </si>
  <si>
    <t>Until Ability is Reused</t>
  </si>
  <si>
    <t>until the [MON] uses this ability again</t>
  </si>
  <si>
    <t>Effect if Poisoned</t>
  </si>
  <si>
    <t>If the target is poisoned, [TGT_EFFECT].</t>
  </si>
  <si>
    <t>Grappling Critical</t>
  </si>
  <si>
    <t>On a critical hit, the target [OUTCOME].</t>
  </si>
  <si>
    <t>Diseased if Humanoid</t>
  </si>
  <si>
    <t>contracts [DISEASE] if it is a humanoid.</t>
  </si>
  <si>
    <t>Advantage on Next Attack</t>
  </si>
  <si>
    <t>Advantage</t>
  </si>
  <si>
    <t>gains advantage on its next attack roll.</t>
  </si>
  <si>
    <t>Outcome if Poisoned</t>
  </si>
  <si>
    <t>If the target is poisoned, it [OUTCOME].</t>
  </si>
  <si>
    <t>Outcome if Humanoid</t>
  </si>
  <si>
    <t>If the target is humanoid, it [OUTCOME].</t>
  </si>
  <si>
    <t>Half Damage and Outcome</t>
  </si>
  <si>
    <t>takes half as much damage and [OUTCOME].</t>
  </si>
  <si>
    <t>Fly in True Form</t>
  </si>
  <si>
    <t>Shapechanging</t>
  </si>
  <si>
    <t>The [MON] can fly only in its true form.</t>
  </si>
  <si>
    <t>Endless Breath</t>
  </si>
  <si>
    <t>The [MON] can hold its breath for years.</t>
  </si>
  <si>
    <t>Tail</t>
  </si>
  <si>
    <t>The [MON] pushes the target [#] ft away.</t>
  </si>
  <si>
    <t>The target's speed is reduced by [#] ft.</t>
  </si>
  <si>
    <t>Until Start of [MON]'s Turn</t>
  </si>
  <si>
    <t>until the start of the [MON]'s next turn</t>
  </si>
  <si>
    <t>Change Shape</t>
  </si>
  <si>
    <t>Without wings it loses its flying speed.</t>
  </si>
  <si>
    <t>Acid Consumption</t>
  </si>
  <si>
    <t>Consumption Effect, Movement</t>
  </si>
  <si>
    <t>A consumed creature moves with the [MON].</t>
  </si>
  <si>
    <t>Gift of Truesight</t>
  </si>
  <si>
    <t>Sense</t>
  </si>
  <si>
    <t>gains truesight out to a range of [#] ft.</t>
  </si>
  <si>
    <t>Outcome if Unarmored</t>
  </si>
  <si>
    <t>If the target is unarmored, it [OUTCOME].</t>
  </si>
  <si>
    <t>Coating</t>
  </si>
  <si>
    <t>Charm and Fear Immunity</t>
  </si>
  <si>
    <t>is immune to being charmed or frightened.</t>
  </si>
  <si>
    <t>Sticky</t>
  </si>
  <si>
    <t>Unchanged Statistics</t>
  </si>
  <si>
    <t>Its statistics are the same in each form.</t>
  </si>
  <si>
    <t>Smoke Breath</t>
  </si>
  <si>
    <t>Area, Obscuring</t>
  </si>
  <si>
    <t>That area is heavily obscured [DURATION].</t>
  </si>
  <si>
    <t>Breath Holder</t>
  </si>
  <si>
    <t>The [MON] can hold its breath [DURATION].</t>
  </si>
  <si>
    <t>Charged Motion</t>
  </si>
  <si>
    <t>The [MON] takes the Dash or Dodge action.</t>
  </si>
  <si>
    <t>Elusive Hunter</t>
  </si>
  <si>
    <t>The [MON] takes the Dodge or Hide action.</t>
  </si>
  <si>
    <t>Summon Duration</t>
  </si>
  <si>
    <t>Summoning</t>
  </si>
  <si>
    <t>The summoned creature remains [DURATION].</t>
  </si>
  <si>
    <t>SUMMON</t>
  </si>
  <si>
    <t>Summons Duration</t>
  </si>
  <si>
    <t>The summoned creatures remain [DURATION].</t>
  </si>
  <si>
    <t>Until Magically Healed</t>
  </si>
  <si>
    <t>until the target receives magical healing</t>
  </si>
  <si>
    <t>Deafening Clatter</t>
  </si>
  <si>
    <t>A creature in the [MON]'s space [OUTCOME].</t>
  </si>
  <si>
    <t>Light</t>
  </si>
  <si>
    <t>Activated [MON]s produce light as a torch.</t>
  </si>
  <si>
    <t>Intelligence Disadvantage</t>
  </si>
  <si>
    <t>gains disadvantage on Intelligence checks.</t>
  </si>
  <si>
    <t>Weapon Attack Disadvantage</t>
  </si>
  <si>
    <t>gains disadvantage on weapon attack rolls.</t>
  </si>
  <si>
    <t>Outcome if Creature</t>
  </si>
  <si>
    <t>If the target is a creature, it [OUTCOME].</t>
  </si>
  <si>
    <t>If the target is a humanoid, it [OUTCOME].</t>
  </si>
  <si>
    <t>Outcome if Frightened</t>
  </si>
  <si>
    <t>Fear Effect</t>
  </si>
  <si>
    <t>If the target is frightened, it [OUTCOME].</t>
  </si>
  <si>
    <t>Slashing (d8)</t>
  </si>
  <si>
    <t>takes half as much [DMG_TYPE] damage only.</t>
  </si>
  <si>
    <t>Magic Immunity</t>
  </si>
  <si>
    <t>Damage Reduction</t>
  </si>
  <si>
    <t>The [MON] is immune to damage from spells.</t>
  </si>
  <si>
    <t>Let Go</t>
  </si>
  <si>
    <t>The [MON] releases all grappled creatures.</t>
  </si>
  <si>
    <t>Until Ability</t>
  </si>
  <si>
    <t>until the [MON] attacks or uses an ability</t>
  </si>
  <si>
    <t>Death Howl</t>
  </si>
  <si>
    <t>When the [MON] dies, it uses Baleful Wail.</t>
  </si>
  <si>
    <t>Web Restraint</t>
  </si>
  <si>
    <t>is restrained by webbing, as the web spell.</t>
  </si>
  <si>
    <t>Stationary Incapacitation</t>
  </si>
  <si>
    <t>Incapacitation Effect, Zero Speed</t>
  </si>
  <si>
    <t>An incapacitated creature has a speed of 0.</t>
  </si>
  <si>
    <t>No Hiding or Invisibility</t>
  </si>
  <si>
    <t>can't take the Hide action or be invisible.</t>
  </si>
  <si>
    <t>Outcome for Friendly Beasts in Area</t>
  </si>
  <si>
    <t>Each friendly beast in that area [OUTCOME].</t>
  </si>
  <si>
    <t>Dexterity Advantage</t>
  </si>
  <si>
    <t>gains advantage on Dexterity saving throws.</t>
  </si>
  <si>
    <t>Concentration Disadvantage</t>
  </si>
  <si>
    <t>gains disadvantage on concentration checks.</t>
  </si>
  <si>
    <t>Disadvantage on Next Attack</t>
  </si>
  <si>
    <t>gains disadvantage on its next attack roll.</t>
  </si>
  <si>
    <t>Wisdom Disadvantage</t>
  </si>
  <si>
    <t>gains disadvantage on Wisdom saving throws.</t>
  </si>
  <si>
    <t>Effect if Knocked Prone</t>
  </si>
  <si>
    <t>If a target is knocked prone, [TGT_EFFECT].</t>
  </si>
  <si>
    <t>Reel</t>
  </si>
  <si>
    <t>is pulled [#] ft straight toward the [MON].</t>
  </si>
  <si>
    <t>Break Concentration</t>
  </si>
  <si>
    <t>loses any concentration it was maintaining.</t>
  </si>
  <si>
    <t>Temporary Self Healing</t>
  </si>
  <si>
    <t>The [MON] gains [#dX] temporary hit points.</t>
  </si>
  <si>
    <t>Temp HP Duration</t>
  </si>
  <si>
    <t>These temporary hit points last [DURATION].</t>
  </si>
  <si>
    <t>Undead Are Immune</t>
  </si>
  <si>
    <t>Undead creatures are immune to this effect.</t>
  </si>
  <si>
    <t>Until Distanced from [MON]</t>
  </si>
  <si>
    <t>until it is more than 1 mile from the [MON]</t>
  </si>
  <si>
    <t>Until the Target is Knocked Out</t>
  </si>
  <si>
    <t>until the target is reduced to 0 hit points</t>
  </si>
  <si>
    <t>Swarming</t>
  </si>
  <si>
    <t>Up to [#] [MON]s can occupy the same space.</t>
  </si>
  <si>
    <t>Choice of Two Outcomes</t>
  </si>
  <si>
    <t>[OUTCOME] or [OUTCOME] (the [MON]'s choice).</t>
  </si>
  <si>
    <t>One Attack Only</t>
  </si>
  <si>
    <t>can't make more than one attack on its turn.</t>
  </si>
  <si>
    <t>Nonreactive and No Bonus</t>
  </si>
  <si>
    <t>is unable to use bonus actions or reactions.</t>
  </si>
  <si>
    <t>Spell Slot Loss</t>
  </si>
  <si>
    <t>loses its lowest-level available spell slot.</t>
  </si>
  <si>
    <t>Release Held Breath</t>
  </si>
  <si>
    <t>stops holding its breath if it was doing so.</t>
  </si>
  <si>
    <t>Dispel Magic</t>
  </si>
  <si>
    <t>suffers the effects of a dispel magic spell.</t>
  </si>
  <si>
    <t>Damage and Outcome</t>
  </si>
  <si>
    <t>takes [#dX] [DMG_TYPE] damage and [OUTCOME].</t>
  </si>
  <si>
    <t>Psychic (d6)</t>
  </si>
  <si>
    <t>Overclocked</t>
  </si>
  <si>
    <t>The [MON] has advantage on initiative rolls.</t>
  </si>
  <si>
    <t>Shapechanger</t>
  </si>
  <si>
    <t>The [MON] transforms into an alternate form.</t>
  </si>
  <si>
    <t>Until Initiative 20</t>
  </si>
  <si>
    <t>until initiative count [#] on the next round</t>
  </si>
  <si>
    <t>Until [MON] Action</t>
  </si>
  <si>
    <t>until the [MON] ends the effect as an action</t>
  </si>
  <si>
    <t>Until Incapacitated</t>
  </si>
  <si>
    <t>until the affected creature is incapacitated</t>
  </si>
  <si>
    <t>[OUTCOME] or [OUTCOME] (the target's choice).</t>
  </si>
  <si>
    <t>Reaction Move</t>
  </si>
  <si>
    <t>can use its reaction to move up to its speed.</t>
  </si>
  <si>
    <t>Spare the Deaf</t>
  </si>
  <si>
    <t>Deafened creatures are immune to this effect.</t>
  </si>
  <si>
    <t>Outcome for Hostile Creatures in Area</t>
  </si>
  <si>
    <t>Each hostile creature in that area [OUTCOME].</t>
  </si>
  <si>
    <t>Outcome if Spellcaster</t>
  </si>
  <si>
    <t>If the target is a spellcaster, it [OUTCOME].</t>
  </si>
  <si>
    <t>Outcome if Incapacitated</t>
  </si>
  <si>
    <t>Incapacitation Effect</t>
  </si>
  <si>
    <t>If the target is incapacitated, it [OUTCOME].</t>
  </si>
  <si>
    <t>Outcome if Small or Tiny</t>
  </si>
  <si>
    <t>Throwing</t>
  </si>
  <si>
    <t>If the target is Small or Tiny, it [OUTCOME].</t>
  </si>
  <si>
    <t>Swallow</t>
  </si>
  <si>
    <t>is consumed and no longer stuck to the [MON].</t>
  </si>
  <si>
    <t>Ooze Passivism</t>
  </si>
  <si>
    <t>Oozes never attack the [MON] unless provoked.</t>
  </si>
  <si>
    <t>WORDING</t>
  </si>
  <si>
    <t>Glow</t>
  </si>
  <si>
    <t>The [MON] sheds dim light in a [#] ft radius.</t>
  </si>
  <si>
    <t>Darting Escape</t>
  </si>
  <si>
    <t>The [MON] takes the Dash or Disengage action.</t>
  </si>
  <si>
    <t>Arboreal</t>
  </si>
  <si>
    <t>The [MON] takes the Disengage or Hide action.</t>
  </si>
  <si>
    <t>HP Max Reduction Duration</t>
  </si>
  <si>
    <t>The reduction in hit points lasts [DURATION].</t>
  </si>
  <si>
    <t>Become Lawful Evil</t>
  </si>
  <si>
    <t>The target's alignment shifts to lawful evil.</t>
  </si>
  <si>
    <t>Until Unconscious</t>
  </si>
  <si>
    <t>until the affected creature falls unconscious</t>
  </si>
  <si>
    <t>Blinding, Deafening</t>
  </si>
  <si>
    <t>Fewer than 40 hit points: blinded and deafened</t>
  </si>
  <si>
    <t>Gift of Charm and Fear Immunity</t>
  </si>
  <si>
    <t>becomes immune to being charmed or frightened.</t>
  </si>
  <si>
    <t>Symbiotic Thought</t>
  </si>
  <si>
    <t>Bonded it and host communicate telepathically.</t>
  </si>
  <si>
    <t>can use its reaction to make one melee attack.</t>
  </si>
  <si>
    <t>Saving Throw Effect</t>
  </si>
  <si>
    <t>Fiend Disadvantage</t>
  </si>
  <si>
    <t>Fiends have disadvantage on this saving throw.</t>
  </si>
  <si>
    <t>Effect if Sighted</t>
  </si>
  <si>
    <t>If the target can see the [MON], [TGT_EFFECT].</t>
  </si>
  <si>
    <t>It retains a streak of white hair in any form.</t>
  </si>
  <si>
    <t>Extra Damage for Undead</t>
  </si>
  <si>
    <t>takes [#dX] [DMG_TYPE] damage if it is undead.</t>
  </si>
  <si>
    <t>Fire (d8)</t>
  </si>
  <si>
    <t>Metal Detection</t>
  </si>
  <si>
    <t>The [MON] can smell metal within [#] ft of it.</t>
  </si>
  <si>
    <t>The [MON] doesn't require air, food, or sleep.</t>
  </si>
  <si>
    <t>Desert Farer</t>
  </si>
  <si>
    <t>The [MON] ignores the effects of extreme heat.</t>
  </si>
  <si>
    <t>Apothecary</t>
  </si>
  <si>
    <t>The [MON] is proficient with a poisoner's kit.</t>
  </si>
  <si>
    <t>Action Area</t>
  </si>
  <si>
    <t>Cone Attack</t>
  </si>
  <si>
    <t>The [MON] targets a [#] ft cone. [TGT_EFFECT].</t>
  </si>
  <si>
    <t>Ends if [MON] Incapacitated</t>
  </si>
  <si>
    <t>The effect ends if the [MON] is incapacitated.</t>
  </si>
  <si>
    <t>until it is more than [#] miles from the [MON]</t>
  </si>
  <si>
    <t>can use its reaction to make one weapon attack.</t>
  </si>
  <si>
    <t>gains advantage on its next weapon attack roll.</t>
  </si>
  <si>
    <t>Fire Resistance</t>
  </si>
  <si>
    <t>Mount</t>
  </si>
  <si>
    <t>The [MON] can grant fire resistance to a rider.</t>
  </si>
  <si>
    <t>Devil's Sight</t>
  </si>
  <si>
    <t>The [MON] can see normally in magical darkness.</t>
  </si>
  <si>
    <t>Trackless Travel</t>
  </si>
  <si>
    <t>The [MON] can't be tracked by nonmagical means.</t>
  </si>
  <si>
    <t>Unmounted Only</t>
  </si>
  <si>
    <t>Mount, Limitation</t>
  </si>
  <si>
    <t>The [MON] can't use this ability while mounted.</t>
  </si>
  <si>
    <t>Hungry Void Traveler</t>
  </si>
  <si>
    <t>The [MON] doesn't require air, drink, or sleep.</t>
  </si>
  <si>
    <t>Incapacitation Prevents</t>
  </si>
  <si>
    <t>This effect ends if the [MON] is incapacitated.</t>
  </si>
  <si>
    <t>until an affected creature finishes a long rest</t>
  </si>
  <si>
    <t>Spare Water Breathers</t>
  </si>
  <si>
    <t>A creature that can breathe water is unaffected.</t>
  </si>
  <si>
    <t>Wish Suppresses</t>
  </si>
  <si>
    <t>A wish spell can suppress this trait [DURATION].</t>
  </si>
  <si>
    <t>Attack Bonus</t>
  </si>
  <si>
    <t>adds the [MON]'s Charisma bonus to attack rolls.</t>
  </si>
  <si>
    <t>Overdrive</t>
  </si>
  <si>
    <t>After doing so, the [MON] is stunned [DURATION].</t>
  </si>
  <si>
    <t>Cloud Sight</t>
  </si>
  <si>
    <t>Clouds and fog do not impair the [MON]'s vision.</t>
  </si>
  <si>
    <t>Spare Constructs and Undead</t>
  </si>
  <si>
    <t>Constructs and undead are immune to this effect.</t>
  </si>
  <si>
    <t>Enhance Weapon</t>
  </si>
  <si>
    <t>deals an extra [#dX] damage with weapon attacks.</t>
  </si>
  <si>
    <t>Outcome if Armed</t>
  </si>
  <si>
    <t>If the target is holding a weapon, it [OUTCOME].</t>
  </si>
  <si>
    <t>The [MON] can make one attack as a bonus action.</t>
  </si>
  <si>
    <t>Immortal Nature</t>
  </si>
  <si>
    <t>The [MON] doesn't require drink, food, or sleep.</t>
  </si>
  <si>
    <t>Repel the [MON]</t>
  </si>
  <si>
    <t>The [MON] is pushed [#] ft away from the target.</t>
  </si>
  <si>
    <t>Revert on Death</t>
  </si>
  <si>
    <t>The [MON] reverts to its true form when it dies.</t>
  </si>
  <si>
    <t>Charisma Damage</t>
  </si>
  <si>
    <t>Ability Score Damage</t>
  </si>
  <si>
    <t>The target's Charisma score is reduced by [#dX].</t>
  </si>
  <si>
    <t>Charisma (d4)</t>
  </si>
  <si>
    <t>Strength Damage</t>
  </si>
  <si>
    <t>The target's Strength score is reduced by [#dX].</t>
  </si>
  <si>
    <t>Strength (d4)</t>
  </si>
  <si>
    <t>until an affected creature finishes a short rest</t>
  </si>
  <si>
    <t>until it is no longer within [#] ft of the [MON]</t>
  </si>
  <si>
    <t>While transformed, its statistics are unchanged.</t>
  </si>
  <si>
    <t>Without wings, the [MON] loses its flying speed.</t>
  </si>
  <si>
    <t>Four Durations</t>
  </si>
  <si>
    <t>[DURATION], [DURATION], [DURATION], or [DURATION]</t>
  </si>
  <si>
    <t>Blinded if Grappled</t>
  </si>
  <si>
    <t>While grappled in this way, a creature [OUTCOME].</t>
  </si>
  <si>
    <t>A consumed creature can see outside of the [MON].</t>
  </si>
  <si>
    <t>Blinding Poison</t>
  </si>
  <si>
    <t>While poisoned in this way, a creature [OUTCOME].</t>
  </si>
  <si>
    <t>Restrained and Suffocated if Grappled</t>
  </si>
  <si>
    <t>Grapple Effect, Restraining</t>
  </si>
  <si>
    <t>Whelm</t>
  </si>
  <si>
    <t>Unfixed in Time</t>
  </si>
  <si>
    <t>Attack rolls against the [MON] have disadvantage.</t>
  </si>
  <si>
    <t>Opportunity Denial</t>
  </si>
  <si>
    <t>can't make opportunity attacks against the [MON].</t>
  </si>
  <si>
    <t>Outcome for Creatures Near Target</t>
  </si>
  <si>
    <t>Each creature within [#] of the target [OUTCOME].</t>
  </si>
  <si>
    <t>Faerie Blessing</t>
  </si>
  <si>
    <t>Humanoid Disadvantage</t>
  </si>
  <si>
    <t>Humanoids have disadvantage on this saving throw.</t>
  </si>
  <si>
    <t>Outcome if Fiend or Undead</t>
  </si>
  <si>
    <t>If the target is a fiend or undead, it [OUTCOME].</t>
  </si>
  <si>
    <t>Forest Speaker</t>
  </si>
  <si>
    <t>The [MON] can communicate with beasts and plants.</t>
  </si>
  <si>
    <t>Recover</t>
  </si>
  <si>
    <t>Restoring (Self)</t>
  </si>
  <si>
    <t>The [MON] ends one condition or effect on itself.</t>
  </si>
  <si>
    <t>Twisted Path</t>
  </si>
  <si>
    <t>The [MON] leaves no path through natural terrain.</t>
  </si>
  <si>
    <t>Unstoppable</t>
  </si>
  <si>
    <t>The [MON]'s speed can't be reduced by any effect.</t>
  </si>
  <si>
    <t>Obscured Area</t>
  </si>
  <si>
    <t>The affected area is heavily obscured [DURATION].</t>
  </si>
  <si>
    <t>Sharpshooter</t>
  </si>
  <si>
    <t>This attack ignores half or three-quarters cover.</t>
  </si>
  <si>
    <t>Until [MON] Ends as Bonus Action</t>
  </si>
  <si>
    <t>until the [MON] ends the effect as a bonus action</t>
  </si>
  <si>
    <t>Stunning Charm</t>
  </si>
  <si>
    <t>Charm Effect, Stunning</t>
  </si>
  <si>
    <t>While charmed in this way, a creature is stunned.</t>
  </si>
  <si>
    <t>Hold on Tight</t>
  </si>
  <si>
    <t>Doing so doesn't free the target from the grapple.</t>
  </si>
  <si>
    <t>AC Reduction</t>
  </si>
  <si>
    <t>Doing so reduces the [MON]'s AC by [#] [DURATION].</t>
  </si>
  <si>
    <t>Disarm</t>
  </si>
  <si>
    <t>drops its weapon, which lands within [#] ft of it.</t>
  </si>
  <si>
    <t>Attack and Save Advantage</t>
  </si>
  <si>
    <t>gains advantage on attack rolls and saving throws.</t>
  </si>
  <si>
    <t>gains disadvantage on its next weapon attack roll.</t>
  </si>
  <si>
    <t>Rejuvenation</t>
  </si>
  <si>
    <t>Resurrection</t>
  </si>
  <si>
    <t>If destroyed, the [MON] rises again in [DURATION].</t>
  </si>
  <si>
    <t>Restore</t>
  </si>
  <si>
    <t>is cured of all diseases and poisons affecting it.</t>
  </si>
  <si>
    <t>Grapple Limit</t>
  </si>
  <si>
    <t>The [MON] can only grapple one creature at a time.</t>
  </si>
  <si>
    <t>Lava Walker</t>
  </si>
  <si>
    <t>The [MON] can swim through lava at its walk speed.</t>
  </si>
  <si>
    <t>Blind Senses</t>
  </si>
  <si>
    <t>The [MON] can't use its blindsight while deafened.</t>
  </si>
  <si>
    <t>Mortal Void Traveler</t>
  </si>
  <si>
    <t>The [MON] doesn't require air or ambient pressure.</t>
  </si>
  <si>
    <t>Divine Horns</t>
  </si>
  <si>
    <t>The [MON] ignores resistance to [DMG_TYPE] damage.</t>
  </si>
  <si>
    <t>Dead Still</t>
  </si>
  <si>
    <t>The [MON] is invisible while buried in swamp muck.</t>
  </si>
  <si>
    <t>Mucous Cloud</t>
  </si>
  <si>
    <t>The diseased creature can breathe only underwater.</t>
  </si>
  <si>
    <t>This curse lasts [DURATION] unless removed sooner.</t>
  </si>
  <si>
    <t>Disengaging, Movement</t>
  </si>
  <si>
    <t>This movement doesn't provoke opportunity attacks.</t>
  </si>
  <si>
    <t>Until End of Turn</t>
  </si>
  <si>
    <t>until the end of the affected creature's next turn</t>
  </si>
  <si>
    <t>Unquenchable Flame</t>
  </si>
  <si>
    <t>Water doesn't douse fires ignited by this ability.</t>
  </si>
  <si>
    <t>Stunning Poison</t>
  </si>
  <si>
    <t>Poison Effect, Stunning</t>
  </si>
  <si>
    <t>While poisoned in this way, a creature is stunned.</t>
  </si>
  <si>
    <t>Damage Effect</t>
  </si>
  <si>
    <t>Once Per Turn</t>
  </si>
  <si>
    <t>A creature can take this damage only once per turn.</t>
  </si>
  <si>
    <t>Hardened Scales</t>
  </si>
  <si>
    <t>Any critical hit against the [MON] is a normal hit.</t>
  </si>
  <si>
    <t>Fewer than 20 hit points: instantly killed outright</t>
  </si>
  <si>
    <t>Effect if Cursed</t>
  </si>
  <si>
    <t>Curse Effect</t>
  </si>
  <si>
    <t>If a creature is cursed by the [MON], [TGT_EFFECT].</t>
  </si>
  <si>
    <t>Outcome if Cursed</t>
  </si>
  <si>
    <t>If a creature is cursed by the [MON], it [OUTCOME].</t>
  </si>
  <si>
    <t>Death Spores</t>
  </si>
  <si>
    <t>Infection Effect, Poisoning</t>
  </si>
  <si>
    <t>While infected in this way, a creature is poisoned.</t>
  </si>
  <si>
    <t>In One Bite</t>
  </si>
  <si>
    <t>If a creature remains consumed [DURATION], it dies.</t>
  </si>
  <si>
    <t>Outcome if Armored</t>
  </si>
  <si>
    <t>If the target is wearing metal armor, it [OUTCOME].</t>
  </si>
  <si>
    <t>ITEM</t>
  </si>
  <si>
    <t>takes half as much [DMG_TYPE] damage and [OUTCOME].</t>
  </si>
  <si>
    <t>Share With a Rider</t>
  </si>
  <si>
    <t>The [MON] can grant this trait to anyone riding it.</t>
  </si>
  <si>
    <t>Compact</t>
  </si>
  <si>
    <t>The [MON] can occupy same space as one other [MON].</t>
  </si>
  <si>
    <t>Wrapping Embrace</t>
  </si>
  <si>
    <t>The [MON] can share the same space as one creature.</t>
  </si>
  <si>
    <t>Wing Attack</t>
  </si>
  <si>
    <t>The [MON] can then fly up to half its flying speed.</t>
  </si>
  <si>
    <t>The [MON] can't be tracked except by magical means.</t>
  </si>
  <si>
    <t>Need to Hear</t>
  </si>
  <si>
    <t>The [MON] can't use this ability if it is deafened.</t>
  </si>
  <si>
    <t>Need Light</t>
  </si>
  <si>
    <t>The [MON] can't use this ability while in darkness.</t>
  </si>
  <si>
    <t>Need Darkness</t>
  </si>
  <si>
    <t>The [MON] can't use this ability while in sunlight.</t>
  </si>
  <si>
    <t>Sand Glide</t>
  </si>
  <si>
    <t>The [MON] is invisible while burrowing in this way.</t>
  </si>
  <si>
    <t>The [MON] remains in its current form when it dies.</t>
  </si>
  <si>
    <t>This ability has no effect on constructs or undead.</t>
  </si>
  <si>
    <t>Stationary Grapple</t>
  </si>
  <si>
    <t>Grapple Effect, Zero Speed</t>
  </si>
  <si>
    <t>While grappling a creature, the [MON]'s speed is 0.</t>
  </si>
  <si>
    <t>A consumed creature can be seen but has total cover.</t>
  </si>
  <si>
    <t>Damage Wakes</t>
  </si>
  <si>
    <t>Unconsciousness Ending</t>
  </si>
  <si>
    <t>An unconscious creature wakes up if it takes damage.</t>
  </si>
  <si>
    <t>Move the Consumed</t>
  </si>
  <si>
    <t>If the [MON] moves, consumed creatures move with it.</t>
  </si>
  <si>
    <t>The [MON] can grapple up to [#] creatures at a time.</t>
  </si>
  <si>
    <t>Poor Vision</t>
  </si>
  <si>
    <t>Sense, Weakness</t>
  </si>
  <si>
    <t>The [MON] can see almost nothing beyond [#] ft away.</t>
  </si>
  <si>
    <t>Breathless Kiss</t>
  </si>
  <si>
    <t>The [MON] draws all the air from the target's lungs.</t>
  </si>
  <si>
    <t>Turn Immunity</t>
  </si>
  <si>
    <t>The [MON] is immune to any effect that turns undead.</t>
  </si>
  <si>
    <t>Light Invisibility</t>
  </si>
  <si>
    <t>The [MON] is invisible while in bright or dim light.</t>
  </si>
  <si>
    <t>Attachment Duration</t>
  </si>
  <si>
    <t>Attachment Ending</t>
  </si>
  <si>
    <t>The [MON] remains attached to the target [DURATION].</t>
  </si>
  <si>
    <t>Cunning Action</t>
  </si>
  <si>
    <t>The [MON] takes the Dash, Disengage, or Hide action.</t>
  </si>
  <si>
    <t>Earthbound</t>
  </si>
  <si>
    <t>The [MON]'s maximum altitude while flying is [#] ft.</t>
  </si>
  <si>
    <t>Deadly Precision</t>
  </si>
  <si>
    <t>The [MON]'s ranged attacks do an extra [#dX] damage.</t>
  </si>
  <si>
    <t>Intelligence Damage</t>
  </si>
  <si>
    <t>The target's Intelligence score is reduced by [#dX].</t>
  </si>
  <si>
    <t>Intelligence (d4)</t>
  </si>
  <si>
    <t>Until Ended Without Action</t>
  </si>
  <si>
    <t>until the [MON] ends the effect (no action required)</t>
  </si>
  <si>
    <t>Until Start of Turn</t>
  </si>
  <si>
    <t>until the start of the affected creature's next turn</t>
  </si>
  <si>
    <t>Paralyzing Poison</t>
  </si>
  <si>
    <t>Paralyzing, Poison Effect</t>
  </si>
  <si>
    <t>While poisoned in this way, a creature is paralyzed.</t>
  </si>
  <si>
    <t>Prison Belly</t>
  </si>
  <si>
    <t>A consumed creature doesn't need food, water, or air.</t>
  </si>
  <si>
    <t>Flammable</t>
  </si>
  <si>
    <t>Ongoing Damage</t>
  </si>
  <si>
    <t>A creature can use an action to extinguish this fire.</t>
  </si>
  <si>
    <t>OD</t>
  </si>
  <si>
    <t>Outcome if Grappled</t>
  </si>
  <si>
    <t>If the target is grappled by the [MON], it [OUTCOME].</t>
  </si>
  <si>
    <t>Ethereal Coat</t>
  </si>
  <si>
    <t>All attack rolls against the [MON] have disadvantage.</t>
  </si>
  <si>
    <t>Onslaught</t>
  </si>
  <si>
    <t>As a bonus action, the [MON] can make a melee attack.</t>
  </si>
  <si>
    <t>Attack and Save Disadvantage</t>
  </si>
  <si>
    <t>gains disadvantage on attack rolls and saving throws.</t>
  </si>
  <si>
    <t>Poison or Alternative</t>
  </si>
  <si>
    <t>is poisoned. If it is already poisoned, it [OUTCOME].</t>
  </si>
  <si>
    <t>If the target is a spellcaster, the target [OUTCOME].</t>
  </si>
  <si>
    <t>Flesh-Eating Aura</t>
  </si>
  <si>
    <t>Aura</t>
  </si>
  <si>
    <t>Magical healing within [#] ft of the [MON] is halved.</t>
  </si>
  <si>
    <t>Shapechanger Disadvantage</t>
  </si>
  <si>
    <t>Disadvantage, Shapechanging</t>
  </si>
  <si>
    <t>Shapechangers have disadvantage on this saving throw.</t>
  </si>
  <si>
    <t>Damage If Move</t>
  </si>
  <si>
    <t>takes [#dX] [DMG_TYPE] damage the next time it moves.</t>
  </si>
  <si>
    <t>Lightning (d6)</t>
  </si>
  <si>
    <t>Snow Burrower</t>
  </si>
  <si>
    <t>The [MON] can burrow through nonmagical snow and ice.</t>
  </si>
  <si>
    <t>Forest Ways</t>
  </si>
  <si>
    <t>The [MON] can communicate with Small and Tiny beasts.</t>
  </si>
  <si>
    <t>Up to Three</t>
  </si>
  <si>
    <t>The [MON] can have up to three such servants at once.</t>
  </si>
  <si>
    <t>Insubstantial</t>
  </si>
  <si>
    <t>The [MON] can't pick up or move objects or creatures.</t>
  </si>
  <si>
    <t>Construct Nature</t>
  </si>
  <si>
    <t>The [MON] doesn't require air, drink, food, or sleep.</t>
  </si>
  <si>
    <t>Heal Full Damage Dealt</t>
  </si>
  <si>
    <t>The [MON] gains hit points equal to the damage dealt.</t>
  </si>
  <si>
    <t>Aquatic Invisibility</t>
  </si>
  <si>
    <t>The [MON] is invisible while fully immersed in water.</t>
  </si>
  <si>
    <t>Fiery Hooves</t>
  </si>
  <si>
    <t>The [MON] leaves charred hoofprints wherever it goes.</t>
  </si>
  <si>
    <t>Terrible Depth Perception</t>
  </si>
  <si>
    <t>The [MON] makes all ranged attacks with disadvantage.</t>
  </si>
  <si>
    <t>Quick-Footed</t>
  </si>
  <si>
    <t>The [MON] takes the Dash, Disengage, or Dodge action.</t>
  </si>
  <si>
    <t>One Willing Creature It Can Touch</t>
  </si>
  <si>
    <t>The [MON] touches one willing creature. [TGT_EFFECT].</t>
  </si>
  <si>
    <t>Shadesight</t>
  </si>
  <si>
    <t>The [MON]'s darkvision functions in magical darkness.</t>
  </si>
  <si>
    <t>Astounding Leap</t>
  </si>
  <si>
    <t>The [MON]'s high jump distance is equal to its speed.</t>
  </si>
  <si>
    <t>Gore</t>
  </si>
  <si>
    <t>Expanded Crit Range</t>
  </si>
  <si>
    <t>This attack scores a critical hit on a roll of 18-20.</t>
  </si>
  <si>
    <t>Outcome of Hit or Miss</t>
  </si>
  <si>
    <t>Whether or not the attack hits, the target [OUTCOME].</t>
  </si>
  <si>
    <t>Suffocated if Grappled</t>
  </si>
  <si>
    <t>Grapple Effect, Suffocating</t>
  </si>
  <si>
    <t>While grappled in this way, a creature can't breathe.</t>
  </si>
  <si>
    <t>Once per Turn</t>
  </si>
  <si>
    <t>A creature makes this saving throw only once per turn.</t>
  </si>
  <si>
    <t>Attack and Ability Check Disadvantage</t>
  </si>
  <si>
    <t>gains disadvantage on attack rolls and ability checks.</t>
  </si>
  <si>
    <t>Throw</t>
  </si>
  <si>
    <t>Throwing, Toppling</t>
  </si>
  <si>
    <t>is thrown [#] ft in a random direction, landing prone.</t>
  </si>
  <si>
    <t>Only its true and beast forms retain its flying speed.</t>
  </si>
  <si>
    <t>Void Traveler</t>
  </si>
  <si>
    <t>The [MON] does not require air, drink, food, or sleep.</t>
  </si>
  <si>
    <t>Resistant</t>
  </si>
  <si>
    <t>The [MON] has advantage on Constitution saving throws.</t>
  </si>
  <si>
    <t>Chameleon Hide</t>
  </si>
  <si>
    <t>The [MON] has advantage on Dexterity (Stealth) checks.</t>
  </si>
  <si>
    <t>Diligent Sentinel</t>
  </si>
  <si>
    <t>The [MON] has advantage on Wisdom (Perception) checks.</t>
  </si>
  <si>
    <t>Touch One Willing Construct</t>
  </si>
  <si>
    <t>The [MON] touches one willing construct. [TGT_EFFECT].</t>
  </si>
  <si>
    <t>Tenebrous Agility</t>
  </si>
  <si>
    <t>The [MON]'s speed is doubled in dim light or darkness.</t>
  </si>
  <si>
    <t>Sensitive Belly</t>
  </si>
  <si>
    <t>The [MON]'s tremorsense only functions if it is prone.</t>
  </si>
  <si>
    <t>See It Coming</t>
  </si>
  <si>
    <t>To use this reaction, the [MON] must see the attacker.</t>
  </si>
  <si>
    <t>Undead Auto Fail</t>
  </si>
  <si>
    <t>Undead creatures automatically fail this saving throw.</t>
  </si>
  <si>
    <t>Born of Shadows</t>
  </si>
  <si>
    <t>When in dim light or darkness, the [MON] is invisible.</t>
  </si>
  <si>
    <t>Paralyzed by Fear</t>
  </si>
  <si>
    <t>Fear Effect, Paralyzing</t>
  </si>
  <si>
    <t>While frightened in this way, a creature is paralyzed.</t>
  </si>
  <si>
    <t>Knockout Poison</t>
  </si>
  <si>
    <t>Knockout, Poison Effect</t>
  </si>
  <si>
    <t>While poisoned in this way, a creature is unconscious.</t>
  </si>
  <si>
    <t>Lethal Knockout</t>
  </si>
  <si>
    <t>A creature reduced to 0 hit points by this damage dies.</t>
  </si>
  <si>
    <t>Invisible Equipment</t>
  </si>
  <si>
    <t>Any equipment it wears or carries is invisible with it.</t>
  </si>
  <si>
    <t>Predictive Harmonics</t>
  </si>
  <si>
    <t>Any time the [MON] would make a roll with disadvantage.</t>
  </si>
  <si>
    <t>Outcome if Restrained</t>
  </si>
  <si>
    <t>Restraint Effect</t>
  </si>
  <si>
    <t>If the target is restrained by the [MON], it [OUTCOME].</t>
  </si>
  <si>
    <t>Strength Disadvantage</t>
  </si>
  <si>
    <t>gains disadvantage on weapon attacks that use Strength.</t>
  </si>
  <si>
    <t>Topple or Alternative</t>
  </si>
  <si>
    <t>is knocked prone. If it is already prone, it [OUTCOME].</t>
  </si>
  <si>
    <t>Black Sun Sight</t>
  </si>
  <si>
    <t>Magical darkness doesn't impede the [MON]'s darkvision.</t>
  </si>
  <si>
    <t>Objects it is carrying or stuck to are not transformed.</t>
  </si>
  <si>
    <t>Zero-Dimensional</t>
  </si>
  <si>
    <t>The [MON] can move through any space without squeezing.</t>
  </si>
  <si>
    <t>Temporary Spillover</t>
  </si>
  <si>
    <t>The [MON] gains excess healing as temporary hit points.</t>
  </si>
  <si>
    <t>False Tongue</t>
  </si>
  <si>
    <t>The [MON] has advantage on Charisma (Deception) checks.</t>
  </si>
  <si>
    <t>Consumed by Rage</t>
  </si>
  <si>
    <t>The [MON] has advantage on Strength (Athletics) checks.</t>
  </si>
  <si>
    <t>Skittering Skater</t>
  </si>
  <si>
    <t>The [MON] is immune to the effects of the grease spell.</t>
  </si>
  <si>
    <t>Drop</t>
  </si>
  <si>
    <t>The [MON] takes no damage from falling [#] ft or fewer.</t>
  </si>
  <si>
    <t>Double Bonus Actions</t>
  </si>
  <si>
    <t>The [MON] takes two bonus actions on each of its turns.</t>
  </si>
  <si>
    <t>Incapacitating Charm</t>
  </si>
  <si>
    <t>Charm Effect, Zero Speed</t>
  </si>
  <si>
    <t>While charmed in this way, a creature has a speed of 0.</t>
  </si>
  <si>
    <t>Charm Effect, Incapacitating</t>
  </si>
  <si>
    <t>While charmed in this way, a creature is incapacitated.</t>
  </si>
  <si>
    <t>Indiscernible in Shadows</t>
  </si>
  <si>
    <t>While in dim light or darkness, the [MON] is invisible.</t>
  </si>
  <si>
    <t>Choice of Three Outcomes</t>
  </si>
  <si>
    <t>[OUTCOME], [OUTCOME], or [OUTCOME] (the [MON]'s choice).</t>
  </si>
  <si>
    <t>Killed by 0 Strength</t>
  </si>
  <si>
    <t>Ability Score Damage, Lethal</t>
  </si>
  <si>
    <t>A creature dies if this reduces its Strength score to 0.</t>
  </si>
  <si>
    <t>Bonus Action Invisibility</t>
  </si>
  <si>
    <t>As a bonus action, the [MON] turns invisible [DURATION].</t>
  </si>
  <si>
    <t>Reaction</t>
  </si>
  <si>
    <t>Angry Moan</t>
  </si>
  <si>
    <t>As a reaction when the [MON] takes damage, it uses Moan.</t>
  </si>
  <si>
    <t>Wakeful</t>
  </si>
  <si>
    <t>At least one of the [MON]'s heads is awake at all times.</t>
  </si>
  <si>
    <t>Dispel Magic Weakness</t>
  </si>
  <si>
    <t>Casting dispel magic on a [MON] paralyzes it [DURATION].</t>
  </si>
  <si>
    <t>Attack and Dexterity Disadvantage</t>
  </si>
  <si>
    <t>gains disadvantage on attack rolls and Dexterity checks.</t>
  </si>
  <si>
    <t>Charisma Disadvantage</t>
  </si>
  <si>
    <t>gains disadvantage on Charisma checks and saving throws.</t>
  </si>
  <si>
    <t>gains immunity to the charmed and frightened conditions.</t>
  </si>
  <si>
    <t>Outcome if Not Sighted</t>
  </si>
  <si>
    <t>If the target can't see the [MON], the target [OUTCOME].</t>
  </si>
  <si>
    <t>Outcome if Injured</t>
  </si>
  <si>
    <t>If the target has [#] hit points or fewer, it [OUTCOME].</t>
  </si>
  <si>
    <t>Outcome if Concentrating</t>
  </si>
  <si>
    <t>If the target is concentrating on a spell, it [OUTCOME].</t>
  </si>
  <si>
    <t>Effect if Armored</t>
  </si>
  <si>
    <t>If the target is wearing nonmagical armor, [TGT_EFFECT].</t>
  </si>
  <si>
    <t>Effect if Living</t>
  </si>
  <si>
    <t>If the target isn't a construct or undead, [TGT_EFFECT].</t>
  </si>
  <si>
    <t>Outcome if Unconscious</t>
  </si>
  <si>
    <t>Unconsciousness Effect</t>
  </si>
  <si>
    <t>If the target was sleeping or unconscious, it [OUTCOME].</t>
  </si>
  <si>
    <t>is cured of any blindness, deafness, disease, or poison.</t>
  </si>
  <si>
    <t>is pushed [#] ft in a direction of the [MON]'s choosing.</t>
  </si>
  <si>
    <t>Protection from Arrows</t>
  </si>
  <si>
    <t>Ranged attack rolls against the [MON] have disadvantage.</t>
  </si>
  <si>
    <t>Suppress Magic</t>
  </si>
  <si>
    <t>Spells and magical effects are suppressed on the target.</t>
  </si>
  <si>
    <t>Empty Soul Gems</t>
  </si>
  <si>
    <t>The [MON] begins combat with one or two empty soul gems:</t>
  </si>
  <si>
    <t>The [MON] begins combat with up to four empty soul gems.</t>
  </si>
  <si>
    <t>Noble Resilience</t>
  </si>
  <si>
    <t>The [MON] can ignore the effects of sunlight [DURATION].</t>
  </si>
  <si>
    <t>Return to True Form</t>
  </si>
  <si>
    <t>The [MON] can return to its true form as a bonus action.</t>
  </si>
  <si>
    <t>Mob</t>
  </si>
  <si>
    <t>The [MON] can share its space with creatures or objects.</t>
  </si>
  <si>
    <t>Reactive</t>
  </si>
  <si>
    <t>The [MON] can take one reaction on every turn in combat.</t>
  </si>
  <si>
    <t>Siege Monster</t>
  </si>
  <si>
    <t>The [MON] deals double damage to objects and structures.</t>
  </si>
  <si>
    <t>Rubbery Flesh</t>
  </si>
  <si>
    <t>The [MON] is immune to form-altering spells and effects.</t>
  </si>
  <si>
    <t>The [MON] is immune to spells and other magical effects.</t>
  </si>
  <si>
    <t>Oracle of the Skies</t>
  </si>
  <si>
    <t>The [MON] is never considered surprised while conscious.</t>
  </si>
  <si>
    <t>Swampland Stealth</t>
  </si>
  <si>
    <t>The [MON] must be in swampy terrain to use this ability.</t>
  </si>
  <si>
    <t>Incapacitating Poison</t>
  </si>
  <si>
    <t>Incapacitating, Poison Effect</t>
  </si>
  <si>
    <t>While poisoned in this way, a creature is incapacitated.</t>
  </si>
  <si>
    <t>Sequential Outcomes</t>
  </si>
  <si>
    <t>[OUTCOME] [DURATION] and [OUTCOME] [DURATION] after that.</t>
  </si>
  <si>
    <t>[OUTCOME], [OUTCOME], or [OUTCOME] (the target's choice).</t>
  </si>
  <si>
    <t>Damage sustained in one form transfers to the other form.</t>
  </si>
  <si>
    <t>gains disadvantage on all attack rolls and saving throws.</t>
  </si>
  <si>
    <t>Telepathic Urge</t>
  </si>
  <si>
    <t>If the [MON] attacks an affected target, the effect ends.</t>
  </si>
  <si>
    <t>Outcome of Crit</t>
  </si>
  <si>
    <t>If the [MON] scores a critical hit, the target [OUTCOME].</t>
  </si>
  <si>
    <t>Outcome if Plant</t>
  </si>
  <si>
    <t>If the target is a plant or plant creature, it [OUTCOME].</t>
  </si>
  <si>
    <t>is dominated by the [MON] (as the dominate person spell).</t>
  </si>
  <si>
    <t>Magic Disrupting, Silencing</t>
  </si>
  <si>
    <t>is unable to speak or cast spells with verbal components.</t>
  </si>
  <si>
    <t>Shadow's Vigil</t>
  </si>
  <si>
    <t>Magical darkness does not inhibit the [MON]'s darkvision.</t>
  </si>
  <si>
    <t>Mana Erosion</t>
  </si>
  <si>
    <t>Magical effects within [#] ft of the [MON] are dispelled.</t>
  </si>
  <si>
    <t>Descendant of The Moon</t>
  </si>
  <si>
    <t>Magical light created by the [MON] can't be extinguished.</t>
  </si>
  <si>
    <t>Ongoing Healing</t>
  </si>
  <si>
    <t>regains [#] hit points at the start of each of its turns.</t>
  </si>
  <si>
    <t>Swim in Sand</t>
  </si>
  <si>
    <t>The [MON] can burrow through sand at half its swim speed.</t>
  </si>
  <si>
    <t>Labyrinthine Recall</t>
  </si>
  <si>
    <t>The [MON] can perfectly recall any route it has traveled.</t>
  </si>
  <si>
    <t>Uncanny Dodge</t>
  </si>
  <si>
    <t>The [MON] halves the damage from one attack that hits it.</t>
  </si>
  <si>
    <t>Clomping Boots</t>
  </si>
  <si>
    <t>The [MON] has disadvantage on Dexterity (Stealth) checks.</t>
  </si>
  <si>
    <t>Easily Distracted</t>
  </si>
  <si>
    <t>The [MON] has disadvantage on Wisdom (Perception) checks.</t>
  </si>
  <si>
    <t>Crossbow Expert</t>
  </si>
  <si>
    <t>The [MON] ignores the loading quality of light crossbows.</t>
  </si>
  <si>
    <t>Cloud Strider</t>
  </si>
  <si>
    <t>The [MON] suffers no harmful effects from high altitudes.</t>
  </si>
  <si>
    <t>Storm Sight</t>
  </si>
  <si>
    <t>The [MON]'s vision is not obscured by weather conditions.</t>
  </si>
  <si>
    <t>until the affected creature finishes a short or long rest</t>
  </si>
  <si>
    <t>Slowing Spores</t>
  </si>
  <si>
    <t>Poison Effect, Speed Change</t>
  </si>
  <si>
    <t>While poisoned in this way, a creature's speed is halved.</t>
  </si>
  <si>
    <t>Advantage vs Fear</t>
  </si>
  <si>
    <t>gains advantage on saving throws against being frightened.</t>
  </si>
  <si>
    <t>Effect of Double Failure</t>
  </si>
  <si>
    <t>If a creature fails this saving throw twice, [TGT_EFFECT].</t>
  </si>
  <si>
    <t>Outcome of Double Failure</t>
  </si>
  <si>
    <t>If a creature fails this saving throw twice, it [OUTCOME].</t>
  </si>
  <si>
    <t>Outcome if on Ground</t>
  </si>
  <si>
    <t>If the target is in contact with the ground, it [OUTCOME].</t>
  </si>
  <si>
    <t>No matter the form its eyes are always an unnatural green.</t>
  </si>
  <si>
    <t>Only Wish Prevents</t>
  </si>
  <si>
    <t>Only a wish spell can prevent this trait from functioning.</t>
  </si>
  <si>
    <t>Delayed Damage</t>
  </si>
  <si>
    <t>takes [#dX] [DMG_TYPE] damage at the end of its next turn.</t>
  </si>
  <si>
    <t>Poison (d4)</t>
  </si>
  <si>
    <t>Darken</t>
  </si>
  <si>
    <t>Area, Light</t>
  </si>
  <si>
    <t>That area is bathed in darkness (as the spell) [DURATION].</t>
  </si>
  <si>
    <t>Fiery Heart</t>
  </si>
  <si>
    <t>The [MON] can activate or deactivate this feature at will.</t>
  </si>
  <si>
    <t>Heal Half Damage Dealt</t>
  </si>
  <si>
    <t>The [MON] gains hit points equal to half the damage dealt.</t>
  </si>
  <si>
    <t>Prognosticate</t>
  </si>
  <si>
    <t>The [MON] gains truesight to a range of [#] ft [DURATION].</t>
  </si>
  <si>
    <t>Fearsome Gaze</t>
  </si>
  <si>
    <t>The [MON] has advantage on Charisma (Intimidation) checks.</t>
  </si>
  <si>
    <t>Web Walker</t>
  </si>
  <si>
    <t>The [MON] ignores movement restrictions caused by webbing.</t>
  </si>
  <si>
    <t>Gullible</t>
  </si>
  <si>
    <t>The [MON] makes Wisdom (Insight) checks with disadvantage.</t>
  </si>
  <si>
    <t>Regeneration</t>
  </si>
  <si>
    <t>The [MON] regains [#] hit points at the start of its turn.</t>
  </si>
  <si>
    <t>Swamp Shamble</t>
  </si>
  <si>
    <t>The [MON] suffers no movement penalties in marshy terrain.</t>
  </si>
  <si>
    <t>One Creature in its Space</t>
  </si>
  <si>
    <t>The [MON] targets one creature in its space. [TGT_EFFECT].</t>
  </si>
  <si>
    <t>The reduction lasts [DURATION] after the disease is cured.</t>
  </si>
  <si>
    <t>Underwater Only</t>
  </si>
  <si>
    <t>This ability only functions while the [MON] is underwater.</t>
  </si>
  <si>
    <t>Adamantine Claw</t>
  </si>
  <si>
    <t>This attack deals double damage to objects and structures.</t>
  </si>
  <si>
    <t>Allied Parry</t>
  </si>
  <si>
    <t>To use this reaction, the [MON] must be wielding a shield.</t>
  </si>
  <si>
    <t>Immobilized by Fear</t>
  </si>
  <si>
    <t>Fear Effect, Zero Speed</t>
  </si>
  <si>
    <t>While frightened in this way, a creature has a speed of 0.</t>
  </si>
  <si>
    <t>Advantage if Behind Cover</t>
  </si>
  <si>
    <t>A creature behind cover has advantage on this saving throw.</t>
  </si>
  <si>
    <t>Demoralized Disadvantage</t>
  </si>
  <si>
    <t>A demoralized target has disadvantage on this saving throw.</t>
  </si>
  <si>
    <t>CONTENT</t>
  </si>
  <si>
    <t>Cancel Charm</t>
  </si>
  <si>
    <t>Charm Ending</t>
  </si>
  <si>
    <t>Afterwards, the creature is no longer charmed by the [MON].</t>
  </si>
  <si>
    <t>Corona of Truth</t>
  </si>
  <si>
    <t>Allies within [#] ft of the [MON] have truesight of [#] ft.</t>
  </si>
  <si>
    <t>Equipment Doesn't Transform</t>
  </si>
  <si>
    <t>Any equipment it is wearing or carrying is not transformed.</t>
  </si>
  <si>
    <t>Dominated Immunity</t>
  </si>
  <si>
    <t>Creatures dominated by the [MON] are immune to this effect.</t>
  </si>
  <si>
    <t>Hearth's Burn</t>
  </si>
  <si>
    <t>deals an extra [#dX] [DMG_TYPE] damage with weapon attacks.</t>
  </si>
  <si>
    <t>Fire (d6)</t>
  </si>
  <si>
    <t>Outcome for Everyone in Area</t>
  </si>
  <si>
    <t>Each creature in that area, including the [MON], [OUTCOME].</t>
  </si>
  <si>
    <t>Outcome if Disoriented</t>
  </si>
  <si>
    <t>If the target is disoriented by Distortion Gaze, [OUTCOME].</t>
  </si>
  <si>
    <t>Lethality</t>
  </si>
  <si>
    <t>If this damage reduces the target to 0 hit points, it dies.</t>
  </si>
  <si>
    <t>Tendril</t>
  </si>
  <si>
    <t>If two attacks hit the same target, the target is engulfed.</t>
  </si>
  <si>
    <t>Throttle</t>
  </si>
  <si>
    <t>Silencing, Suffocating</t>
  </si>
  <si>
    <t>is unable to breathe or cast spells with verbal components.</t>
  </si>
  <si>
    <t>Aura of Necromancy's Bane</t>
  </si>
  <si>
    <t>Aura, Magic Disrupting</t>
  </si>
  <si>
    <t>Necromancy spells can't be cast within [#] ft of the [MON].</t>
  </si>
  <si>
    <t>Bodily Destruction</t>
  </si>
  <si>
    <t>No physical trace remains of a creature killed in this way.</t>
  </si>
  <si>
    <t>takes [#dX] [DMG_TYPE] damage plus [#dX] [DMG_TYPE] damage.</t>
  </si>
  <si>
    <t>Lightning (d6), Thunder (d6)</t>
  </si>
  <si>
    <t>Strength of Bone</t>
  </si>
  <si>
    <t>The [MON] adds its Strength modifier twice to damage rolls.</t>
  </si>
  <si>
    <t>Detach Self</t>
  </si>
  <si>
    <t>The [MON] can detach itself by spending [#] ft of movement.</t>
  </si>
  <si>
    <t>Extra Attack as Bonus Action</t>
  </si>
  <si>
    <t>The [MON] can make one additional attack as a bonus action.</t>
  </si>
  <si>
    <t>Double Strike</t>
  </si>
  <si>
    <t>the [MON] can make one attack against it as a bonus action.</t>
  </si>
  <si>
    <t>Cut</t>
  </si>
  <si>
    <t>The [MON] can replicate one of the target's weapon attacks.</t>
  </si>
  <si>
    <t>Black Night</t>
  </si>
  <si>
    <t>The [MON] can see perfectly in normal and magical darkness.</t>
  </si>
  <si>
    <t>Immunity to Temporal Effects</t>
  </si>
  <si>
    <t>The [MON] is immune to all time-related spells and effects.</t>
  </si>
  <si>
    <t>The [MON] is invisible as per a greater invisibility spell.</t>
  </si>
  <si>
    <t>All Creatures In Its Space</t>
  </si>
  <si>
    <t>The [MON] targets each creature in its space. [TGT_EFFECT].</t>
  </si>
  <si>
    <t>Roiling Roots</t>
  </si>
  <si>
    <t>Aura, Difficult Terrain</t>
  </si>
  <si>
    <t>The ground within [#] ft of the [MON] is difficult terrain.</t>
  </si>
  <si>
    <t>Outcome for Target and Nearby Creatures</t>
  </si>
  <si>
    <t>The target and each creature within [#] ft of it [OUTCOME].</t>
  </si>
  <si>
    <t>Outcome for Target and Sighted Allies</t>
  </si>
  <si>
    <t>The target and each of its allies who can see it [OUTCOME].</t>
  </si>
  <si>
    <t>Disease Stat Reduction Duration</t>
  </si>
  <si>
    <t>This reduction lasts [DURATION] after the disease is cured.</t>
  </si>
  <si>
    <t>Willing Mount</t>
  </si>
  <si>
    <t>Up to [#] Medium or [#] Large creatures can ride the [MON].</t>
  </si>
  <si>
    <t>Fire Fear</t>
  </si>
  <si>
    <t>Rattling</t>
  </si>
  <si>
    <t>When the [MON] takes fire damage, it is rattled [DURATION].</t>
  </si>
  <si>
    <t>Nonreactive Charm</t>
  </si>
  <si>
    <t>Charm Effect, Nonreactive</t>
  </si>
  <si>
    <t>While charmed in this way, a creature can't take reactions.</t>
  </si>
  <si>
    <t>Killed by 0 Intelligence</t>
  </si>
  <si>
    <t>A creature dies if this reduces its Intelligence score to 0.</t>
  </si>
  <si>
    <t>Immune to Charm</t>
  </si>
  <si>
    <t>Charm Effect</t>
  </si>
  <si>
    <t>A creature immune to being charmed is immune to this effect.</t>
  </si>
  <si>
    <t>Spare the Bloodless</t>
  </si>
  <si>
    <t>A creature that doesn't have blood is immune to this effect.</t>
  </si>
  <si>
    <t>Quake</t>
  </si>
  <si>
    <t>Restraint Ending</t>
  </si>
  <si>
    <t>A restrained creature can spend half its movement to escape.</t>
  </si>
  <si>
    <t>Unconscious Disadvantage</t>
  </si>
  <si>
    <t>Disadvantage, Unconsciousness Effect</t>
  </si>
  <si>
    <t>An unconscious target has disadvantage on this saving throw.</t>
  </si>
  <si>
    <t>Instinctive Teleport</t>
  </si>
  <si>
    <t>Teleportation</t>
  </si>
  <si>
    <t>As a reaction when the [MON] takes damage, it uses Teleport.</t>
  </si>
  <si>
    <t>Only Affect the Flesh</t>
  </si>
  <si>
    <t>Constructs, elementals, and oozes are immune to this effect.</t>
  </si>
  <si>
    <t>Outcome for Everyone on the Ground in Area</t>
  </si>
  <si>
    <t>Each creature standing on the ground in that area [OUTCOME].</t>
  </si>
  <si>
    <t>Performance Advantage</t>
  </si>
  <si>
    <t>gains advantage on Charisma (Performance) checks [DURATION].</t>
  </si>
  <si>
    <t>Advantage Effect</t>
  </si>
  <si>
    <t>If the [MON] had advantage on the attack roll, [TGT_EFFECT].</t>
  </si>
  <si>
    <t>If the target doesn't have all its hit points, it [OUTCOME].</t>
  </si>
  <si>
    <t>In humanoid form, it is equipped with clothing and a weapon.</t>
  </si>
  <si>
    <t>is pulled to an unoccupied space within [#] ft of the [MON].</t>
  </si>
  <si>
    <t>Distortion</t>
  </si>
  <si>
    <t>Ranged attacks against the [MON] are made with disadvantage.</t>
  </si>
  <si>
    <t>Delayed Extra Damage</t>
  </si>
  <si>
    <t>takes [#dX] [DMG_TYPE] damage at the start of its next turn.</t>
  </si>
  <si>
    <t>Necrotic (d4)</t>
  </si>
  <si>
    <t>Hat-Dependent</t>
  </si>
  <si>
    <t>The [MON] can't use this ability if it doesn't have its hat.</t>
  </si>
  <si>
    <t>Quiet Flight</t>
  </si>
  <si>
    <t>The [MON] has advantage on Dexterity (Stealth) while flying.</t>
  </si>
  <si>
    <t>Cube Centered on Itself</t>
  </si>
  <si>
    <t>The [MON] targets a [#] ft cube around itself. [TGT_EFFECT].</t>
  </si>
  <si>
    <t>One Grappled Creature</t>
  </si>
  <si>
    <t>The [MON] targets one creature grappled by it. [TGT_EFFECT].</t>
  </si>
  <si>
    <t>Damage Ends Effect</t>
  </si>
  <si>
    <t>This effect ends early if an affected creature takes damage.</t>
  </si>
  <si>
    <t>until it is on a different plane of existence from the [MON]</t>
  </si>
  <si>
    <t>Until Action Used</t>
  </si>
  <si>
    <t>until the affected creature uses an action to end the effect</t>
  </si>
  <si>
    <t>Charmed into Defending</t>
  </si>
  <si>
    <t>While charmed in this way, a creature must defend the [MON].</t>
  </si>
  <si>
    <t>Daylight Skirmish</t>
  </si>
  <si>
    <t>While in sunlight, the [MON] takes the Dash or Dodge action.</t>
  </si>
  <si>
    <t>Curse of Disadvantage</t>
  </si>
  <si>
    <t>A creature touched by the [MON]'s claws is cursed [DURATION].</t>
  </si>
  <si>
    <t>Hard-to-Escape Grapple</t>
  </si>
  <si>
    <t>Disadvantage, Grapple Effect</t>
  </si>
  <si>
    <t>Ability checks made to escape this grapple have disadvantage.</t>
  </si>
  <si>
    <t>If the target is grappled by the [MON], the target [OUTCOME].</t>
  </si>
  <si>
    <t>Outcome for Hearing Creatures in Area</t>
  </si>
  <si>
    <t>Each creature in that area that can hear the [MON] [OUTCOME].</t>
  </si>
  <si>
    <t>Hostile creatures can enter the [MON]'s space and stop there.</t>
  </si>
  <si>
    <t>If the target is already grappled by the [MON], it [OUTCOME].</t>
  </si>
  <si>
    <t>is cured of the charmed, frightened, and poisoned conditions.</t>
  </si>
  <si>
    <t>Blasphemer's Bane</t>
  </si>
  <si>
    <t>is unable to cast spells or maintain concentration on spells.</t>
  </si>
  <si>
    <t>Only AC Changes</t>
  </si>
  <si>
    <t>Its statistics, other than its AC, are the same in each form.</t>
  </si>
  <si>
    <t>Plant-Powered Mobility</t>
  </si>
  <si>
    <t>Opportunity attacks against [MON] are made with disadvantage.</t>
  </si>
  <si>
    <t>Flumph Light</t>
  </si>
  <si>
    <t>The [MON] can change the color of the light it casts at will.</t>
  </si>
  <si>
    <t>The [MON] can detach itself by spending 5 ft of its movement.</t>
  </si>
  <si>
    <t>Sandy Ooze</t>
  </si>
  <si>
    <t>The [MON] can occupy another creature's space and vice versa.</t>
  </si>
  <si>
    <t>Grapple Prevents</t>
  </si>
  <si>
    <t>Grapple Effect, Limitation</t>
  </si>
  <si>
    <t>The [MON] can't use this reaction while grappling a creature.</t>
  </si>
  <si>
    <t>Alchemy Schooling</t>
  </si>
  <si>
    <t>The [MON] has expertise on checks made with alchemy supplies.</t>
  </si>
  <si>
    <t>Steadfast</t>
  </si>
  <si>
    <t>The [MON] is immune to the charmed and frightened conditions.</t>
  </si>
  <si>
    <t>The [MON] targets one creature it is grappling. [TGT_EFFECT].</t>
  </si>
  <si>
    <t>The [MON] transforms into a Tiny beast or into its true form.</t>
  </si>
  <si>
    <t>Bite</t>
  </si>
  <si>
    <t>The [MON]'s stomach is larger on the inside than the outside.</t>
  </si>
  <si>
    <t>Pheromones</t>
  </si>
  <si>
    <t>This trait does not function if the [MON] is unable to smell.</t>
  </si>
  <si>
    <t>Until Concentration is Lost</t>
  </si>
  <si>
    <t>Concentration</t>
  </si>
  <si>
    <t>until its concentration ends (as if concentrating on a spell)</t>
  </si>
  <si>
    <t>Curse of Decay</t>
  </si>
  <si>
    <t>Curse Effect, Unhealable</t>
  </si>
  <si>
    <t>While cursed in this way, a creature can't regain hit points.</t>
  </si>
  <si>
    <t>Charm Hex</t>
  </si>
  <si>
    <t>Charming, Curse Effect</t>
  </si>
  <si>
    <t>While cursed in this way, a creature is charmed by the [MON].</t>
  </si>
  <si>
    <t>Hold Breath</t>
  </si>
  <si>
    <t>While out of water, the [MON] can hold its breath [DURATION].</t>
  </si>
  <si>
    <t>Water-Enhanced Damage</t>
  </si>
  <si>
    <t>A creature immersed in water has vulnerability to this damage.</t>
  </si>
  <si>
    <t>Burning Touch</t>
  </si>
  <si>
    <t>A creature who touches the [MON takes [#dX] [DMG_TYPE] damage.</t>
  </si>
  <si>
    <t>Any equipment the [MON] wears or carries is invisible with it.</t>
  </si>
  <si>
    <t>Exhaustion Effect</t>
  </si>
  <si>
    <t>Any levels of exhaustion gained in this way remain [DURATION].</t>
  </si>
  <si>
    <t>Tip the Scales</t>
  </si>
  <si>
    <t>As a reaction, the [MON] succeeds on a saving throw it failed.</t>
  </si>
  <si>
    <t>No Underwater Resistance</t>
  </si>
  <si>
    <t>Being underwater doesn't grant resistance against this damage.</t>
  </si>
  <si>
    <t>can use its reaction to make one weapon attack with advantage.</t>
  </si>
  <si>
    <t>Damage Immunity Protects</t>
  </si>
  <si>
    <t>Creatures that are immune to [DMG_TYPE] damage are unaffected.</t>
  </si>
  <si>
    <t>Infecting Paralysis</t>
  </si>
  <si>
    <t>Infecting, Paralysis Effect</t>
  </si>
  <si>
    <t>If a humanoid is paralyzed [DURATION], it contracts [DISEASE].</t>
  </si>
  <si>
    <t>Psychic Burst</t>
  </si>
  <si>
    <t>Recharging</t>
  </si>
  <si>
    <t>If the [MON] scores a critical hit it gains one Psychic Point.</t>
  </si>
  <si>
    <t>Outcome if Creature or Flammable</t>
  </si>
  <si>
    <t>If the target is a creature or flammable object, it [OUTCOME].</t>
  </si>
  <si>
    <t>Poisoned if Grappled</t>
  </si>
  <si>
    <t>Grapple Effect, Poisoning</t>
  </si>
  <si>
    <t>While grappled in this way, a creature is poisoned [DURATION].</t>
  </si>
  <si>
    <t>If the target is wearing nonmagical metal armor, [TGT_EFFECT].</t>
  </si>
  <si>
    <t>Poisoning Disease</t>
  </si>
  <si>
    <t>While infected in this way, a creature is poisoned [DURATION].</t>
  </si>
  <si>
    <t>Bonus Action Detach</t>
  </si>
  <si>
    <t>The [MON] can detach itself from a creature as a bonus action.</t>
  </si>
  <si>
    <t>Choking Air Form</t>
  </si>
  <si>
    <t>The [MON] can enter a hostile creature's space and stop there.</t>
  </si>
  <si>
    <t>Towering Strength</t>
  </si>
  <si>
    <t>The [MON] can lift items up to 4,000 pounds as a bonus action.</t>
  </si>
  <si>
    <t>Free to Regurgitate</t>
  </si>
  <si>
    <t>Consumption Ending</t>
  </si>
  <si>
    <t>The [MON] can regurgitate consumed creatures as a free action.</t>
  </si>
  <si>
    <t>Interdimensional Movement</t>
  </si>
  <si>
    <t>The [MON] can use misty step as a bonus action once per round.</t>
  </si>
  <si>
    <t>Stone Chomper</t>
  </si>
  <si>
    <t>The [MON] deals double damage to stone objects and structures.</t>
  </si>
  <si>
    <t>Celestial Hammer</t>
  </si>
  <si>
    <t>The [MON] doesn't provoke opportunity attacks from the target.</t>
  </si>
  <si>
    <t>Limbs</t>
  </si>
  <si>
    <t>The [MON] has [#] limbs, each of which can grapple one target.</t>
  </si>
  <si>
    <t>Parasite Sense</t>
  </si>
  <si>
    <t>The [MON] has advantage on attacks against poisoned creatures.</t>
  </si>
  <si>
    <t>Predatory Charm</t>
  </si>
  <si>
    <t>Advantage, Charming</t>
  </si>
  <si>
    <t>The [MON] has advantage on Charisma checks against the target.</t>
  </si>
  <si>
    <t>Good Dog</t>
  </si>
  <si>
    <t>The [MON] has disadvantage on saves against the command spell.</t>
  </si>
  <si>
    <t>Lightless Depths</t>
  </si>
  <si>
    <t>The [MON] is immune to the pressure effects of the deep ocean.</t>
  </si>
  <si>
    <t>Feywild Only</t>
  </si>
  <si>
    <t>The [MON] must be in the Feywild in order to use this ability.</t>
  </si>
  <si>
    <t>Radius Around Itself</t>
  </si>
  <si>
    <t>The [MON] targets a [#] ft radius around itself. [TGT_EFFECT].</t>
  </si>
  <si>
    <t>All Friendly Creatures Within Range</t>
  </si>
  <si>
    <t>The [MON] targets each ally within [#] ft of it. [TGT_EFFECT].</t>
  </si>
  <si>
    <t>All Grappled Creatures</t>
  </si>
  <si>
    <t>The [MON] targets each creature it is grappling. [TGT_EFFECT].</t>
  </si>
  <si>
    <t>All Sighted Creatures</t>
  </si>
  <si>
    <t>The [MON] targets each creature that can see it. [TGT_EFFECT].</t>
  </si>
  <si>
    <t>One Restrained Creature</t>
  </si>
  <si>
    <t>The [MON] targets one creature restrained by it. [TGT_EFFECT].</t>
  </si>
  <si>
    <t>The [MON] transforms into a Small beast or into its true form.</t>
  </si>
  <si>
    <t>The [MON] transforms into Tiny object, or back into true form.</t>
  </si>
  <si>
    <t>Partial Echolocation</t>
  </si>
  <si>
    <t>The [MON]'s blindsight is reduced to [#] ft if it is deafened.</t>
  </si>
  <si>
    <t>Immobile Grapple</t>
  </si>
  <si>
    <t>While grappling a creature, the [MON]'s speed is reduced to 0.</t>
  </si>
  <si>
    <t>Hidden Hunter</t>
  </si>
  <si>
    <t>While the [MON] remains motionless, it is invisible to undead.</t>
  </si>
  <si>
    <t>Outcome of Starting Turn in Monster's Space</t>
  </si>
  <si>
    <t>A creature that starts its turn in the [MON]'s space [OUTCOME].</t>
  </si>
  <si>
    <t>Extra Active</t>
  </si>
  <si>
    <t>gains an additional bonus action or reaction (target's choice).</t>
  </si>
  <si>
    <t>Dexterity Disadvantage</t>
  </si>
  <si>
    <t>gains disadvantage on Dexterity-based checks and saving throws.</t>
  </si>
  <si>
    <t>End Conditions and Magical Effects</t>
  </si>
  <si>
    <t>Magic Disrupting, Restoring</t>
  </si>
  <si>
    <t>has all conditions and magical effects on it ended immediately.</t>
  </si>
  <si>
    <t>Photoadaptive Hide</t>
  </si>
  <si>
    <t>Invisible, Movement</t>
  </si>
  <si>
    <t>If the [MON] didn't move on its previous turn, it is invisible.</t>
  </si>
  <si>
    <t>Outcome if Not Undead</t>
  </si>
  <si>
    <t>If the target is a creature other than an undead, it [OUTCOME].</t>
  </si>
  <si>
    <t>is cured of any blindness, curse, deafness, disease, or poison.</t>
  </si>
  <si>
    <t>Incapacitation or Alternative</t>
  </si>
  <si>
    <t>is incapacitated. If it is already incapacitated, it [OUTCOME].</t>
  </si>
  <si>
    <t>Only Size Changes</t>
  </si>
  <si>
    <t>Its statistics, other than its size, are the same in each form.</t>
  </si>
  <si>
    <t>Superior Camouflage</t>
  </si>
  <si>
    <t>The [MON] can attempt to hide even while a creature can see it.</t>
  </si>
  <si>
    <t>Nimble Feet</t>
  </si>
  <si>
    <t>The [MON] can Disengage as a bonus action on each of its turns.</t>
  </si>
  <si>
    <t>Stealthy Traveler</t>
  </si>
  <si>
    <t>The [MON] can move stealthily while traveling at a normal pace.</t>
  </si>
  <si>
    <t>Stretched Form</t>
  </si>
  <si>
    <t>The [MON] can occupy a hostile creature's space and vice versa.</t>
  </si>
  <si>
    <t>Sinuous</t>
  </si>
  <si>
    <t>The [MON] can share its space with other creatures and objects.</t>
  </si>
  <si>
    <t>Compress</t>
  </si>
  <si>
    <t>The [MON] can squeeze through a space as narrow as 1 inch wide.</t>
  </si>
  <si>
    <t>Frozen to the Spot</t>
  </si>
  <si>
    <t>The [MON] can't be moved against its will while on snow or ice.</t>
  </si>
  <si>
    <t>Swarm</t>
  </si>
  <si>
    <t>The [MON] can't regain hit points or gain temporary hit points.</t>
  </si>
  <si>
    <t>Wing Trap</t>
  </si>
  <si>
    <t>Consumption Effect, Limitation</t>
  </si>
  <si>
    <t>The [MON] can't use this ability if it has a creature consumed.</t>
  </si>
  <si>
    <t>Temporarily Heal Full Damage Dealt</t>
  </si>
  <si>
    <t>The [MON] gains temporary hit points equal to the damage dealt.</t>
  </si>
  <si>
    <t>Advantage vs Grappled Target</t>
  </si>
  <si>
    <t>Advantage, Grapple Effect</t>
  </si>
  <si>
    <t>The [MON] has advantage on attacks against the grappled target.</t>
  </si>
  <si>
    <t>Duergar Resilience</t>
  </si>
  <si>
    <t>The [MON] has advantage on saving throws made to resist spells.</t>
  </si>
  <si>
    <t>Protect</t>
  </si>
  <si>
    <t>The [MON] must be wielding a melee weapon to use this reaction.</t>
  </si>
  <si>
    <t>All Allies Within Range</t>
  </si>
  <si>
    <t>The [MON] targets all allies within [#] ft of it. [TGT_EFFECT].</t>
  </si>
  <si>
    <t>All Creatures Within Reach</t>
  </si>
  <si>
    <t>The [MON] targets each creature within its reach. [TGT_EFFECT].</t>
  </si>
  <si>
    <t>Healing Hands</t>
  </si>
  <si>
    <t>The [MON] touches a creature within [#] ft of it. [TGT_EFFECT].</t>
  </si>
  <si>
    <t>Touch One Creature</t>
  </si>
  <si>
    <t>The [MON] touches one creature other than itself. [TGT_EFFECT].</t>
  </si>
  <si>
    <t>Touch One Willing Creature or Itself</t>
  </si>
  <si>
    <t>The [MON] touches one willing creature or itself. [TGT_EFFECT].</t>
  </si>
  <si>
    <t>Frost Walker</t>
  </si>
  <si>
    <t>The [MON]'s speed is unimpeded by rocky, snowy, or icy terrain.</t>
  </si>
  <si>
    <t>Disintegrate</t>
  </si>
  <si>
    <t>When the [MON] dies, the book it is bound to is also destroyed.</t>
  </si>
  <si>
    <t>Infantry Slayer</t>
  </si>
  <si>
    <t>Advantage, Mount</t>
  </si>
  <si>
    <t>While mounted, the [MON] has advantage on melee weapon attacks.</t>
  </si>
  <si>
    <t>Unhealing Poison</t>
  </si>
  <si>
    <t>Poison Effect, Unhealable</t>
  </si>
  <si>
    <t>While poisoned in this way, a creature can't regain hit points.</t>
  </si>
  <si>
    <t>Outcome of Communication</t>
  </si>
  <si>
    <t>A creature who attempts to communicate with the [MON] [OUTCOME].</t>
  </si>
  <si>
    <t>Ignite Blades</t>
  </si>
  <si>
    <t>deals an extra [#dX] [DMG_TYPE] damage with each of its attacks.</t>
  </si>
  <si>
    <t>Queen's Scent</t>
  </si>
  <si>
    <t>Giant ants defending a [MON] gain advantage on all attack rolls.</t>
  </si>
  <si>
    <t>Effect of Triple Failure</t>
  </si>
  <si>
    <t>If a creature fails this saving throw three times, [TGT_EFFECT].</t>
  </si>
  <si>
    <t>Outcome of Triple Failure</t>
  </si>
  <si>
    <t>If a creature fails this saving throw three times, it [OUTCOME].</t>
  </si>
  <si>
    <t>Gray Curse</t>
  </si>
  <si>
    <t>If remove curse is cast on the [MON], it is instantly destroyed.</t>
  </si>
  <si>
    <t>Teleport</t>
  </si>
  <si>
    <t>is teleported to an unoccupied space within [#] ft of the [MON].</t>
  </si>
  <si>
    <t>Only Speed Changes</t>
  </si>
  <si>
    <t>Its statistics, other than its speed, are the same in each form.</t>
  </si>
  <si>
    <t>takes [#dX] [DMG_TYPE] damage at the start of each of its turns.</t>
  </si>
  <si>
    <t>Fire (d10)</t>
  </si>
  <si>
    <t>Delicate Construction</t>
  </si>
  <si>
    <t>The [MON] bursts into pieces and is destroyed on a critical hit.</t>
  </si>
  <si>
    <t>Choice of Outcomes</t>
  </si>
  <si>
    <t>The [MON] can choose whether the target [OUTCOME]. or [OUTCOME].</t>
  </si>
  <si>
    <t>Selectively Effective</t>
  </si>
  <si>
    <t>The [MON] can choose which creatures are affected by this trait.</t>
  </si>
  <si>
    <t>Inflict Ability</t>
  </si>
  <si>
    <t>The [MON] can either inflict Ability Damage or Imbalance Humors.</t>
  </si>
  <si>
    <t>Shock</t>
  </si>
  <si>
    <t>Discharging</t>
  </si>
  <si>
    <t>The [MON] can't make this attack while its glow is extinguished.</t>
  </si>
  <si>
    <t>Perishable</t>
  </si>
  <si>
    <t>Light, Weakness</t>
  </si>
  <si>
    <t>The [MON] dies if it is directly exposed to sunlight [DURATION].</t>
  </si>
  <si>
    <t>The [MON] gains hit points equal to the [DMG_TYPE] damage dealt.</t>
  </si>
  <si>
    <t>Necrotic (Other)</t>
  </si>
  <si>
    <t>Undead Resistance</t>
  </si>
  <si>
    <t>The [MON] has advantage on saving throws made to resist disease.</t>
  </si>
  <si>
    <t>Unstable Footing</t>
  </si>
  <si>
    <t>The [MON] has disadvantage on saves against being knocked prone.</t>
  </si>
  <si>
    <t>Touch a Willing or Charmed Creature</t>
  </si>
  <si>
    <t>The [MON] touches one willing or charmed creature. [TGT_EFFECT].</t>
  </si>
  <si>
    <t>The [MON] transforms into a humanoid or back into its true form.</t>
  </si>
  <si>
    <t>Lightning Leap</t>
  </si>
  <si>
    <t>The [MON]'s long jump is [#] ft with or without a running start.</t>
  </si>
  <si>
    <t>Effects Persist</t>
  </si>
  <si>
    <t>These effects last [DURATION] after the [MON] uses this ability.</t>
  </si>
  <si>
    <t>Spare the Neutral and Good</t>
  </si>
  <si>
    <t>This ability has no effect on neutral or good-aligned creatures.</t>
  </si>
  <si>
    <t>Auto Hit Grappled Target</t>
  </si>
  <si>
    <t>This attack automatically hits a creature grappled by the [MON].</t>
  </si>
  <si>
    <t>Damaging Effort</t>
  </si>
  <si>
    <t>When the [MON] uses this ability, it takes [#] points of damage.</t>
  </si>
  <si>
    <t>Fear Hex</t>
  </si>
  <si>
    <t>Curse Effect, Frightening</t>
  </si>
  <si>
    <t>While cursed in this way, a creature is frightened of the [MON].</t>
  </si>
  <si>
    <t>While grappled in this way, a creature is unable to breathe air.</t>
  </si>
  <si>
    <t>Charming Poison</t>
  </si>
  <si>
    <t>Charming, Poison Effect</t>
  </si>
  <si>
    <t>While poisoned in this way, a creature is charmed by all [MON]s.</t>
  </si>
  <si>
    <t>Equipment Merges</t>
  </si>
  <si>
    <t>Any equipment it is wearing or carrying merges into its new form.</t>
  </si>
  <si>
    <t>Reaction Move and Attack</t>
  </si>
  <si>
    <t>can use its reaction to move up to its speed and make one attack.</t>
  </si>
  <si>
    <t>Effect of Great Failure</t>
  </si>
  <si>
    <t>If a creature fails this saving throw by 5 or more, [TGT_EFFECT].</t>
  </si>
  <si>
    <t>Outcome of Great Failure</t>
  </si>
  <si>
    <t>If a creature fails this saving throw by 5 or more, it [OUTCOME].</t>
  </si>
  <si>
    <t>If an affected creature takes [DMG_TYPE] damage, the effect ends.</t>
  </si>
  <si>
    <t>Outcome if Burning</t>
  </si>
  <si>
    <t>If the [MON] is ablaze and the target is a creature it [OUTCOME].</t>
  </si>
  <si>
    <t>Conductive</t>
  </si>
  <si>
    <t>If the [MON]'s glow is extinguished, this trait doesn't function.</t>
  </si>
  <si>
    <t>If the target is reduced to 0 hit points by this attack, it dies.</t>
  </si>
  <si>
    <t>Lose a Spell Slot</t>
  </si>
  <si>
    <t>One of the target's lowest-level, unused spell slots is expended.</t>
  </si>
  <si>
    <t>Unpredictable</t>
  </si>
  <si>
    <t>Opportunity attacks against the [MON] are made with disadvantage.</t>
  </si>
  <si>
    <t>Variable Damage Type</t>
  </si>
  <si>
    <t>takes [#dX] [DMG_TYPE] or [DMG_TYPE] damage (the [MON]'s choice).</t>
  </si>
  <si>
    <t>Necrotic (d6), Radiant (d6)</t>
  </si>
  <si>
    <t>Treasure Sense</t>
  </si>
  <si>
    <t>The [MON] can locate by smell coins and gems within [#] ft of it.</t>
  </si>
  <si>
    <t>Tobogganing Tide</t>
  </si>
  <si>
    <t>The [MON] can move at double its walking speed over ice and snow.</t>
  </si>
  <si>
    <t>Cat Disguise Only</t>
  </si>
  <si>
    <t>The [MON] can use this trait only while it is disguised as a cat.</t>
  </si>
  <si>
    <t>Chain Breaker</t>
  </si>
  <si>
    <t>The [MON] deals double damage to objects that restrain creatures.</t>
  </si>
  <si>
    <t>Run and Hide</t>
  </si>
  <si>
    <t>The [MON] targets a [#] ft cube centered on itself. [TGT_EFFECT].</t>
  </si>
  <si>
    <t>One Creature Within Range</t>
  </si>
  <si>
    <t>The [MON] targets one creature within [#] ft of it. [TGT_EFFECT].</t>
  </si>
  <si>
    <t>One Humanoid Within Range</t>
  </si>
  <si>
    <t>The [MON] targets one humanoid within [#] ft of it. [TGT_EFFECT].</t>
  </si>
  <si>
    <t>Viscid Suffocation</t>
  </si>
  <si>
    <t>The [MON]'s acid doesn't harm objects or creatures without flesh.</t>
  </si>
  <si>
    <t>Aged by Damage</t>
  </si>
  <si>
    <t>The target ages a number of years equal to half the damage taken.</t>
  </si>
  <si>
    <t>Move the Grappled</t>
  </si>
  <si>
    <t>Grapple Effect, Movement</t>
  </si>
  <si>
    <t>When the [MON] moves, any creature it is grappling moves with it.</t>
  </si>
  <si>
    <t>Obedient Charm</t>
  </si>
  <si>
    <t>While charmed in this way, a creature follows the [MON]'s orders.</t>
  </si>
  <si>
    <t>Confusing Charm</t>
  </si>
  <si>
    <t>Charm Effect, Confusing</t>
  </si>
  <si>
    <t>While charmed in this way, a creature is confused (as the spell).</t>
  </si>
  <si>
    <t>While charmed in this way, a creature obeys the [MON]'s commands.</t>
  </si>
  <si>
    <t>While grappled in this way, a creature is at risk of suffocating.</t>
  </si>
  <si>
    <t>While transformed, at least one of its limbs has a coppery color.</t>
  </si>
  <si>
    <t>Buffer Time</t>
  </si>
  <si>
    <t>After doing so, the [MON] can't use this ability again [DURATION].</t>
  </si>
  <si>
    <t>Desperate Drink</t>
  </si>
  <si>
    <t>As a reaction when the [MON] is dealt damage, they drink a potion.</t>
  </si>
  <si>
    <t>Forest Runner</t>
  </si>
  <si>
    <t>Difficult terrain doesn't slow the [MON]'s travel through forests.</t>
  </si>
  <si>
    <t>Effect of Extreme Failure</t>
  </si>
  <si>
    <t>If a creature fails this saving throw by 10 or more, [TGT_EFFECT].</t>
  </si>
  <si>
    <t>Outcome of Extreme Failure</t>
  </si>
  <si>
    <t>If a creature fails this saving throw by 10 or more, it [OUTCOME].</t>
  </si>
  <si>
    <t>Outcome if Flying</t>
  </si>
  <si>
    <t>If the [MON] makes this attack while flying, the target [OUTCOME].</t>
  </si>
  <si>
    <t>Heat Prevents</t>
  </si>
  <si>
    <t>If the temperature is above freezing, this trait doesn't function.</t>
  </si>
  <si>
    <t>Watery Camouflage</t>
  </si>
  <si>
    <t>In dim light or darkness, the [MON] is invisible while underwater.</t>
  </si>
  <si>
    <t>Gentle Dissolution</t>
  </si>
  <si>
    <t>The [MON] can choose not to harm friendly beasts with this attack.</t>
  </si>
  <si>
    <t>Speak with Birds</t>
  </si>
  <si>
    <t>The [MON] can communicate with birds as if they shared a language.</t>
  </si>
  <si>
    <t>Confer Fire Resistance</t>
  </si>
  <si>
    <t>The [MON] can grant resistance to fire damage to anyone riding it.</t>
  </si>
  <si>
    <t>Ethereal Sight</t>
  </si>
  <si>
    <t>The [MON] can see into both the Material Plane and Ethereal Plane.</t>
  </si>
  <si>
    <t>Immoveable</t>
  </si>
  <si>
    <t>The [MON] can't be moved against its will except by magical means.</t>
  </si>
  <si>
    <t>Stealthy Observer</t>
  </si>
  <si>
    <t>The [MON] has advantage on Dexterity (Stealth) checks made to hid.</t>
  </si>
  <si>
    <t>Deep Dwarf Resistance</t>
  </si>
  <si>
    <t>The [MON] has advantage on saving throws made to resist illusions.</t>
  </si>
  <si>
    <t>Translucent</t>
  </si>
  <si>
    <t>The [MON] is invisible to creatures more than [#] ft away from it.</t>
  </si>
  <si>
    <t>Swordtrained</t>
  </si>
  <si>
    <t>The [MON] is proficient with all martial melee and ranged weapons.</t>
  </si>
  <si>
    <t>Melting</t>
  </si>
  <si>
    <t>The [MON] loses one hit point for every [DURATION] it remains lit.</t>
  </si>
  <si>
    <t>Waterborne</t>
  </si>
  <si>
    <t>The [MON] takes [#] damage for every [DURATION] spent on dry land.</t>
  </si>
  <si>
    <t>The [MON] targets each ally within [#] ft of itself. [TGT_EFFECT].</t>
  </si>
  <si>
    <t>Each Creature Within Range</t>
  </si>
  <si>
    <t>The [MON] targets each creature within [#] ft of it. [TGT_EFFECT].</t>
  </si>
  <si>
    <t>All Humanoids Within Range</t>
  </si>
  <si>
    <t>The [MON] targets each humanoid within [#] ft of it. [TGT_EFFECT].</t>
  </si>
  <si>
    <t>Void Speech Immunity</t>
  </si>
  <si>
    <t>This ability doesn't affect creatures that understand Void Speech.</t>
  </si>
  <si>
    <t>Chilling Presence</t>
  </si>
  <si>
    <t>Water freezes if it remains within [#] ft of the [MON] [DURATION].</t>
  </si>
  <si>
    <t>Running Leap</t>
  </si>
  <si>
    <t>With a [#] ft running start, the [MON] can long jump up to [#] ft.</t>
  </si>
  <si>
    <t>Engulf</t>
  </si>
  <si>
    <t>A consumed creature can't breathe unless it can breathe underwater.</t>
  </si>
  <si>
    <t>Swimmer Disadvantage</t>
  </si>
  <si>
    <t>A creature immersed in water has disadvantage on this saving throw.</t>
  </si>
  <si>
    <t>Crush</t>
  </si>
  <si>
    <t>Attachment Effect</t>
  </si>
  <si>
    <t>While the [MON] is attached to a creature, that creature [OUTCOME].</t>
  </si>
  <si>
    <t>Creeping Cold</t>
  </si>
  <si>
    <t>Infection Effect, Spawning</t>
  </si>
  <si>
    <t>A creature slain by this disease rises as a [MON] [DURATION] later.</t>
  </si>
  <si>
    <t>SPAWNING</t>
  </si>
  <si>
    <t>A creature that accepts a gift from the [MON] is cursed [DURATION].</t>
  </si>
  <si>
    <t>Memory Drain</t>
  </si>
  <si>
    <t>Spawning</t>
  </si>
  <si>
    <t>A humanoid slain in this way rises [DURATION] later as a new [MON].</t>
  </si>
  <si>
    <t>Delayed Onset Poison</t>
  </si>
  <si>
    <t>After [DURATION], an infected creature becomes poisoned [DURATION].</t>
  </si>
  <si>
    <t>Multi-Headed Cone Area</t>
  </si>
  <si>
    <t>Each of the [MON]'s heads targets a [#] ft cone area. [TGT_EFFECT].</t>
  </si>
  <si>
    <t>Magic Disrupting, Silencing, Suffocating</t>
  </si>
  <si>
    <t>is unable to breathe, speak, or cast spells with verbal components.</t>
  </si>
  <si>
    <t>The [MON] can accurately predict the weather [DURATION] in advance.</t>
  </si>
  <si>
    <t>Speak with Beasts</t>
  </si>
  <si>
    <t>The [MON] can communicate with beasts as if they shared a language.</t>
  </si>
  <si>
    <t>Speak with Plants</t>
  </si>
  <si>
    <t>The [MON] can communicate with plants as if they shared a language.</t>
  </si>
  <si>
    <t>Speak with Snakes</t>
  </si>
  <si>
    <t>The [MON] can communicate with snakes as if they shared a language.</t>
  </si>
  <si>
    <t>The [MON] can move across lava surface as if harmless solid ground.</t>
  </si>
  <si>
    <t>Pincer</t>
  </si>
  <si>
    <t>The [MON] can move at full speed when carrying a grappled creature.</t>
  </si>
  <si>
    <t>Marine Empathy</t>
  </si>
  <si>
    <t>The [MON] can speak with and understand aquatic plants and animals.</t>
  </si>
  <si>
    <t>Air Hatred</t>
  </si>
  <si>
    <t>The [MON] has advantage on attack rolls against airborne opponents.</t>
  </si>
  <si>
    <t>Antimagic Susceptibility</t>
  </si>
  <si>
    <t>The [MON] is incapacitated while in the area of an antimagic field.</t>
  </si>
  <si>
    <t>Leaping Escape</t>
  </si>
  <si>
    <t>The [MON] leaps up to [#] ft without provoking opportunity attacks.</t>
  </si>
  <si>
    <t>Enhanced Eldritch Blast</t>
  </si>
  <si>
    <t>The [MON] pushes the target [#] ft away from it in a straight line.</t>
  </si>
  <si>
    <t>Area Vulnerability</t>
  </si>
  <si>
    <t>The [MON] takes double damage from any effect that targets an area.</t>
  </si>
  <si>
    <t>The [MON] takes the Dash, Disengage, Hide, or Use an Object action.</t>
  </si>
  <si>
    <t>The [MON] targets a [#] ft radius area around itself. [TGT_EFFECT].</t>
  </si>
  <si>
    <t>Faerie Step</t>
  </si>
  <si>
    <t>The [MON] teleports up to [#] ft to an unoccupied space it can see.</t>
  </si>
  <si>
    <t>Ice Slide</t>
  </si>
  <si>
    <t>The [MON]'s speed increases by [#] ft when it moves on snow or ice.</t>
  </si>
  <si>
    <t>Croaking Blast</t>
  </si>
  <si>
    <t>Deafness Ending</t>
  </si>
  <si>
    <t>The deafness can be cured with lesser restoration or similar magic.</t>
  </si>
  <si>
    <t>Nonduplication</t>
  </si>
  <si>
    <t>This attack can't target the same creature more than once per turn.</t>
  </si>
  <si>
    <t>Remain Invisible</t>
  </si>
  <si>
    <t>This does not cause the [MON] to become visible if it is invisible.</t>
  </si>
  <si>
    <t>Harmful Detachment</t>
  </si>
  <si>
    <t>When the [MON] is detached, the host takes [#dX] [DMG_TYPE] damage.</t>
  </si>
  <si>
    <t>Piercing (d4)</t>
  </si>
  <si>
    <t>Disarming Charm</t>
  </si>
  <si>
    <t>Charm Effect, Disarming</t>
  </si>
  <si>
    <t>While charmed in this way, a creature drops anything it is holding.</t>
  </si>
  <si>
    <t>Controlling Charm</t>
  </si>
  <si>
    <t>While charmed in this way, a creature is under the [MON]'s control.</t>
  </si>
  <si>
    <t>While in beast form, it loses its fly speed and Mirror Image trait.</t>
  </si>
  <si>
    <t>While in beast form, the [MON] can't speak and its speed is [#] ft.</t>
  </si>
  <si>
    <t>Arctic Tunneler</t>
  </si>
  <si>
    <t>While in snow or ice, the [MON]'s burrow speed increases to [#] ft.</t>
  </si>
  <si>
    <t>Consumption Effect, Drop to 0</t>
  </si>
  <si>
    <t>A consumed creature's hit points are reduced to 0, and it is stable.</t>
  </si>
  <si>
    <t>One at a Time</t>
  </si>
  <si>
    <t>A creature can't gain this benefit from more than one [MON] at once.</t>
  </si>
  <si>
    <t>A creature that makes a bargain with the [MON] is cursed [DURATION].</t>
  </si>
  <si>
    <t>Outcome for Most in Area</t>
  </si>
  <si>
    <t>Each creature other than the [MON]'s creator in that area [OUTCOME].</t>
  </si>
  <si>
    <t>Legendary Resistance</t>
  </si>
  <si>
    <t>If the [MON] fails a saving throw, it can choose to succeed instead.</t>
  </si>
  <si>
    <t>Outcome if Monster Injured</t>
  </si>
  <si>
    <t>If the [MON] has half its hit points or fewer, the target [OUTCOME].</t>
  </si>
  <si>
    <t>Outcome if Charmed</t>
  </si>
  <si>
    <t>If the target is already charmed by the [MON], the target [OUTCOME].</t>
  </si>
  <si>
    <t>Effect of Strength Check</t>
  </si>
  <si>
    <t>must make a DC [SAVE_DC] Strength check. On a failure, [TGT_EFFECT].</t>
  </si>
  <si>
    <t>Challenge Rating</t>
  </si>
  <si>
    <t>Shield Wall</t>
  </si>
  <si>
    <t>The [MON] and a [MON] within [#] ft of it gain three-quarters cover.</t>
  </si>
  <si>
    <t>Icy Travel</t>
  </si>
  <si>
    <t>The [MON] and its allies leave no trace when walking on snow or ice.</t>
  </si>
  <si>
    <t>Spare a Rider</t>
  </si>
  <si>
    <t>The [MON] can choose for its rider to not be affected by this trait.</t>
  </si>
  <si>
    <t>Sun Sickness</t>
  </si>
  <si>
    <t>The [MON] dies if it spends more than [DURATION] in direct sunlight.</t>
  </si>
  <si>
    <t>Temporarily Heal Half Damage Dealt</t>
  </si>
  <si>
    <t>The [MON] gains temporary hit points equal to half the damage dealt.</t>
  </si>
  <si>
    <t>Constrict</t>
  </si>
  <si>
    <t>The [MON] has advantage on attacks against a target it is grappling.</t>
  </si>
  <si>
    <t>Silent Flight</t>
  </si>
  <si>
    <t>The [MON] has advantage on Dexterity (Stealth) checks when it flies.</t>
  </si>
  <si>
    <t>Protector of Qi</t>
  </si>
  <si>
    <t>The [MON] is immune to effects that would reduce its max hit points.</t>
  </si>
  <si>
    <t>Repelling Attack</t>
  </si>
  <si>
    <t>The [MON] is pushed [#] ft in the opposite direction of this attack.</t>
  </si>
  <si>
    <t>The [MON] transforms into a beast, or back into its true [MON] form.</t>
  </si>
  <si>
    <t>Bladed Arm</t>
  </si>
  <si>
    <t>This attack can target a creature on the Ethereal or Material Plane.</t>
  </si>
  <si>
    <t>This attack hits automatically if the [MON] has the target grappled.</t>
  </si>
  <si>
    <t>Lose Thorniness</t>
  </si>
  <si>
    <t>When [MON] uses this ability, it loses Thorny Body trait [DURATION].</t>
  </si>
  <si>
    <t>Outcome if Hit from Hiding</t>
  </si>
  <si>
    <t>When the [MON] attacks a creature from hiding, the target [OUTCOME].</t>
  </si>
  <si>
    <t>Slowing Effort</t>
  </si>
  <si>
    <t>When the [MON] uses this ability, its movement is halved [DURATION].</t>
  </si>
  <si>
    <t>Lamenting Engulfment</t>
  </si>
  <si>
    <t>While consumed in this way, a creature can still make melee attacks.</t>
  </si>
  <si>
    <t>Misty Stealth</t>
  </si>
  <si>
    <t>Invisible, Shapechanging</t>
  </si>
  <si>
    <t>While in Mist Form in dim light or darkness, the [MON] is invisible.</t>
  </si>
  <si>
    <t>Exhaustion Limit</t>
  </si>
  <si>
    <t>A creature can't gain more than [#] levels of exhaustion in this way.</t>
  </si>
  <si>
    <t>Disadvantage if Cursed</t>
  </si>
  <si>
    <t>Curse Effect, Disadvantage</t>
  </si>
  <si>
    <t>A creature cursed by the [MON] has disadvantage on this saving throw.</t>
  </si>
  <si>
    <t>Frightened Disadvantage</t>
  </si>
  <si>
    <t>Disadvantage, Fear Effect</t>
  </si>
  <si>
    <t>A creature frightened by [MON] has disadvantage on this saving throw.</t>
  </si>
  <si>
    <t>Outcome of Starting Turn Near Monster</t>
  </si>
  <si>
    <t>A creature that starts its turn within [#] ft of the [MON] [OUTCOME].</t>
  </si>
  <si>
    <t>Action or Bonus Action</t>
  </si>
  <si>
    <t>can use either an action or a bonus action on its turn, but not both.</t>
  </si>
  <si>
    <t>Extraplanar Immunity</t>
  </si>
  <si>
    <t>Creatures not native to the Material Plane are immune to this effect.</t>
  </si>
  <si>
    <t>Emboldened</t>
  </si>
  <si>
    <t>gains advantage on saving throws against being charmed or frightened.</t>
  </si>
  <si>
    <t>Disadvantage Unless Attacking [MON]</t>
  </si>
  <si>
    <t>gains disadvantage on attacks against creatures other than the [MON].</t>
  </si>
  <si>
    <t>Ineffective if Headless</t>
  </si>
  <si>
    <t>If all of the [MON]'s heads are severed, this trait doesn't function.</t>
  </si>
  <si>
    <t>Mobile Advantage</t>
  </si>
  <si>
    <t>Advantage, Movement</t>
  </si>
  <si>
    <t>If the [MON] has moved this turn, this attack is made with advantage.</t>
  </si>
  <si>
    <t>Incorporeal Movement</t>
  </si>
  <si>
    <t>If the [MON] takes [DMG_TYPE] damage, it loses this trait [DURATION].</t>
  </si>
  <si>
    <t>Radiant (Other)</t>
  </si>
  <si>
    <t>Cursed</t>
  </si>
  <si>
    <t>Constitution</t>
  </si>
  <si>
    <t>Simian Affinity</t>
  </si>
  <si>
    <t>The [MON] can communicate with primates as if they shared a language.</t>
  </si>
  <si>
    <t>The [MON] can use a bonus action to make one additional melee attack.</t>
  </si>
  <si>
    <t>Fortissimo Fibber</t>
  </si>
  <si>
    <t>The [MON] can't be silenced or forced to tell the truth by any means.</t>
  </si>
  <si>
    <t>The [MON] gains hit points equal to half the [DMG_TYPE] damage dealt.</t>
  </si>
  <si>
    <t>Apposable Thumbs</t>
  </si>
  <si>
    <t>The [MON] has advantage on Strength (Athletics) checks made to climb.</t>
  </si>
  <si>
    <t>Wasteland Stride</t>
  </si>
  <si>
    <t>The [MON] ignores difficult terrain caused by sand, gravel, or rocks.</t>
  </si>
  <si>
    <t>Team Effort</t>
  </si>
  <si>
    <t>The [MON] is considered Large when determining its carrying capacity.</t>
  </si>
  <si>
    <t>Immutable Form</t>
  </si>
  <si>
    <t>The [MON] is immune to any spell or effect that would alter its form.</t>
  </si>
  <si>
    <t>Tune Up</t>
  </si>
  <si>
    <t>The [MON] suffers no penalties from difficult terrain created by ice.</t>
  </si>
  <si>
    <t>Selected Allies Within Range</t>
  </si>
  <si>
    <t>The [MON] targets up to [#] allies within [#] ft of it. [TGT_EFFECT].</t>
  </si>
  <si>
    <t>The [MON] transforms into a Medium beast, or back into its true form.</t>
  </si>
  <si>
    <t>Vicious Wound</t>
  </si>
  <si>
    <t>The [MON]'s melee attacks score a critical hit on a roll of 19 or 20.</t>
  </si>
  <si>
    <t>Parent Vine Dependent</t>
  </si>
  <si>
    <t>This ability does not function if the [MON]'s parent vine is severed.</t>
  </si>
  <si>
    <t>Delayed Death</t>
  </si>
  <si>
    <t>When the [MON] is reduced to 0 hit points, it doesn't die [DURATION].</t>
  </si>
  <si>
    <t>Charmed into Approaching</t>
  </si>
  <si>
    <t>Approaching, Charm Effect</t>
  </si>
  <si>
    <t>While charmed in this way, a creature can only move toward the [MON].</t>
  </si>
  <si>
    <t>Suffocated and Silenced if Grappled</t>
  </si>
  <si>
    <t>Grapple Effect, Silencing, Suffocating</t>
  </si>
  <si>
    <t>While grappled in this way, a creature is unable to breathe or speak.</t>
  </si>
  <si>
    <t>Mounted Warrior</t>
  </si>
  <si>
    <t>While the [MON] is mounted, its mount can't be charmed or frightened.</t>
  </si>
  <si>
    <t>A creature can gain no more than [#] levels of exhaustion in this way.</t>
  </si>
  <si>
    <t>Charmed Disadvantage</t>
  </si>
  <si>
    <t>Charm Effect, Disadvantage</t>
  </si>
  <si>
    <t>A creature charmed by the [MON] has disadvantage on this saving throw.</t>
  </si>
  <si>
    <t>Disadvantage if Mineralized</t>
  </si>
  <si>
    <t>A creature has disadvantage on this check if the [MON] is mineralized.</t>
  </si>
  <si>
    <t>Proximity Disadvantage</t>
  </si>
  <si>
    <t>A creature in the [MON]'s space has disadvantage on this saving throw.</t>
  </si>
  <si>
    <t>Thousands of Eyes</t>
  </si>
  <si>
    <t>The [MON] has advantage on saving throws made to resist being blinded.</t>
  </si>
  <si>
    <t>A target on the Material Plane is subject to the Ethereal Shift trait.</t>
  </si>
  <si>
    <t>Foster the Grasses</t>
  </si>
  <si>
    <t>Celestials within [#] ft of the [MON] have advantage on saving throws.</t>
  </si>
  <si>
    <t>Spores</t>
  </si>
  <si>
    <t>Disease, Limitation</t>
  </si>
  <si>
    <t>Creatures immune to the poisoned condition are immune to this disease.</t>
  </si>
  <si>
    <t>Creatures in the [MON]'s space have disadvantage on all saving throws.</t>
  </si>
  <si>
    <t>Mock the Dying</t>
  </si>
  <si>
    <t>Death saving throws made within [#] ft of the [MON] have disadvantage.</t>
  </si>
  <si>
    <t>Everything Disadvantage</t>
  </si>
  <si>
    <t>gains disadvantage on attack rolls, ability checks, and saving throws.</t>
  </si>
  <si>
    <t>Additional Outcome of Great Failure</t>
  </si>
  <si>
    <t>If a creature fails this saving throw by 5 or more, it also [OUTCOME].</t>
  </si>
  <si>
    <t>If the [MON] is in dim light or darkness, this trait doesn't function.</t>
  </si>
  <si>
    <t>Outcome if Not Elf or Undead</t>
  </si>
  <si>
    <t>If the target is a creature other than an elf or undead, it [OUTCOME].</t>
  </si>
  <si>
    <t>Sand Restraints</t>
  </si>
  <si>
    <t>If the target is standing on sand, it sinks down, becoming restrained.</t>
  </si>
  <si>
    <t>Snow Invisibility</t>
  </si>
  <si>
    <t>In snowy environments, the [MON] can turn invisible as a bonus action.</t>
  </si>
  <si>
    <t>Only Size and AC Change</t>
  </si>
  <si>
    <t>Its statistics, other than its size and AC, are the same in each form.</t>
  </si>
  <si>
    <t>Only the [MON]'s beast form retains its burrowing and climbing speeds.</t>
  </si>
  <si>
    <t>Mist Stalker</t>
  </si>
  <si>
    <t>The [MON] can Hide as a bonus action while in dim light, fog, or mist.</t>
  </si>
  <si>
    <t>The [MON] can't use its blindsight while deafened and unable to smell.</t>
  </si>
  <si>
    <t>Aquatic Echolocation</t>
  </si>
  <si>
    <t>The [MON] can't use its blindsight while deafened or out of the water.</t>
  </si>
  <si>
    <t>Knowing</t>
  </si>
  <si>
    <t>The [MON] grants itself advantage on one attack roll or ability check.</t>
  </si>
  <si>
    <t>The [MON] has advantage on attacks against a creature it has grappled.</t>
  </si>
  <si>
    <t>Too Big to Notice</t>
  </si>
  <si>
    <t>The [MON] has advantage on Dexterity (Stealth) checks when not moving.</t>
  </si>
  <si>
    <t>Stubborn</t>
  </si>
  <si>
    <t>The [MON] has advantage on saving throws made to resist being charmed.</t>
  </si>
  <si>
    <t>Reactive Guardian</t>
  </si>
  <si>
    <t>The [MON] has two reactions that can be used only for Deflecting Leap.</t>
  </si>
  <si>
    <t>The [MON] moves the target [#] ft in any direction (including upward).</t>
  </si>
  <si>
    <t>Safe Landing</t>
  </si>
  <si>
    <t>The [MON] takes no falling damage from the first [#] ft that it falls.</t>
  </si>
  <si>
    <t>Shadow Step</t>
  </si>
  <si>
    <t>The [MON] teleports itself to a shadow it can see within [#] ft of it.</t>
  </si>
  <si>
    <t>The [MON] treats stormy water as normal rather than difficult terrain.</t>
  </si>
  <si>
    <t>Improved Critical</t>
  </si>
  <si>
    <t>The [MON]'s weapon attacks score a critical hit on a roll of 19 or 20.</t>
  </si>
  <si>
    <t>Sea Change Disease</t>
  </si>
  <si>
    <t>This disease ends [DURATION] after the [MON] dies unless cured sooner.</t>
  </si>
  <si>
    <t>Persistence of Stone</t>
  </si>
  <si>
    <t>When reduced to below half its hit point max Fossil Barrage recharges.</t>
  </si>
  <si>
    <t>Grappled Disadvantage</t>
  </si>
  <si>
    <t>A creature grappled by the [MON] has disadvantage on this saving throw.</t>
  </si>
  <si>
    <t>Unafraid</t>
  </si>
  <si>
    <t>A creature immune to the frightened condition is immune to this effect.</t>
  </si>
  <si>
    <t>Unctuous Hide</t>
  </si>
  <si>
    <t>A rider can dismount a [MON] without any penalty to its movement speed.</t>
  </si>
  <si>
    <t>Air Mastery</t>
  </si>
  <si>
    <t>Airborne creatures have disadvantage on attack rolls against the [MON].</t>
  </si>
  <si>
    <t>Turn Luck</t>
  </si>
  <si>
    <t>As a bonus action, the [MON] can spend 1 luck point to cast misty step.</t>
  </si>
  <si>
    <t>If the target is grappled by the [MON], this attack hits automatically.</t>
  </si>
  <si>
    <t>Tentacle Senses</t>
  </si>
  <si>
    <t>The [MON] can't use its tremorsense while it is grappled or restrained.</t>
  </si>
  <si>
    <t>gains disadvantage on all attacks against targets other than the [MON].</t>
  </si>
  <si>
    <t>Additional Outcome of Extreme Failure</t>
  </si>
  <si>
    <t>If a creature fails this saving throw by 10 or more, it also [OUTCOME].</t>
  </si>
  <si>
    <t>Pseudocorporeal</t>
  </si>
  <si>
    <t>If air can pass through a space, the [MON] can do so without squeezing.</t>
  </si>
  <si>
    <t>End Charm or Fear</t>
  </si>
  <si>
    <t>Charm Effect, Fear Effect, Restoring</t>
  </si>
  <si>
    <t>If the target is charmed or frightened, the condition immediately ends.</t>
  </si>
  <si>
    <t>Adaptable Locomotion</t>
  </si>
  <si>
    <t>Moving through difficult terrain doesn't cost the [MON] extra movement.</t>
  </si>
  <si>
    <t>Slashing (d8), Poison (d8)</t>
  </si>
  <si>
    <t>Deathly Origins</t>
  </si>
  <si>
    <t>The [MON] can be turned and damaged by holy water as if it were undead.</t>
  </si>
  <si>
    <t>The [MON] can choose to deal bludgeoning, piercing, or slashing damage.</t>
  </si>
  <si>
    <t>Attack Another Creature</t>
  </si>
  <si>
    <t>The [MON] can make one attack as a bonus action against another target.</t>
  </si>
  <si>
    <t>Detect Spellcasting</t>
  </si>
  <si>
    <t>The [MON] can sense when a humanoid casts a spell within 5 miles of it.</t>
  </si>
  <si>
    <t>Elemental Traveler</t>
  </si>
  <si>
    <t>The [MON] doesn't require air, food, drink, sleep, or ambient pressure.</t>
  </si>
  <si>
    <t>Divine Guzzle</t>
  </si>
  <si>
    <t>The [MON] gains advantage on attack rolls and saving throws [DURATION].</t>
  </si>
  <si>
    <t>Swamp Stealth</t>
  </si>
  <si>
    <t>The [MON] has advantage on Dexterity (Stealth) checks in swamp terrain.</t>
  </si>
  <si>
    <t>Poison Affinity</t>
  </si>
  <si>
    <t>The [MON] has advantage on saving throws made to resist being poisoned.</t>
  </si>
  <si>
    <t>Cold Mastery</t>
  </si>
  <si>
    <t>The [MON] is not hindered by cold, icy surfaces, snow, wind, or storms.</t>
  </si>
  <si>
    <t>Resting Place</t>
  </si>
  <si>
    <t>The [MON] rarely ventures more than a mile from the place of its death.</t>
  </si>
  <si>
    <t>Line Attack</t>
  </si>
  <si>
    <t>The [MON] targets a [#] ft long line that is [#] ft wide. [TGT_EFFECT].</t>
  </si>
  <si>
    <t>One Adult Within Range</t>
  </si>
  <si>
    <t>The [MON] targets one adult creature within [#] ft of it. [TGT_EFFECT].</t>
  </si>
  <si>
    <t>One Prone Creature Within Range</t>
  </si>
  <si>
    <t>The [MON] targets one prone creature within [#] ft of it. [TGT_EFFECT].</t>
  </si>
  <si>
    <t>Short Step</t>
  </si>
  <si>
    <t>The [MON] teleports to unoccupied space it can see within [#] ft of it.</t>
  </si>
  <si>
    <t>Change Form</t>
  </si>
  <si>
    <t>The [MON] transforms into an alternate form or back into its true form.</t>
  </si>
  <si>
    <t>Stay Within Range</t>
  </si>
  <si>
    <t>This effect ends if the target is more than [#] ft away from the [MON].</t>
  </si>
  <si>
    <t>Stand and See It Coming</t>
  </si>
  <si>
    <t>To use this reaction, the [MON] must see the attacker and not be prone.</t>
  </si>
  <si>
    <t>Illumination</t>
  </si>
  <si>
    <t>When the [MON] dies, its body continues to glow for another [DURATION].</t>
  </si>
  <si>
    <t>Sonic Sensitivity</t>
  </si>
  <si>
    <t>When the [MON] takes [DMG_TYPE] damage, it becomes deafened [DURATION].</t>
  </si>
  <si>
    <t>Thunder (Other)</t>
  </si>
  <si>
    <t>While grappling a creature, the [MON] makes this attack with advantage.</t>
  </si>
  <si>
    <t>While in its true form or its hybrid form, its statistics are the same.</t>
  </si>
  <si>
    <t>Attachment Effect, Suffocating</t>
  </si>
  <si>
    <t>While the [MON] is attached to a creature, that creature can't breathe.</t>
  </si>
  <si>
    <t>Limb Occupation</t>
  </si>
  <si>
    <t>Grapple Effect, Limbs, Limitation</t>
  </si>
  <si>
    <t>While using a limb to grapple, the [MON] can't use that limb to attack.</t>
  </si>
  <si>
    <t>Evil Disadvantage</t>
  </si>
  <si>
    <t>A creature with an evil alignment has disadvantage on this saving throw.</t>
  </si>
  <si>
    <t>Crit on the Surprised</t>
  </si>
  <si>
    <t>Any hit the [MON] scores against a surprised creature is a critical hit.</t>
  </si>
  <si>
    <t>Each creature that starts its turn within [#] ft of the [MON] [OUTCOME].</t>
  </si>
  <si>
    <t>gains advantage on its next ability check, attack roll, or saving throw.</t>
  </si>
  <si>
    <t>gains advantage on its next attack roll, ability check, or saving throw.</t>
  </si>
  <si>
    <t>gains disadvantage on Strength-based checks, saving throws, and attacks.</t>
  </si>
  <si>
    <t>Attack EFfect</t>
  </si>
  <si>
    <t>Eye-Closer's Curse</t>
  </si>
  <si>
    <t>If a [MON] hits a surprised target with an attack, the target is cursed.</t>
  </si>
  <si>
    <t>Conditional Lethality</t>
  </si>
  <si>
    <t>If a humanoid dies in this way, it can't be restored to life [DURATION].</t>
  </si>
  <si>
    <t>Grappled if Medium or Smaller</t>
  </si>
  <si>
    <t>is grappled (escape DC [SAVE_DC]) if it is a Medium or smaller creature.</t>
  </si>
  <si>
    <t>Different Outcomes for Friendly and Hostile</t>
  </si>
  <si>
    <t>If the target is hostile, it [OUTCOME]. If it is friendly, it [OUTCOME].</t>
  </si>
  <si>
    <t>It doesn't gain any class features or legendary actions of the new form.</t>
  </si>
  <si>
    <t>must choose between using movement or taking an action on its next turn.</t>
  </si>
  <si>
    <t>Paralyzing Strike</t>
  </si>
  <si>
    <t>Slashing (d4)</t>
  </si>
  <si>
    <t>Limited Telepathy</t>
  </si>
  <si>
    <t>The [MON] can communicate telepathically with any creature in its space.</t>
  </si>
  <si>
    <t>Beast's Voice</t>
  </si>
  <si>
    <t>The [MON] can speak with any beast and can perfectly mimic beast sounds.</t>
  </si>
  <si>
    <t>One with the Earth</t>
  </si>
  <si>
    <t>The [MON] can't be surprised by an opponent that is touching the ground.</t>
  </si>
  <si>
    <t>Mountain Stride</t>
  </si>
  <si>
    <t>The [MON] ignores the effects of difficult terrain in mountainous areas.</t>
  </si>
  <si>
    <t>The [MON] reverts to its true form when it dies, before turning to dust.</t>
  </si>
  <si>
    <t>One Living Creature Within Range</t>
  </si>
  <si>
    <t>The [MON] targets one living creature within [#] ft of it. [TGT_EFFECT].</t>
  </si>
  <si>
    <t>Multiple Creatures Within Range</t>
  </si>
  <si>
    <t>The [MON] targets up to [#] creatures within [#] ft of it. [TGT_EFFECT].</t>
  </si>
  <si>
    <t>Invisibility Duration</t>
  </si>
  <si>
    <t>This invisibility lasts [DURATION], or if ends its turn in bright light.</t>
  </si>
  <si>
    <t>Etherealness</t>
  </si>
  <si>
    <t>While charmed in this way, a creature obeys the [MON]'s verbal commands.</t>
  </si>
  <si>
    <t>Cursed Failure</t>
  </si>
  <si>
    <t>A creature under the [MON]'s curse automatically fails this saving throw.</t>
  </si>
  <si>
    <t>Spare the Unintelligent</t>
  </si>
  <si>
    <t>A creature with an Intelligence of [#] or lower is immune to this effect.</t>
  </si>
  <si>
    <t>Ooze Plague</t>
  </si>
  <si>
    <t>HP Max Reducing, Infection Effect</t>
  </si>
  <si>
    <t>An infected creature's hit point max decreases by [#dX] every [DURATION].</t>
  </si>
  <si>
    <t>Snow Stride</t>
  </si>
  <si>
    <t>Difficult terrain composed of snow doesn't cost the [MON] extra movement.</t>
  </si>
  <si>
    <t>Necrotic Dampening</t>
  </si>
  <si>
    <t>Each ally within [#] ft of the [MON] has resistance to [DMG_TYPE] damage.</t>
  </si>
  <si>
    <t>Outcome in Area if Not Construct or Undead</t>
  </si>
  <si>
    <t>Each creature in that area that isn't a construct or an undead [OUTCOME].</t>
  </si>
  <si>
    <t>Effect of Confused Kill</t>
  </si>
  <si>
    <t>Confusion</t>
  </si>
  <si>
    <t>If a confused creature reduces a target to 0 hit points, it [TGT_EFFECT].</t>
  </si>
  <si>
    <t>Alternate Effect of Great Failure</t>
  </si>
  <si>
    <t>If a creature fails this saving throw by 5 or more, [TGT_EFFECT] instead.</t>
  </si>
  <si>
    <t>Alternate Outcome of Great Failure</t>
  </si>
  <si>
    <t>If a creature fails this saving throw by 5 or more, it [OUTCOME] instead.</t>
  </si>
  <si>
    <t>If the [MON] takes [DMG_TYPE] damage it can't use this action [DURATION].</t>
  </si>
  <si>
    <t>Outcome if Not Construct or Undead</t>
  </si>
  <si>
    <t>If the target is creature other than a construct or undead, it [OUTCOME].</t>
  </si>
  <si>
    <t>Different Outcomes for Living and Undead</t>
  </si>
  <si>
    <t>If the target is not undead, it [OUTCOME]. If it is undead, it [OUTCOME].</t>
  </si>
  <si>
    <t>Only Size and Speed Change</t>
  </si>
  <si>
    <t>Its statistics, other than its size and speed, are the same in each form.</t>
  </si>
  <si>
    <t>Extra Damage for Objects</t>
  </si>
  <si>
    <t>Structures and unattended objects in that area take twice as much damage.</t>
  </si>
  <si>
    <t>Plant Kindness</t>
  </si>
  <si>
    <t>The [MON] can choose whether this attack harms plants or plant creatures.</t>
  </si>
  <si>
    <t>Flexible Form</t>
  </si>
  <si>
    <t>The [MON] can move through any opening large enough for a Small creature.</t>
  </si>
  <si>
    <t>The [MON] does not require air, warmth, ambient pressure, food, or water.</t>
  </si>
  <si>
    <t>Expert Lockpicker</t>
  </si>
  <si>
    <t>The [MON] has advantage on ability checks to pick locks and disarm traps.</t>
  </si>
  <si>
    <t>Powerful Mind</t>
  </si>
  <si>
    <t>The [MON] has advantage on Intelligence ability checks and saving throws.</t>
  </si>
  <si>
    <t>Brave</t>
  </si>
  <si>
    <t>The [MON] has advantage on saving throws made to resist being frightened.</t>
  </si>
  <si>
    <t>The [MON] has advantage on Strength checks made to move or break objects.</t>
  </si>
  <si>
    <t>Many Eyes</t>
  </si>
  <si>
    <t>The [MON] has advantage on Wisdom (Perception) checks that rely on sight.</t>
  </si>
  <si>
    <t>Keen Smell</t>
  </si>
  <si>
    <t>The [MON] has advantage on Wisdom (Perception) checks that rely on smell.</t>
  </si>
  <si>
    <t>Weak Willed</t>
  </si>
  <si>
    <t>The [MON] has disadvantage on saving throws made to resist being charmed.</t>
  </si>
  <si>
    <t>Lightform</t>
  </si>
  <si>
    <t>The [MON] is incorporeal and immune to effects that would alter its form.</t>
  </si>
  <si>
    <t>Like Calls to Like</t>
  </si>
  <si>
    <t>The [MON] knows if a creature within [#] ft of it is evil-aligned or not.</t>
  </si>
  <si>
    <t>The [MON] knows if a creature within [#] ft of it is good-aligned or not.</t>
  </si>
  <si>
    <t>All Friendly Undead Within Range</t>
  </si>
  <si>
    <t>The [MON] targets each friendly undead within [#] ft of it. [TGT_EFFECT].</t>
  </si>
  <si>
    <t>All Living Creatures Within Range</t>
  </si>
  <si>
    <t>The [MON] targets each living creature within [#] ft of it. [TGT_EFFECT].</t>
  </si>
  <si>
    <t>One Willing Creature Within Range</t>
  </si>
  <si>
    <t>The [MON] targets one willing creature within [#] ft of it. [TGT_EFFECT].</t>
  </si>
  <si>
    <t>Incapacitation or Repetition Prevents</t>
  </si>
  <si>
    <t>The effect ends if the [MON] is incapacitated or uses this ability again.</t>
  </si>
  <si>
    <t>Lava Dependent</t>
  </si>
  <si>
    <t>To use this ability, the [MON] must be touching or within [#] ft of lava.</t>
  </si>
  <si>
    <t>Celestial Dissolution</t>
  </si>
  <si>
    <t>When the [MON] dies, its body and equipment dissolve into motes of light.</t>
  </si>
  <si>
    <t>Tentacle</t>
  </si>
  <si>
    <t>When the [MON] moves, it can drag a target it is grappling at full speed.</t>
  </si>
  <si>
    <t>When the [MON] uses the Dash action, it can Dash again as a bonus action.</t>
  </si>
  <si>
    <t>Can't Burrow While Grappling</t>
  </si>
  <si>
    <t>While grappling a creature, the [MON] can't burrow or use Earths Embrace.</t>
  </si>
  <si>
    <t>Restrained if Grappled</t>
  </si>
  <si>
    <t>While grappling a creature, the [MON] can't use its Regurgitate reaction.</t>
  </si>
  <si>
    <t>Under the Cloak of Night</t>
  </si>
  <si>
    <t>While in dim light or darkness, the [MON] has advantage on saving throws.</t>
  </si>
  <si>
    <t>False Appearance</t>
  </si>
  <si>
    <t>While motionless, the [MON] is indistinguishable from an ordinary object.</t>
  </si>
  <si>
    <t>Action to Unblind</t>
  </si>
  <si>
    <t>Blindness Ending</t>
  </si>
  <si>
    <t>A blinded creature can use an action to clear its eyes and end the effect.</t>
  </si>
  <si>
    <t>Elemental Aura</t>
  </si>
  <si>
    <t>Equipment Damage</t>
  </si>
  <si>
    <t>A nonmagical weapon that hits the [MON] is destroyed after dealing damage.</t>
  </si>
  <si>
    <t>Celestial Enhancement</t>
  </si>
  <si>
    <t>Advantage, Aura</t>
  </si>
  <si>
    <t>Celestials within [#] ft of the [MON] have advantage on all saving throws.</t>
  </si>
  <si>
    <t>HP Max Reduced by Half and Self Healed by Half</t>
  </si>
  <si>
    <t>HP Max Reducing</t>
  </si>
  <si>
    <t>has its hit point max reduced by an amount equal to half the damage taken.</t>
  </si>
  <si>
    <t>Alternate Effect of Extreme Failure</t>
  </si>
  <si>
    <t>If a creature fails this saving throw by 10 or more, [TGT_EFFECT] instead.</t>
  </si>
  <si>
    <t>Alternate Outcome of Extreme Failure</t>
  </si>
  <si>
    <t>If a creature fails this saving throw by 10 or more, it [OUTCOME] instead.</t>
  </si>
  <si>
    <t>Grapple or Consume</t>
  </si>
  <si>
    <t>Consuming, Grappling</t>
  </si>
  <si>
    <t>is grappled (escape DC [SAVE_DC]), or consumed it if was already grappled.</t>
  </si>
  <si>
    <t>Poisoned After Unconsciousness Ends</t>
  </si>
  <si>
    <t>Poisoning, Unconsciousness Effect</t>
  </si>
  <si>
    <t>After the unconscious condition ends, the creature is poisoned [DURATION].</t>
  </si>
  <si>
    <t>Magical effects can't reduce the [MON] speed or cause it to be restrained.</t>
  </si>
  <si>
    <t>Damaging Removal</t>
  </si>
  <si>
    <t>Removing an attached [MON] inflicts [#dX] [DMG_TYPE] damage to the target.</t>
  </si>
  <si>
    <t>Kindness of the Mount</t>
  </si>
  <si>
    <t>The [MON] can choose whether or not its rider is affected by this ability.</t>
  </si>
  <si>
    <t>Defensive Zone</t>
  </si>
  <si>
    <t>The [MON] can make an opportunity attack when a creature enters its reach.</t>
  </si>
  <si>
    <t>Swamp Stride</t>
  </si>
  <si>
    <t>The [MON] can pass through nonmagical plants without being slowed by them.</t>
  </si>
  <si>
    <t>The [MON] gains temporary hit points equal to the [DMG_TYPE] damage dealt.</t>
  </si>
  <si>
    <t>Advantage, Charm Effect</t>
  </si>
  <si>
    <t>The [MON] has advantage on attack rolls against a creature it has charmed.</t>
  </si>
  <si>
    <t>Close-in Slasher</t>
  </si>
  <si>
    <t>The [MON] has advantage on attack rolls against any creature in its space.</t>
  </si>
  <si>
    <t>Master Liar</t>
  </si>
  <si>
    <t>The [MON] has advantage on Charisma (Deception) checks when telling a lie.</t>
  </si>
  <si>
    <t>Sunlight Hypersensitivity</t>
  </si>
  <si>
    <t>The [MON] takes [#] [DMG_TYPE] damage when it starts its turn in sunlight.</t>
  </si>
  <si>
    <t>All Hostile Creatures Within Range</t>
  </si>
  <si>
    <t>The [MON] targets each hostile creature within [#] ft of it. [TGT_EFFECT].</t>
  </si>
  <si>
    <t>The [MON] transforms into a humanoid or beast, or back into its true form.</t>
  </si>
  <si>
    <t>Giant Build</t>
  </si>
  <si>
    <t>The [MON]'s melee and thrown weapons deal an extra die of damage on a hit.</t>
  </si>
  <si>
    <t>The [MON]'s movement is not affected by difficult terrain or by creatures.</t>
  </si>
  <si>
    <t>The [MON]'s space is difficult terrain for creatures traveling through it.</t>
  </si>
  <si>
    <t>Spread the Love</t>
  </si>
  <si>
    <t>This ability can't be used against the same target twice in a single turn.</t>
  </si>
  <si>
    <t>Ram</t>
  </si>
  <si>
    <t>This attack deals double damage against objects, vehicles, and constructs.</t>
  </si>
  <si>
    <t>Close-Range Disadvantage</t>
  </si>
  <si>
    <t>This attack is made with disadvantage against targets within [#] ft of it.</t>
  </si>
  <si>
    <t>Until Ally Action</t>
  </si>
  <si>
    <t>until another creature within reach of it uses an action to end the effect</t>
  </si>
  <si>
    <t>until the [MON] or one of its allies deals damage to the affected creature</t>
  </si>
  <si>
    <t>Until Remove Cursed</t>
  </si>
  <si>
    <t>until the affected creature receives a remove curse spell or similar magic</t>
  </si>
  <si>
    <t>Four-Legged Lope</t>
  </si>
  <si>
    <t>When the [MON] uses its action to Dash, it moves at three times its speed.</t>
  </si>
  <si>
    <t>Parasitic Amoebas</t>
  </si>
  <si>
    <t>While infected in this way, a creature is vulnerable to [DMG_TYPE] damage.</t>
  </si>
  <si>
    <t>Hidden Attachment</t>
  </si>
  <si>
    <t>While the [MON] is attached to a creature, the target can't see the [MON].</t>
  </si>
  <si>
    <t>Inorganic Disadvantage</t>
  </si>
  <si>
    <t>Constructs, objects, and structures have disadvantage on this saving throw.</t>
  </si>
  <si>
    <t>Gift of Claws</t>
  </si>
  <si>
    <t>grows claws, and its unarmed strikes deal [#dX] [DMG_TYPE] damage on a hit.</t>
  </si>
  <si>
    <t>Slashing (d6)</t>
  </si>
  <si>
    <t>Outcome if Grappled, Paralyzed, Restrained, or Stunned</t>
  </si>
  <si>
    <t>Extra Damage, Grapple Effect, Paralysis Effect, Restraint Effect, Stun Effect</t>
  </si>
  <si>
    <t>If the target is grappled, paralyzed, restrained, or stunned, it [OUTCOME].</t>
  </si>
  <si>
    <t>Paused by Being Hit</t>
  </si>
  <si>
    <t>If the [MON] is hit by an attack, this trait ceases to function [DURATION].</t>
  </si>
  <si>
    <t>Sunlight Petrification</t>
  </si>
  <si>
    <t>If the [MON] is reduced to 0 hit points while in sunlight, it is petrified.</t>
  </si>
  <si>
    <t>Reef Stealth</t>
  </si>
  <si>
    <t>If the [MON] is within [#] ft of a coral reef, it can take the Hide action.</t>
  </si>
  <si>
    <t>Don't Move the Consumed</t>
  </si>
  <si>
    <t>If the [MON] moves, a consumed creature doesn't move with it, and is freed.</t>
  </si>
  <si>
    <t>If the target is a creature other than a construct or undead, it [OUTCOME].</t>
  </si>
  <si>
    <t>It can't alter either form's appearance or capabilities using this ability.</t>
  </si>
  <si>
    <t>Squeeze</t>
  </si>
  <si>
    <t>Bludgeoning (d6)</t>
  </si>
  <si>
    <t>The [MON] and any equipment it wears or carries turns invisible [DURATION].</t>
  </si>
  <si>
    <t>The [MON] can hold as many creatures as fit in its space without squeezing.</t>
  </si>
  <si>
    <t>Nimbleness</t>
  </si>
  <si>
    <t>The [MON] can move through the space of any creature size Medium or larger.</t>
  </si>
  <si>
    <t>Desperate Effort</t>
  </si>
  <si>
    <t>The [MON] can only use this ability if it has half its hit points or fewer.</t>
  </si>
  <si>
    <t>The [MON] can squeeze through any opening large enough for a Tiny creature.</t>
  </si>
  <si>
    <t>Self-Sufficient</t>
  </si>
  <si>
    <t>The [MON] can subsist on only a quart of water and a pound of food per day.</t>
  </si>
  <si>
    <t>Cantrip Immunity</t>
  </si>
  <si>
    <t>The [MON] can't be affected or detected by cantrips unless it wishes to be.</t>
  </si>
  <si>
    <t>The [MON] enters the Ethereal Plane from the Material Plane, or vice versa.</t>
  </si>
  <si>
    <t>The [MON] gains hit points equal to half the total [DMG_TYPE] damage dealt.</t>
  </si>
  <si>
    <t>Night's Chill</t>
  </si>
  <si>
    <t>The [MON] harnesses moonlight, dispelling magical light in a [#] ft radius.</t>
  </si>
  <si>
    <t>Grappler</t>
  </si>
  <si>
    <t>The [MON] has advantage on attack rolls against a creature it is grappling.</t>
  </si>
  <si>
    <t>The [MON] has advantage on saving throws against all other magical effects.</t>
  </si>
  <si>
    <t>Feline Empathy</t>
  </si>
  <si>
    <t>The [MON] has advantage on Wisdom (Animal Handling) checks against felines.</t>
  </si>
  <si>
    <t>Keen Hearing</t>
  </si>
  <si>
    <t>The [MON] has advantage on Wisdom (Perception) checks that rely on hearing.</t>
  </si>
  <si>
    <t>Fast Reflexes</t>
  </si>
  <si>
    <t>The [MON] may take two reactions per round, but not more than one per turn.</t>
  </si>
  <si>
    <t>Harmed by Running Water</t>
  </si>
  <si>
    <t>The [MON] takes [#] [DMG_TYPE] damage if it ends its turn in running water.</t>
  </si>
  <si>
    <t>Acid ([#])</t>
  </si>
  <si>
    <t>The [MON] transforms into a Medium or Small humanoid or into its true form.</t>
  </si>
  <si>
    <t>The [MON] transforms into any Medium or Small humanoid or to its true form.</t>
  </si>
  <si>
    <t>The [MON], along with any mount it is riding, becomes invisible [DURATION].</t>
  </si>
  <si>
    <t>Psychic Drain</t>
  </si>
  <si>
    <t>The target dies and becomes a [MON] if this reduces its hit point max to 0.</t>
  </si>
  <si>
    <t>Speed Halved or Alternative Outcome</t>
  </si>
  <si>
    <t>The target's speed is halved. If its speed is already halved, it [OUTCOME].</t>
  </si>
  <si>
    <t>Call Muse</t>
  </si>
  <si>
    <t>This effect ends early if an affected creature takes damage from the [MON].</t>
  </si>
  <si>
    <t>until another creature within reach of it uses its action to shake it awake</t>
  </si>
  <si>
    <t>Until Rest After Cure</t>
  </si>
  <si>
    <t>until the infected creature finishes a long rest after the disease is cured</t>
  </si>
  <si>
    <t>While the [MON] is attached to a creature, the target is unable to breathe.</t>
  </si>
  <si>
    <t>Armored Dexterity</t>
  </si>
  <si>
    <t>While wearing medium armor, the [MON]'s AC includes its Dexterity modifier.</t>
  </si>
  <si>
    <t>Offhand Dagger</t>
  </si>
  <si>
    <t>As a reaction when missed by an attack, the [MON] can make one melee attack.</t>
  </si>
  <si>
    <t>Optional Aura</t>
  </si>
  <si>
    <t>At the start of the [MON]'s turn, it can choose whether this aura is active.</t>
  </si>
  <si>
    <t>is cured of any blindness, curse, deafness, disease, or poison affecting it.</t>
  </si>
  <si>
    <t>Desiccation Field</t>
  </si>
  <si>
    <t>Levels of exhaustion gained in this way disappear at a rate of one per hour.</t>
  </si>
  <si>
    <t>One of the target's ability scores (the [MON]'s choice) is reduced by [#dX].</t>
  </si>
  <si>
    <t>Extra Damage per Hit</t>
  </si>
  <si>
    <t>takes an extra [#dX] damage whenever the [MON] hits it with a weapon attack.</t>
  </si>
  <si>
    <t>The [MON] can choose to burrow through snow and ice without leaving a trace.</t>
  </si>
  <si>
    <t>Speak with Frogs and Toads</t>
  </si>
  <si>
    <t>The [MON] can communicate with frogs and toads as if they shared a language.</t>
  </si>
  <si>
    <t>The [MON] can move through any opening large enough for one Medium creature.</t>
  </si>
  <si>
    <t>Sinuous Form</t>
  </si>
  <si>
    <t>The [MON] can squeeze through any opening large enough for a Small creature.</t>
  </si>
  <si>
    <t>Reactive Heads</t>
  </si>
  <si>
    <t>The [MON] can take two reactions each round, but not more than one per turn.</t>
  </si>
  <si>
    <t>Shadow Walk</t>
  </si>
  <si>
    <t>The [MON] enters the Plane of Shadow from the Material Plane, or vice versa.</t>
  </si>
  <si>
    <t>Passage Guardian</t>
  </si>
  <si>
    <t>The [MON] gets one extra reaction that be used only for opportunity attacks.</t>
  </si>
  <si>
    <t>Sand Stealth</t>
  </si>
  <si>
    <t>The [MON] has advantage on Dexterity (Stealth) checks made in sandy terrain.</t>
  </si>
  <si>
    <t>Underwater Camouflage</t>
  </si>
  <si>
    <t>The [MON] has advantage on Dexterity (Stealth) checks made while underwater.</t>
  </si>
  <si>
    <t>The [MON] ignores difficult terrain or obscurement caused by sand or gravel.</t>
  </si>
  <si>
    <t>Unlimited Creatures Within Range</t>
  </si>
  <si>
    <t>The [MON] targets any number of creatures within [#] ft of it. [TGT_EFFECT].</t>
  </si>
  <si>
    <t>All Non-Monsters Within Range</t>
  </si>
  <si>
    <t>The [MON] targets each non-[MON] creature within [#] ft of it. [TGT_EFFECT].</t>
  </si>
  <si>
    <t>One Frightened Creature Within Range</t>
  </si>
  <si>
    <t>The [MON] targets one frightened creature within [#] ft of it. [TGT_EFFECT].</t>
  </si>
  <si>
    <t>Irresistable Damage</t>
  </si>
  <si>
    <t>This damage ignores [DMG_TYPE] resistance and treats immunity as resistance.</t>
  </si>
  <si>
    <t>Silver Tongue</t>
  </si>
  <si>
    <t>This effect ends early if the [MON] or its allies harm the charmed creature.</t>
  </si>
  <si>
    <t>Gain Luck Points</t>
  </si>
  <si>
    <t>For each creature that fails this saving throw, the [MON] gains 1 luck point.</t>
  </si>
  <si>
    <t>Psychic (d8)</t>
  </si>
  <si>
    <t>Cold Slow</t>
  </si>
  <si>
    <t>If the [MON] takes [DMG_TYPE] damage, it is slowed (as the spell) [DURATION].</t>
  </si>
  <si>
    <t>is healed of any blindness, curse, deafness, disease, or poison affecting it.</t>
  </si>
  <si>
    <t>Parasitic Cheek Worm</t>
  </si>
  <si>
    <t>is infested with parasitic cheek worm if the [MON] has at least 1 cheek worm.</t>
  </si>
  <si>
    <t>Odin's Call</t>
  </si>
  <si>
    <t>The [MON] can disengage after an attack reduces it to [#] hit points or less.</t>
  </si>
  <si>
    <t>Woodland Walk</t>
  </si>
  <si>
    <t>The [MON] can pass through nonmagical plants without taking damage from them.</t>
  </si>
  <si>
    <t>Sense Law</t>
  </si>
  <si>
    <t>The [MON] can pinpoint the location of a lawful creature within [#] ft of it.</t>
  </si>
  <si>
    <t>Metal Sense</t>
  </si>
  <si>
    <t>The [MON] can pinpoint, by scent, the location of metals within [#] ft of it.</t>
  </si>
  <si>
    <t>The [MON] can take three reactions per round, but not more than one per turn.</t>
  </si>
  <si>
    <t>Cavern Traveler</t>
  </si>
  <si>
    <t>The [MON] has advantage on ability checks to climb rocky underground terrain.</t>
  </si>
  <si>
    <t>Aggressive Charge</t>
  </si>
  <si>
    <t>The [MON] moves up to its speed toward a hostile creature it can see or hear.</t>
  </si>
  <si>
    <t>Sense Heat</t>
  </si>
  <si>
    <t>The [MON] senses warm-blooded creatures and warm objects within [#] ft of it.</t>
  </si>
  <si>
    <t>All Restrained Creatures Within Range</t>
  </si>
  <si>
    <t>The [MON] targets each restrained creature within [#] ft of it. [TGT_EFFECT].</t>
  </si>
  <si>
    <t>One Visible Friendly Creature Within Range</t>
  </si>
  <si>
    <t>The [MON] targets one ally within [#] ft of it that it can see. [TGT_EFFECT].</t>
  </si>
  <si>
    <t>One Unconscious Creature Within Range</t>
  </si>
  <si>
    <t>The [MON] targets one unconscious creature within [#] ft of it. [TGT_EFFECT].</t>
  </si>
  <si>
    <t>Unarmored Defense</t>
  </si>
  <si>
    <t>The [MON]'s AC is equal to 10 + its Dexterity modifier + its Wisdom modifier.</t>
  </si>
  <si>
    <t>Aura of Incitement</t>
  </si>
  <si>
    <t>The calm emotions spell instantly fails when cast within [#] ft of the [MON].</t>
  </si>
  <si>
    <t>The effect ends if an affected creature takes at least [#] [DMG_TYPE] damage.</t>
  </si>
  <si>
    <t>Fire ([#])</t>
  </si>
  <si>
    <t>HP Max Reduced Equally</t>
  </si>
  <si>
    <t>The target's hit point max is reduced by an amount equal to the damage taken.</t>
  </si>
  <si>
    <t>Spore Cloud</t>
  </si>
  <si>
    <t>This effect ends if a vial of holy water is poured onto an affected creature.</t>
  </si>
  <si>
    <t>To use this ability, the [MON] and its target must both be immersed in water.</t>
  </si>
  <si>
    <t>Invisibility or Blindness Prevents</t>
  </si>
  <si>
    <t>To use this reaction, the [MON] must see the attacker and can't be invisible.</t>
  </si>
  <si>
    <t>See It Coming and Have a Hand Available</t>
  </si>
  <si>
    <t>To use this reaction, the [MON] must see the attacker and have one hand free.</t>
  </si>
  <si>
    <t>Harmful Grapple Termination</t>
  </si>
  <si>
    <t>Downdraft</t>
  </si>
  <si>
    <t>While the [MON] is flying, the area within [#] ft of it is difficult terrain.</t>
  </si>
  <si>
    <t>Wisdom (Animal Handling) checks are made with disadvantage against the [MON].</t>
  </si>
  <si>
    <t>Hidden Eye</t>
  </si>
  <si>
    <t>The [MON] has advantage on saving throws made to resist the blinded condition.</t>
  </si>
  <si>
    <t>Telescoping Eyes</t>
  </si>
  <si>
    <t>The [MON] has disadvantage on ability checks and saves to avoid being blinded.</t>
  </si>
  <si>
    <t>Freezing Eye</t>
  </si>
  <si>
    <t>A restrained creature can be freed if it takes at least [#] [DMG_TYPE] damage.</t>
  </si>
  <si>
    <t>Allows a Bonus Dash</t>
  </si>
  <si>
    <t>After using this ability, the [MON] can use the Dash action as a bonus action.</t>
  </si>
  <si>
    <t>Outcome for Unintelligent Beasts</t>
  </si>
  <si>
    <t>Any beast with an Intelligence of [#] or lower that is in that area [OUTCOME].</t>
  </si>
  <si>
    <t>Shadow Blend</t>
  </si>
  <si>
    <t>As a bonus action while in dim light or darkness, the [MON] becomes invisible.</t>
  </si>
  <si>
    <t>Savage Move</t>
  </si>
  <si>
    <t>As a bonus action, the [MON] can make one attack against a surprised creature.</t>
  </si>
  <si>
    <t>Knocked Unconscious by 0 Ability Score</t>
  </si>
  <si>
    <t>If this reduces an ability score to 0, the creature is unconscious [DURATION].</t>
  </si>
  <si>
    <t>Save with One Target Effect</t>
  </si>
  <si>
    <t>Wisdom</t>
  </si>
  <si>
    <t>Save with One Outcome</t>
  </si>
  <si>
    <t>Infected</t>
  </si>
  <si>
    <t>Water Protection</t>
  </si>
  <si>
    <t>The [MON has advantage on Dexterity (Stealth) checks while submerged in water.</t>
  </si>
  <si>
    <t>Speak with Beasts and Plants</t>
  </si>
  <si>
    <t>The [MON] can communicate with beasts and plants as if they shared a language.</t>
  </si>
  <si>
    <t>Air Form</t>
  </si>
  <si>
    <t>The [MON] can move through a space as narrow as [#] ft wide without squeezing.</t>
  </si>
  <si>
    <t>Elevated Air Form</t>
  </si>
  <si>
    <t>The [MON] can move through a space as narrow as 1 inch wide without squeezing.</t>
  </si>
  <si>
    <t>Air Senses</t>
  </si>
  <si>
    <t>The [MON] can't use its blindsight while underwater or in an area without air.</t>
  </si>
  <si>
    <t>The [MON] gains hit points equal to the single highest amount of damage dealt.</t>
  </si>
  <si>
    <t>Ambusher</t>
  </si>
  <si>
    <t>The [MON] has advantage on attack rolls against any creature it has surprised.</t>
  </si>
  <si>
    <t>Keen Touch</t>
  </si>
  <si>
    <t>The [MON] has advantage on Wisdom (Perception) checks that rely on vibrations.</t>
  </si>
  <si>
    <t>Collective Perception</t>
  </si>
  <si>
    <t>The [MON] is aware of everything each other [MON] within [#] ft of it notices.</t>
  </si>
  <si>
    <t>Water Jet Line</t>
  </si>
  <si>
    <t>The [MON] shoots water in a [#] ft long jet that is [#] ft wide. [TGT_EFFECT].</t>
  </si>
  <si>
    <t>The [MON] transforms into a Small or Medium beast, or back into its true form.</t>
  </si>
  <si>
    <t>Mutagenic Venom</t>
  </si>
  <si>
    <t>This poison can only be cured by a greater restoration spell or similar magic.</t>
  </si>
  <si>
    <t>Steady Aim</t>
  </si>
  <si>
    <t>If the [MON] hasn't moved during its turn, it makes this attack with advantage.</t>
  </si>
  <si>
    <t>Incapcitation or Grapple Prevents</t>
  </si>
  <si>
    <t>If the [MON] is incapacitated or has a speed of 0, this trait doesn't function.</t>
  </si>
  <si>
    <t>If the [MON] or any of its allies damage an affected creature, the effect ends.</t>
  </si>
  <si>
    <t>Armor Protection</t>
  </si>
  <si>
    <t>Its armor becomes immune to spells and effects that target or affect the armor.</t>
  </si>
  <si>
    <t>Magical attempts to discern lies always report that the [MON]'s words are true.</t>
  </si>
  <si>
    <t>Photographic Memory</t>
  </si>
  <si>
    <t>The [MON] can perfectly recall anything it has seen or heard in the last month.</t>
  </si>
  <si>
    <t>Engulf the Helpless</t>
  </si>
  <si>
    <t>Consuming, Restraint Effect, Unconsciousness Effect</t>
  </si>
  <si>
    <t>The [MON] consumes all restrained or unconscious creatures within [#] ft of it.</t>
  </si>
  <si>
    <t>Utterly Silent</t>
  </si>
  <si>
    <t>The [MON] doesn't make a sound and has advantage on Dexterity (Stealth) checks.</t>
  </si>
  <si>
    <t>The [MON] gains temporary hit points equal to half the [DMG_TYPE] damage dealt.</t>
  </si>
  <si>
    <t>The [MON] has advantage on attack rolls against any creature sharing its space.</t>
  </si>
  <si>
    <t>Druidic Vengeance</t>
  </si>
  <si>
    <t>The [MON] has advantage on attacks against the creature it was created to kill.</t>
  </si>
  <si>
    <t>Sand and Swamp Stealth</t>
  </si>
  <si>
    <t>The [MON] has advantage on Dexterity (Stealth) checks in sand or swamp terrain.</t>
  </si>
  <si>
    <t>Bone Camouflage</t>
  </si>
  <si>
    <t>The [MON] has advantage on Dexterity (Stealth) checks made to hide among bones.</t>
  </si>
  <si>
    <t>Sturdy Climber</t>
  </si>
  <si>
    <t>The [MON] has advantage on Strength (Athletics) checks to climb rocky surfaces.</t>
  </si>
  <si>
    <t>The [MON] is not hindered by cold weather, icy surfaces, snow, wind, or storms.</t>
  </si>
  <si>
    <t>All Hearing Friendly Creatures Within Range</t>
  </si>
  <si>
    <t>The [MON] targets each ally within [#] ft of it that can hear it. [TGT_EFFECT].</t>
  </si>
  <si>
    <t>One Creature on the Ground Within Range</t>
  </si>
  <si>
    <t>The [MON] targets one creature on the ground within [#] ft of it. [TGT_EFFECT].</t>
  </si>
  <si>
    <t>One Unconscious Humanoid or Giant In Its Space</t>
  </si>
  <si>
    <t>The [MON] targets one unconscious humanoid or giant in its space. [TGT_EFFECT].</t>
  </si>
  <si>
    <t>The [MON] transforms into Small or Medium humanoid, or back into its true form.</t>
  </si>
  <si>
    <t>Clurichaun's Luck</t>
  </si>
  <si>
    <t>The [MON]'s AC is equal to 10 + its Dexterity modifier + its Charisma modifier.</t>
  </si>
  <si>
    <t>Potent Poison</t>
  </si>
  <si>
    <t>The [MON]'s poison affects corporeal undead who are otherwise immune to poison.</t>
  </si>
  <si>
    <t>Until Separated by Planes</t>
  </si>
  <si>
    <t>until the [MON] is on a different plane of existence from the affected creature</t>
  </si>
  <si>
    <t>Woodland Stalker</t>
  </si>
  <si>
    <t>When in a forested area, the [MON] has advantage on Dexterity (Stealth) checks.</t>
  </si>
  <si>
    <t>Disadvantage if Frightened</t>
  </si>
  <si>
    <t>While frightened in this way, a creature has disadvantage on this saving throw.</t>
  </si>
  <si>
    <t>While grappling a creature, the [MON] can't use any attack other than this one.</t>
  </si>
  <si>
    <t>While in dim light or darkness, the [MON] adds its Charisma modifier to its AC.</t>
  </si>
  <si>
    <t>Consumption Effect, Limitation, Shapechanging</t>
  </si>
  <si>
    <t>While it has a creature consumed, the [MON] can't reduce its size below Medium.</t>
  </si>
  <si>
    <t>Love of Heavy Weapons</t>
  </si>
  <si>
    <t>While the [MON] can use heavy weapons, it has disadvantage while wielding them.</t>
  </si>
  <si>
    <t>Swim Disengage</t>
  </si>
  <si>
    <t>After doing so, the [MON] can swim [#] ft without provoking opportunity attacks.</t>
  </si>
  <si>
    <t>Any non-evil creature that starts its turn within [#] ft of the [MON] [OUTCOME].</t>
  </si>
  <si>
    <t>Prophetic Vision</t>
  </si>
  <si>
    <t>As a reaction, the [MON] gains advantage on one attack roll or one saving throw.</t>
  </si>
  <si>
    <t>Difficult terrain composed of ice or snow doesn't cost the [MON] extra movement.</t>
  </si>
  <si>
    <t>Advantage in Dim Light</t>
  </si>
  <si>
    <t>Advantage, Light, Weakness</t>
  </si>
  <si>
    <t>If the [MON] is in dim light, all creatures have advantage on this saving throw.</t>
  </si>
  <si>
    <t>Nonlethality</t>
  </si>
  <si>
    <t>Knockout, Nonlethal</t>
  </si>
  <si>
    <t>If this damage reduces a creature to 0 hit points, it is unconscious and stable.</t>
  </si>
  <si>
    <t>Friend to Darkness</t>
  </si>
  <si>
    <t>In darkness or dim light, the [MON] has advantage on Dexterity (Stealth) checks.</t>
  </si>
  <si>
    <t>Divination Immunity</t>
  </si>
  <si>
    <t>is immune to divination spells and effects that sense emotions or read thoughts.</t>
  </si>
  <si>
    <t>Retributive Glyph</t>
  </si>
  <si>
    <t>takes [#dX] [DMG_TYPE] damage each time it hits a creature with a weapon attack.</t>
  </si>
  <si>
    <t>Force (d8)</t>
  </si>
  <si>
    <t>Truespeak</t>
  </si>
  <si>
    <t>The [MON] can communicate with any living creature as if they shared a language.</t>
  </si>
  <si>
    <t>Ice Walk</t>
  </si>
  <si>
    <t>The [MON] can move across icy surfaces without needing to make an ability check.</t>
  </si>
  <si>
    <t>Reed Walk</t>
  </si>
  <si>
    <t>The [MON] can move across undergrowth or rivers without making an ability check.</t>
  </si>
  <si>
    <t>Bound Devotion</t>
  </si>
  <si>
    <t>The [MON] has disadvantage on attack rolls or ability checks against its master.</t>
  </si>
  <si>
    <t>Until Lesser Restored or Similar</t>
  </si>
  <si>
    <t>until the affected creature receives a lesser restoration spell or similar magic</t>
  </si>
  <si>
    <t>Camouflage</t>
  </si>
  <si>
    <t>Advantage, Attachment Effect</t>
  </si>
  <si>
    <t>While attached to a host, the [MON] has advantage on Dexterity (Stealth) checks.</t>
  </si>
  <si>
    <t>Choking Cloud</t>
  </si>
  <si>
    <t>Incapacitation Effect, Suffocating</t>
  </si>
  <si>
    <t>While incapacitated the creature is unable to breathe and coughs uncontrollably.</t>
  </si>
  <si>
    <t>Holy Fire</t>
  </si>
  <si>
    <t>A creature reduced to 0 hit points by this damage dies and its body is destroyed.</t>
  </si>
  <si>
    <t>Parry</t>
  </si>
  <si>
    <t>As a reaction, the [MON] adds [#] to its AC against one attack that would hit it.</t>
  </si>
  <si>
    <t>Attacks that push, trip, or grapple are made with disadvantage against the [MON].</t>
  </si>
  <si>
    <t>Hurl Flame</t>
  </si>
  <si>
    <t>catches on fire taking [#dX] [DMG_TYPE] damage at the start of each of its turns.</t>
  </si>
  <si>
    <t>Creatures grappled by the [MON] have disadvantage on rolls to escape the grapple.</t>
  </si>
  <si>
    <t>Rattle</t>
  </si>
  <si>
    <t>Each creature of the [MON]'s choice that could see the [MON]'s attack is rattled.</t>
  </si>
  <si>
    <t>Necrotizing Spores</t>
  </si>
  <si>
    <t>Each undead creature within [#] ft of the [MON] gains [#dX] temporary hit points.</t>
  </si>
  <si>
    <t>gains disadvantage on Intelligence-based checks, saving throws, and attack rolls.</t>
  </si>
  <si>
    <t>Outcome of Double Hit</t>
  </si>
  <si>
    <t>If a creature is hit by this attack twice in the same turn, the target [OUTCOME].</t>
  </si>
  <si>
    <t>If a water elemental dies in this way, its body becomes a [MON] [DURATION] later.</t>
  </si>
  <si>
    <t>One Adjacent Grappled Creature</t>
  </si>
  <si>
    <t>The [MON] targets one creature that is grappled and adjacent to it. [TGT_EFFECT].</t>
  </si>
  <si>
    <t>Swamp Rejuvenation</t>
  </si>
  <si>
    <t>If the [MON]'s corpse is reburied outside the swamp, this trait doesn't function.</t>
  </si>
  <si>
    <t>Two Types of Extra Damage</t>
  </si>
  <si>
    <t>Extra Damage, Variable Damage Type</t>
  </si>
  <si>
    <t>takes an extra [#dX] [DMG_TYPE] damage or [DMG_TYPE] damage (the [MON]'s choice).</t>
  </si>
  <si>
    <t>Necrotic (d8), Radiant (d8)</t>
  </si>
  <si>
    <t>Oceanic Recall</t>
  </si>
  <si>
    <t>The [MON] can perfectly recall any path it has traveled above or within an ocean.</t>
  </si>
  <si>
    <t>Firesight</t>
  </si>
  <si>
    <t>The [MON] can see through areas obscured by fire, smoke, and fog without penalty.</t>
  </si>
  <si>
    <t>Shadow Sneak</t>
  </si>
  <si>
    <t>The [MON] can use the Hide action even if obscured only by dim light or darkness.</t>
  </si>
  <si>
    <t>Commanding Strike</t>
  </si>
  <si>
    <t>The [MON] commands up to [#] allies to use their reactions to make melee attacks.</t>
  </si>
  <si>
    <t>The [MON] gets two extra reactions that can be used only for opportunity attacks.</t>
  </si>
  <si>
    <t>Water Mastery</t>
  </si>
  <si>
    <t>The [MON] has advantage on attack rolls if both it and its opponent are in water.</t>
  </si>
  <si>
    <t>Green Strider</t>
  </si>
  <si>
    <t>The [MON] ignores movement restrictions and damage caused by natural undergrowth.</t>
  </si>
  <si>
    <t>Speed Over Snow</t>
  </si>
  <si>
    <t>The [MON] is not affected by difficult terrain caused by snowy or icy conditions.</t>
  </si>
  <si>
    <t>Ominous Shadow</t>
  </si>
  <si>
    <t>The [MON] loses its Sunlight Sensitivity trait while within [#] ft of its master.</t>
  </si>
  <si>
    <t>One Sighted Creature Within Range</t>
  </si>
  <si>
    <t>The [MON] targets one creature within [#] ft of it that can see it. [TGT_EFFECT].</t>
  </si>
  <si>
    <t>One Visible Creature Within Range</t>
  </si>
  <si>
    <t>The [MON] targets one creature within [#] ft of it that it can see. [TGT_EFFECT].</t>
  </si>
  <si>
    <t>One Friendly Undead Within Range</t>
  </si>
  <si>
    <t>The [MON] targets one friendly undead creature within [#] ft of it. [TGT_EFFECT].</t>
  </si>
  <si>
    <t>One Visible Humanoid Within Range</t>
  </si>
  <si>
    <t>The [MON] targets one humanoid within [#] ft of it that it can see. [TGT_EFFECT].</t>
  </si>
  <si>
    <t>Humanoid, Beast, or True Form</t>
  </si>
  <si>
    <t>The [MON] transforms into a humanoid or beast or changes back into its true form.</t>
  </si>
  <si>
    <t>The [MON] transforms into a Small or Medium humanoid, or back into its true form.</t>
  </si>
  <si>
    <t>Lesser Restoration to Unblind</t>
  </si>
  <si>
    <t>The blindness can only be removed by a lesser restoration spell or similar magic.</t>
  </si>
  <si>
    <t>See It Coming Within Range</t>
  </si>
  <si>
    <t>To use this reaction, the [MON] must see the attacker and be within [#] ft of it.</t>
  </si>
  <si>
    <t>Until Ally Strength Check</t>
  </si>
  <si>
    <t>until an adjacent creature succeeds on a DC [SAVE_DC] Strength check as an action</t>
  </si>
  <si>
    <t>Until Greater Restored or Similar</t>
  </si>
  <si>
    <t>until the affected creature receives a greater restoration spell or similar magic</t>
  </si>
  <si>
    <t>Woodfriend</t>
  </si>
  <si>
    <t>When in a forest, the [MON] leaves no tracks and always knows which way is north.</t>
  </si>
  <si>
    <t>Dwarven Fleet Foot</t>
  </si>
  <si>
    <t>When the [MON] takes [DMG_TYPE] damage, its speed increases by [#] ft [DURATION].</t>
  </si>
  <si>
    <t>Distress Spores</t>
  </si>
  <si>
    <t>When the [MON] takes damage, all other [MON]s within [#] ft of it sense its pain.</t>
  </si>
  <si>
    <t>Thin As Light</t>
  </si>
  <si>
    <t>While a [MON] is not incorporeal, it can pass through any opening that light can.</t>
  </si>
  <si>
    <t>Limiting Attachment</t>
  </si>
  <si>
    <t>While attached to a creature, the [MON] can't make attacks against that creature.</t>
  </si>
  <si>
    <t>Can't Attack Other Targets</t>
  </si>
  <si>
    <t>Can't Attack Other Targets, Grapple Effect</t>
  </si>
  <si>
    <t>While grappling a creature, the [MON] can only attack a creature it has grappled.</t>
  </si>
  <si>
    <t>Forest Quickness</t>
  </si>
  <si>
    <t>While in forest surroundings, a [MON] receives a +[#] bonus on initiative checks.</t>
  </si>
  <si>
    <t>Sunlight Weakness</t>
  </si>
  <si>
    <t>While in sunlight, the [MON] has disadvantage on attack rolls and ability checks.</t>
  </si>
  <si>
    <t>Total Cover if Consumed</t>
  </si>
  <si>
    <t>A consumed creature has total cover against attacks and effects outside the [MON].</t>
  </si>
  <si>
    <t>Obligatory Failure</t>
  </si>
  <si>
    <t>A creature under an obligation to the [MON] automatically fails this saving throw.</t>
  </si>
  <si>
    <t>Entomb</t>
  </si>
  <si>
    <t>is entombed 5 ft under the earth [DURATION]. While entombed, the target [OUTCOME].</t>
  </si>
  <si>
    <t>Special Senses Prevent</t>
  </si>
  <si>
    <t>Creatures with blindsight, tremorsense, or truesight are unaffected by this trait.</t>
  </si>
  <si>
    <t>Outcome of Knockout</t>
  </si>
  <si>
    <t>If the [DMG_TYPE] damage reduces the target to 0 hit points, the target [OUTCOME].</t>
  </si>
  <si>
    <t>Poison (Other)</t>
  </si>
  <si>
    <t>Rapid Recovery</t>
  </si>
  <si>
    <t>If the [MON] goes [DURATION] without taking damage, it is restored to full health.</t>
  </si>
  <si>
    <t>Sneak Attack</t>
  </si>
  <si>
    <t>If the [MON] has advantage on the attack roll it deals an additional [#dX] damage.</t>
  </si>
  <si>
    <t>Sunlight Interference</t>
  </si>
  <si>
    <t>If the [MON] is exposed to sunlight, this trait doesn't function on its next turn.</t>
  </si>
  <si>
    <t>Burn at the End of Your Turn</t>
  </si>
  <si>
    <t>ignites. The target takes [#dX] [DMG_TYPE] damage at the end of each of its turns.</t>
  </si>
  <si>
    <t>Unarmed Strike</t>
  </si>
  <si>
    <t>Instead of dealing damage, the [MON] can grapple the target (escape DC [SAVE_DC]).</t>
  </si>
  <si>
    <t>The [MON] can move through a space as narrow as [#] inches wide without squeezing.</t>
  </si>
  <si>
    <t>Hazesight</t>
  </si>
  <si>
    <t>The [MON] can see through areas obscured by fog, smoke, and steam without penalty.</t>
  </si>
  <si>
    <t>Detect Life</t>
  </si>
  <si>
    <t>The [MON] can sense the general direction to living creatures within 1 mile of it.</t>
  </si>
  <si>
    <t>Forbiddance</t>
  </si>
  <si>
    <t>The [MON] can't enter a residence without an invitation from one of the occupants.</t>
  </si>
  <si>
    <t>Jungle Stealth</t>
  </si>
  <si>
    <t>The [MON] has advantage on Dexterity (Stealth) checks in forest or jungle terrain.</t>
  </si>
  <si>
    <t>Magic Resistance Tattoos</t>
  </si>
  <si>
    <t>The [MON] has advantage on saving throws against spells and other magical effects.</t>
  </si>
  <si>
    <t>Dwarven Resistance</t>
  </si>
  <si>
    <t>The [MON] has advantage on saving throws made to resist to resist being paralyzed.</t>
  </si>
  <si>
    <t>Keen Sight and Smell</t>
  </si>
  <si>
    <t>The [MON] has advantage on Wisdom (Perception) checks that rely on sight or smell.</t>
  </si>
  <si>
    <t>All Creatures In Its Space or Within Range</t>
  </si>
  <si>
    <t>The [MON] targets each creature in its space or within [#] ft of it. [TGT_EFFECT].</t>
  </si>
  <si>
    <t>All Sighted Creatures Within Range</t>
  </si>
  <si>
    <t>The [MON] targets each creature within [#] ft of it that can see it. [TGT_EFFECT].</t>
  </si>
  <si>
    <t>One Hearing Creature Within Range</t>
  </si>
  <si>
    <t>The [MON] targets one creature within [#] ft of it that can hear it. [TGT_EFFECT].</t>
  </si>
  <si>
    <t>The [MON] transforms into one or more alternate forms, or back into its true form.</t>
  </si>
  <si>
    <t>Undead and fiends have disadvantage on ability checks made to escape this grapple.</t>
  </si>
  <si>
    <t>Until Resting After Poisoning Ends</t>
  </si>
  <si>
    <t>until the affected creature finishes a long rest after the poisoned condition ends</t>
  </si>
  <si>
    <t>Until Dispel Evil and Good or Similar</t>
  </si>
  <si>
    <t>until the affected creature receives a dispel evil and good spell or similar magic</t>
  </si>
  <si>
    <t>Freeze</t>
  </si>
  <si>
    <t>Speed Change, Weakness</t>
  </si>
  <si>
    <t>When the [MON] takes [DMG_TYPE] damage, its speed is reduced by [#] ft [DURATION].</t>
  </si>
  <si>
    <t>White Ghost Shivers</t>
  </si>
  <si>
    <t>Exhausting, Infection Effect</t>
  </si>
  <si>
    <t>While infected in this way, a creature immediately gains [#] levels of exhaustion.</t>
  </si>
  <si>
    <t>A creature hostile to the [MON] that starts its turn within [#] ft of it [OUTCOME].</t>
  </si>
  <si>
    <t>Acid Essence</t>
  </si>
  <si>
    <t>A creature that starts its turn in the [MON]'s space takes [#dX] [DMG_TYPE] damage.</t>
  </si>
  <si>
    <t>Acid (d6)</t>
  </si>
  <si>
    <t>Faerie Light</t>
  </si>
  <si>
    <t>As a bonus action, the [MON] can cast dim light for [#] ft, or extinguish its glow.</t>
  </si>
  <si>
    <t>Call of the Grave</t>
  </si>
  <si>
    <t>Aura, Expanded Crit Range</t>
  </si>
  <si>
    <t>Attacks made within [#] ft of the [MON] score a critical hit on a roll of 19 or 20.</t>
  </si>
  <si>
    <t>Aura of the Forgotten</t>
  </si>
  <si>
    <t>Aura, Disadvantage</t>
  </si>
  <si>
    <t>Beasts and humanoids within [#] ft of the [MON] have disadvantage on saving throws.</t>
  </si>
  <si>
    <t>can use its reaction to move up to half its speed and make one melee weapon attack.</t>
  </si>
  <si>
    <t>Creatures with an Intelligence score of [#] or less are unaffected by this ability.</t>
  </si>
  <si>
    <t>Spare the Intelligent</t>
  </si>
  <si>
    <t>Creatures with an Intelligence score of [#] or more are unaffected by this ability.</t>
  </si>
  <si>
    <t>Stone Walk</t>
  </si>
  <si>
    <t>Difficult terrain composed of earth or stone doesn't cost the [MON] extra movement.</t>
  </si>
  <si>
    <t>Destroyed by Water</t>
  </si>
  <si>
    <t>If the [MON] becomes entirely submerged in water, it dissipates and dies instantly.</t>
  </si>
  <si>
    <t>Spare the Consumed</t>
  </si>
  <si>
    <t>The [MON] can choose not to deal damage to a consumed creature, no action required.</t>
  </si>
  <si>
    <t>Heatsense</t>
  </si>
  <si>
    <t>The [MON] can pinpoint the location of creatures emitting heat within [#] ft of it.</t>
  </si>
  <si>
    <t>Arcane Sense</t>
  </si>
  <si>
    <t>The [MON] can pinpoint, by scent, the location of spellcasters within [#] ft of it.</t>
  </si>
  <si>
    <t>The [MON] can sense the general direction to living creatures within 5 miles of it.</t>
  </si>
  <si>
    <t>Vanishing Tantrum</t>
  </si>
  <si>
    <t>The [MON] can then move up to half its speed without provoking opportunity attacks.</t>
  </si>
  <si>
    <t>Read Scroll</t>
  </si>
  <si>
    <t>The [MON] casts a spell from a magical scroll without expending the scroll's magic.</t>
  </si>
  <si>
    <t>Non-Regenerative Death</t>
  </si>
  <si>
    <t>The [MON] dies only if it starts its turn with 0 hit points and doesn't regenerate.</t>
  </si>
  <si>
    <t>Perfect Landing</t>
  </si>
  <si>
    <t>The [MON] doesn't take damage from falling and is never knocked prone from falling.</t>
  </si>
  <si>
    <t>Fascinating Lure</t>
  </si>
  <si>
    <t>The [MON] has advantage on attack rolls against any creature petting or holding it.</t>
  </si>
  <si>
    <t>Might of Giants</t>
  </si>
  <si>
    <t>The [MON] is considered Large for the purpose of determining its carrying capacity.</t>
  </si>
  <si>
    <t>All Hearing Creatures Within Range</t>
  </si>
  <si>
    <t>The [MON] targets each creature within [#] ft of it that can hear it. [TGT_EFFECT].</t>
  </si>
  <si>
    <t>Hearty</t>
  </si>
  <si>
    <t>The [MON]'s AC is equal to 10 + its Dexterity modifier + its Constitution modifier.</t>
  </si>
  <si>
    <t>The target's hit point max is reduced by an amount equal to the total damage taken.</t>
  </si>
  <si>
    <t>Prone Damage</t>
  </si>
  <si>
    <t>Extra Damage, Prone Effect</t>
  </si>
  <si>
    <t>This attack deals an extra [#dX] [DMG_TYPE] damage if the target was already prone.</t>
  </si>
  <si>
    <t>Bludgeoning (d8)</t>
  </si>
  <si>
    <t>Swarm Attack</t>
  </si>
  <si>
    <t>This attack deals half as much damage if the [MON] has half its hit points or less.</t>
  </si>
  <si>
    <t>Diseased Spit</t>
  </si>
  <si>
    <t>Exhaustion Effect, Infection Ending</t>
  </si>
  <si>
    <t>This disease ends when an infected creature no longer has any levels of exhaustion.</t>
  </si>
  <si>
    <t>Captivating Gaze</t>
  </si>
  <si>
    <t>This effect ends early if an affected creature can no longer see or hear the [MON].</t>
  </si>
  <si>
    <t>Water Dependent</t>
  </si>
  <si>
    <t>To use this reaction, the [MON] must be within [#] ft of a gallon or more of water.</t>
  </si>
  <si>
    <t>Exempt the Grappled</t>
  </si>
  <si>
    <t>While grappled in this way, a creature is not affected by the [MON]'s Aura of Wind.</t>
  </si>
  <si>
    <t>Fire Step</t>
  </si>
  <si>
    <t>While standing in fire, the [MON] can teleport up to [#] ft to a space within fire.</t>
  </si>
  <si>
    <t>Consumption Effect, Ongoing Damage</t>
  </si>
  <si>
    <t>A consumed creature takes [#dX] [DMG_TYPE] damage at the start of each of its turns.</t>
  </si>
  <si>
    <t>Piscine Curse</t>
  </si>
  <si>
    <t>A creature that consumes any amount of the flesh of a [MON] is automatically cursed.</t>
  </si>
  <si>
    <t>A creature that starts its turn within [#] ft of the [MON] and can see it [OUTCOME].</t>
  </si>
  <si>
    <t>A creature that succeeds on two saving throws against this disease recovers from it.</t>
  </si>
  <si>
    <t>Outcome for Nearby Creature</t>
  </si>
  <si>
    <t>A second creature of the [MON]'s choice within [#] ft of the first target [OUTCOME].</t>
  </si>
  <si>
    <t>All creatures have resistance to [DMG_TYPE] damage while within [#] ft of the [MON].</t>
  </si>
  <si>
    <t>Slow Fall</t>
  </si>
  <si>
    <t>As a reaction when the [MON] takes falling damage, it may reduce the damage by half.</t>
  </si>
  <si>
    <t>At the start of each of its turns, the [MON] can choose whether this aura is active.</t>
  </si>
  <si>
    <t>Each ally within [#] ft of the [MON] has advantage on saving throws against disease.</t>
  </si>
  <si>
    <t>Dirge</t>
  </si>
  <si>
    <t>gains disadvantage on saving throws against being poisoned or contracting a disease.</t>
  </si>
  <si>
    <t>Petty Mockery</t>
  </si>
  <si>
    <t>gains disadvantage on the next attack roll it makes before the end of its next turn.</t>
  </si>
  <si>
    <t>Approaching, Charm Ending</t>
  </si>
  <si>
    <t>If a charmed creature can't find a safe route to the [MON], the charmed effect ends.</t>
  </si>
  <si>
    <t>Burn at the Start of Your Turn</t>
  </si>
  <si>
    <t>ignites. The target takes [#dX] [DMG_TYPE] damage at the start of each of its turns.</t>
  </si>
  <si>
    <t>Delayed Onset</t>
  </si>
  <si>
    <t>It takes [DURATION] for this disease's symptoms to manifest in an infected creature.</t>
  </si>
  <si>
    <t>Speak with Swamp Beasts</t>
  </si>
  <si>
    <t>The [MON] can communicate with beasts native to swamps as if they shared a language.</t>
  </si>
  <si>
    <t>The [MON] can dash while on the surface of water, but not while on land or climbing.</t>
  </si>
  <si>
    <t>Ventriloquist</t>
  </si>
  <si>
    <t>The [MON] can make its voice appear to originate from any point within [#] ft of it.</t>
  </si>
  <si>
    <t>The [MON] can move at full speed while carrying grappled creatures inside its space.</t>
  </si>
  <si>
    <t>Iron Scent</t>
  </si>
  <si>
    <t>The [MON] can pinpoint, by scent, the location of ferrous metal within [#] ft of it.</t>
  </si>
  <si>
    <t>Vampire Weaknesses</t>
  </si>
  <si>
    <t>The [MON] can't use this ability if it is in contact with sunlight or running water.</t>
  </si>
  <si>
    <t>Stone Camouflage</t>
  </si>
  <si>
    <t>The [MON] has advantage on Dexterity (Stealth) checks made to hide in rocky terrain.</t>
  </si>
  <si>
    <t>Sand Camouflage</t>
  </si>
  <si>
    <t>The [MON] has advantage on Dexterity (Stealth) checks made to hide in sandy terrain.</t>
  </si>
  <si>
    <t>Snow Camouflage</t>
  </si>
  <si>
    <t>The [MON] has advantage on Dexterity (Stealth) checks made to hide in snowy terrain.</t>
  </si>
  <si>
    <t>Skilled Submariner</t>
  </si>
  <si>
    <t>The [MON] has advantage on Dexterity (Stealth) checks made to hide while underwater.</t>
  </si>
  <si>
    <t>Dedicated Warrior</t>
  </si>
  <si>
    <t>The [MON] has advantage on saving throws made to resist being charmed or frightened.</t>
  </si>
  <si>
    <t>Keen Hearing and Sight</t>
  </si>
  <si>
    <t>The [MON] has advantage on Wisdom (Perception) checks that rely on hearing or sight.</t>
  </si>
  <si>
    <t>Keen Hearing and Smell</t>
  </si>
  <si>
    <t>The [MON] has advantage on Wisdom (Perception) checks that rely on hearing or smell.</t>
  </si>
  <si>
    <t>The [MON] has disadvantage on Dexterity (Acrobatics) and Dexterity (Stealth) checks.</t>
  </si>
  <si>
    <t>The [MON] has resistance to damage from nonmagical attacks while submerged in water.</t>
  </si>
  <si>
    <t>Local Spirit</t>
  </si>
  <si>
    <t>The [MON] is destroyed if it travels more than a mile from the place it was created.</t>
  </si>
  <si>
    <t>Object Push</t>
  </si>
  <si>
    <t>Unsecured objects weighing 300 pounds or less are pushed [#] ft away from the [MON].</t>
  </si>
  <si>
    <t>Shroud Stealth</t>
  </si>
  <si>
    <t>When in dim light or darkness, the [MON] can take the Hide action as a bonus action.</t>
  </si>
  <si>
    <t>Death Burst</t>
  </si>
  <si>
    <t>When the [MON] dies, its Spark Form recharges, and the [MON] uses it before it dies.</t>
  </si>
  <si>
    <t>Nine Lives</t>
  </si>
  <si>
    <t>When the [MON] would be reduced to 0 hit points, it instead drops to [#] hit points.</t>
  </si>
  <si>
    <t>Turncoat Charm</t>
  </si>
  <si>
    <t>Betraying, Charm Effect</t>
  </si>
  <si>
    <t>While charmed in this way, a creature regards one randomly determined ally as a foe.</t>
  </si>
  <si>
    <t>Natural Appearance</t>
  </si>
  <si>
    <t>While the [MON] remains motionless, it is indistinguishable from an ordinary fungus.</t>
  </si>
  <si>
    <t>Fiery Aura</t>
  </si>
  <si>
    <t>A creature that ends its turn within [#] ft of a [MON] takes [#dX] [DMG_TYPE] damage.</t>
  </si>
  <si>
    <t>Extra Attack</t>
  </si>
  <si>
    <t>After doing so, the [MON] can make one additional attack as part of that same action.</t>
  </si>
  <si>
    <t>Strength and Dexterity Disadvantage</t>
  </si>
  <si>
    <t>gains disadvantage on attack rolls and ability checks based on Strength or Dexterity.</t>
  </si>
  <si>
    <t>Consuming Knockout</t>
  </si>
  <si>
    <t>If a creature is reduced to 0 hit points by this attack, it is consumed by the [MON].</t>
  </si>
  <si>
    <t>Heroic Aura</t>
  </si>
  <si>
    <t>If the [MON] is in the area of an antimagic field spell, this trait doesn't function.</t>
  </si>
  <si>
    <t>Leaping Withdraw</t>
  </si>
  <si>
    <t>If the [MON] leaps out of a creature's reach, it doesn't provoke opportunity attacks.</t>
  </si>
  <si>
    <t>The [MON] becomes petrified after [DURATION] of exposure to direct, natural sunlight.</t>
  </si>
  <si>
    <t>Icy Scales</t>
  </si>
  <si>
    <t>The [MON] has advantage on ability checks and saving throws made to escape a grapple.</t>
  </si>
  <si>
    <t>Desert Camouflage</t>
  </si>
  <si>
    <t>The [MON] has advantage on Dexterity (Stealth) checks made to hide in desert terrain.</t>
  </si>
  <si>
    <t>Forest Camouflage</t>
  </si>
  <si>
    <t>The [MON] has advantage on Dexterity (Stealth) checks made to hide in forest terrain.</t>
  </si>
  <si>
    <t>Jungle Camouflage</t>
  </si>
  <si>
    <t>The [MON] has advantage on Dexterity (Stealth) checks made to hide in jungle terrain.</t>
  </si>
  <si>
    <t>Swamp Camouflage</t>
  </si>
  <si>
    <t>The [MON] has advantage on Dexterity (Stealth) checks made to hide in swampy terrain.</t>
  </si>
  <si>
    <t>Turn Resistance</t>
  </si>
  <si>
    <t>The [MON] has advantage on saving throws made to resist any effect that turns undead.</t>
  </si>
  <si>
    <t>The [MON] imposes disadvantage on an attack roll against an ally within [#] ft of it.</t>
  </si>
  <si>
    <t>Beast of Burden</t>
  </si>
  <si>
    <t>The [MON] is considered to be one size larger when determining its carrying capacity.</t>
  </si>
  <si>
    <t>Smoky Constitution</t>
  </si>
  <si>
    <t>Vulnerability to Sunlight</t>
  </si>
  <si>
    <t>The [MON] takes [#] [DMG_TYPE] damage for every [DURATION] it is exposed to sunlight.</t>
  </si>
  <si>
    <t>Selected Visible Friendly Creatures Within Range</t>
  </si>
  <si>
    <t>The [MON] targets up to [#] allies within [#] ft of it that it can see. [TGT_EFFECT].</t>
  </si>
  <si>
    <t>The [MON] transforms into a Medium beast-humanoid hybrid, or back into its true form.</t>
  </si>
  <si>
    <t>To use this reaction, the [MON] must see the attacker and be wielding a melee weapon.</t>
  </si>
  <si>
    <t>Crit to End a Curse</t>
  </si>
  <si>
    <t>When a cursed creature rolls a 20 on an attack roll or ability check, the curse ends.</t>
  </si>
  <si>
    <t>Aquatic Ambush</t>
  </si>
  <si>
    <t>When the [MON] is submerged in water, it has advantage on Dexterity (Stealth) checks.</t>
  </si>
  <si>
    <t>While grappled in this way, a creature has disadvantage on checks to end the grapple.</t>
  </si>
  <si>
    <t>Mounting Grapple</t>
  </si>
  <si>
    <t>While grappling a creature, the [MON]'s speed becomes 0 and it moves with its target.</t>
  </si>
  <si>
    <t>Shadow Stealth</t>
  </si>
  <si>
    <t>While in dim light or darkness, the [MON] can take the Hide action as a bonus action.</t>
  </si>
  <si>
    <t>Harmful Restraints</t>
  </si>
  <si>
    <t>Ongoing Damage, Restraint Effect</t>
  </si>
  <si>
    <t>A restrained creature takes [#dX] [DMG_TYPE] damage at the start of each of its turns.</t>
  </si>
  <si>
    <t>Necrotic (d6)</t>
  </si>
  <si>
    <t>Corrupted Art</t>
  </si>
  <si>
    <t>Healing, Temporary Healing</t>
  </si>
  <si>
    <t>Any healing that exceeds the target's hit point max is gained as temporary hit points.</t>
  </si>
  <si>
    <t>Sacred Flame Breath</t>
  </si>
  <si>
    <t>Area, Magic Disrupting</t>
  </si>
  <si>
    <t>Any spell of level [#] or lower that is centered on a point in that area is dispelled.</t>
  </si>
  <si>
    <t>Shift and Tumble</t>
  </si>
  <si>
    <t>Prone Effect, Pushing</t>
  </si>
  <si>
    <t>As a bonus action, the [MON] can push a prone creature whose space it occupies [#] ft.</t>
  </si>
  <si>
    <t>As a reaction when the [MON] is hit by an opportunity attack, it makes a melee attack.</t>
  </si>
  <si>
    <t>Shifting Sands</t>
  </si>
  <si>
    <t>As a reaction when the [MON] takes damage, it can reduce the damage it takes by [#dX].</t>
  </si>
  <si>
    <t>Ongoing Damage if Grappled</t>
  </si>
  <si>
    <t>Grapple Effect, Ongoing Damage</t>
  </si>
  <si>
    <t>At the start of each of a grappled creature's turns, it takes [#dX] [DMG_TYPE] damage.</t>
  </si>
  <si>
    <t>Poison (d6)</t>
  </si>
  <si>
    <t>Fragile Disadvantage</t>
  </si>
  <si>
    <t>Creatures and objects made of glass or crystal have disadvantage on this saving throw.</t>
  </si>
  <si>
    <t>Charm-Immune Auto Succeed</t>
  </si>
  <si>
    <t>Creatures that are immune to being charmed automatically succeed on this saving throw.</t>
  </si>
  <si>
    <t>Difficult terrain caused by undergrowth or rivers doesn't cost the [MON] extra moment.</t>
  </si>
  <si>
    <t>Difficult terrain composed of nonmagical plants doesn't cost the [MON] extra movement.</t>
  </si>
  <si>
    <t>Infecting Charm</t>
  </si>
  <si>
    <t>Charm Effect, Infecting</t>
  </si>
  <si>
    <t>If a creature stays charmed for the full duration, it becomes infected with [DISEASE].</t>
  </si>
  <si>
    <t>Imperial Conscription</t>
  </si>
  <si>
    <t>If an infected creature's hit point max is reduced, this reduction remains [DURATION].</t>
  </si>
  <si>
    <t>Imprison</t>
  </si>
  <si>
    <t>If any of the triggering damage is [DMG_TYPE], the [MON] has disadvantage on the save.</t>
  </si>
  <si>
    <t>Stone Armor</t>
  </si>
  <si>
    <t>If the [MON] is touching stone, it can grant itself a +[#] bonus to its AC [DURATION].</t>
  </si>
  <si>
    <t>Stop Flying</t>
  </si>
  <si>
    <t>If the target is flying without the aid of magic, it immediately falls out of the air.</t>
  </si>
  <si>
    <t>Healed by Killing</t>
  </si>
  <si>
    <t>If this damage reduces a creature to 0 hit points, the [MON] regains [#dX] hit points.</t>
  </si>
  <si>
    <t>Slam</t>
  </si>
  <si>
    <t>Pushing, Toppling</t>
  </si>
  <si>
    <t>is pushed up to [#] ft away, falling prone if it impacts a wall or other solid object.</t>
  </si>
  <si>
    <t>The [MON] and its light become invisible [DURATION] or until it uses its Consume Life.</t>
  </si>
  <si>
    <t>Shark Telepathy</t>
  </si>
  <si>
    <t>The [MON] can convey simple commands to any shark within [#] ft of it using telepathy.</t>
  </si>
  <si>
    <t>The [MON] can't be frightened while it can see an allied creature within [#] ft of it.</t>
  </si>
  <si>
    <t>Locked Saddle</t>
  </si>
  <si>
    <t>The [MON] can't be knocked prone, dismounted, or moved against its will while mounted.</t>
  </si>
  <si>
    <t>Immunity</t>
  </si>
  <si>
    <t>The [MON] is immune to one damage type dealt by their draconic master's breath weapon.</t>
  </si>
  <si>
    <t>The [MON] is petrified if it starts its turn with 0 hit points and doesn't regenerate.</t>
  </si>
  <si>
    <t>One Visible Undead Under Its Control</t>
  </si>
  <si>
    <t>The [MON] targets one undead creature under its control that it can see. [TGT_EFFECT].</t>
  </si>
  <si>
    <t>The [MON] transforms into Medium humanoid, a Small mist cloud, or back into true form.</t>
  </si>
  <si>
    <t>Trap Life</t>
  </si>
  <si>
    <t>When the [MON] dies, a consumed creature is released into a space within [#] ft of it.</t>
  </si>
  <si>
    <t>Harvest Life</t>
  </si>
  <si>
    <t>When the [MON] reduces a creature to 0 hit points, the [MON] regains [#dX] hit points.</t>
  </si>
  <si>
    <t>Spellcasting Multiattack</t>
  </si>
  <si>
    <t>When the [MON] uses Multiattack, it can replace one attack with a use of spellcasting.</t>
  </si>
  <si>
    <t>Fire Hazard</t>
  </si>
  <si>
    <t>While burning, the [MON]'s vomit tar action is a [#] ft cone that ignites immediately.</t>
  </si>
  <si>
    <t>While charmed in this way, a creature obeys the [MON]'s verbal or telepathic commands.</t>
  </si>
  <si>
    <t>Magical Light Sensitivity</t>
  </si>
  <si>
    <t>While in magical light, the [MON] has disadvantage on attack rolls and ability checks.</t>
  </si>
  <si>
    <t>Ongoing Damage if Poisoned</t>
  </si>
  <si>
    <t>Ongoing Damage, Poison Effect</t>
  </si>
  <si>
    <t>While poisoned in this way, a creature takes [#dX] [DMG_TYPE] damage every [DURATION].</t>
  </si>
  <si>
    <t>Vegetative Clone</t>
  </si>
  <si>
    <t>A vegetative clone sprouts in a space adjacent to the target under the [MON]'s control.</t>
  </si>
  <si>
    <t>Form Swap</t>
  </si>
  <si>
    <t>As a bonus action, the [MON] can alter between its material and ethereal forms at will.</t>
  </si>
  <si>
    <t>Melee Parry</t>
  </si>
  <si>
    <t>As a reaction, the [MON] adds [#] to its AC against one melee attack that would hit it.</t>
  </si>
  <si>
    <t>Each creature of the [MON]'s choice within [#] ft of it can't be charmed or frightened.</t>
  </si>
  <si>
    <t>If the [MON] hits a creature twice with this attack in one round, the target [OUTCOME].</t>
  </si>
  <si>
    <t>Detach from Host</t>
  </si>
  <si>
    <t>If the [MON] is attached to a host when it uses this action, it automatically detaches.</t>
  </si>
  <si>
    <t>Fed by Darkness</t>
  </si>
  <si>
    <t>If the [MON] starts its turn in an area of magical darkness, it regains [#] hit points.</t>
  </si>
  <si>
    <t>Claw</t>
  </si>
  <si>
    <t>it takes an additional [#dX] [DMG_TYPE] damage, and heals the [MON] by an equal amount.</t>
  </si>
  <si>
    <t>Extinguishing Aura</t>
  </si>
  <si>
    <t>Nonmagical flames within [#] ft of the [MON] are extinguished at the start of its turn.</t>
  </si>
  <si>
    <t>Ethereal Shift</t>
  </si>
  <si>
    <t>The [MON] and a rider pass from the Ethereal Plane to the Material Plane or vice versa.</t>
  </si>
  <si>
    <t>Serpentine Mind</t>
  </si>
  <si>
    <t>The [MON] can command any snake within [#] ft of it, using a limited form of telepathy.</t>
  </si>
  <si>
    <t>Ravenous</t>
  </si>
  <si>
    <t>The [MON] can make opportunity attacks against creatures who take the Disengage action.</t>
  </si>
  <si>
    <t>Blood Sense</t>
  </si>
  <si>
    <t>The [MON] can pinpoint, by scent, the location of living creatures within [#] ft of it.</t>
  </si>
  <si>
    <t>Mosquito-Proof</t>
  </si>
  <si>
    <t>The [MON] can't be subjected to blood drain from mosquitos and mosquito-like creatures.</t>
  </si>
  <si>
    <t>Hive Mind</t>
  </si>
  <si>
    <t>The [MON] can't be surprised if at least one [MON] it can see or hear is not surprised.</t>
  </si>
  <si>
    <t>The [MON] has advantage on ability checks and saves to resist or escape being grappled.</t>
  </si>
  <si>
    <t>Transparent</t>
  </si>
  <si>
    <t>The [MON] has advantage on Dexterity (Stealth) checks while motionless or in dim light.</t>
  </si>
  <si>
    <t>Transparency</t>
  </si>
  <si>
    <t>The [MON] has advantage on Dexterity (Stealth) checks while underwater or in dim light.</t>
  </si>
  <si>
    <t>Razor Line</t>
  </si>
  <si>
    <t>The [MON] has advantage on melee attacks against a grappled creature in the same space.</t>
  </si>
  <si>
    <t>Blessings of the Sea Gods</t>
  </si>
  <si>
    <t>The [MON] has advantage on saving throws while flying over or swimming in ocean waters.</t>
  </si>
  <si>
    <t>The [MON] is larger than most Gargantuan creatures, occupying a space of [#] by [#] ft.</t>
  </si>
  <si>
    <t>Equipment Status</t>
  </si>
  <si>
    <t>The [MON] may choose whether equipment it wears or carries is invisible with it or not.</t>
  </si>
  <si>
    <t>The [MON] sheds bright light in a [#] ft radius and dim light for an additional [#] ft.</t>
  </si>
  <si>
    <t>Through Grass and Sheaves</t>
  </si>
  <si>
    <t>The [MON]'s speed is doubled when traveling over grassy areas or through planted crops.</t>
  </si>
  <si>
    <t>Fey Blood</t>
  </si>
  <si>
    <t>The [MON]'s type is considered to be both plant and fey for any effect related to type.</t>
  </si>
  <si>
    <t>Laborious Strike</t>
  </si>
  <si>
    <t>The second time the [MON] uses this attack in a turn, the attack roll has disadvantage.</t>
  </si>
  <si>
    <t>Undo Effect</t>
  </si>
  <si>
    <t>This effect can be reversed with a greater restoration spell if cast within [DURATION].</t>
  </si>
  <si>
    <t>Unless otherwise noted, the [MON] can't regain hit points or gain temporary hit points.</t>
  </si>
  <si>
    <t>Until Ally's Action Used</t>
  </si>
  <si>
    <t>until a creature within reach of the affected creature uses an action to end the effect</t>
  </si>
  <si>
    <t>Mounting Attachment</t>
  </si>
  <si>
    <t>Attachment Effect, Zero Speed</t>
  </si>
  <si>
    <t>While attached to a creature, the [MON]'s speed becomes 0 and it moves with the target.</t>
  </si>
  <si>
    <t>Summon Plague Rats</t>
  </si>
  <si>
    <t>HP Max Reducing, Infection Effect, Unhealable</t>
  </si>
  <si>
    <t>While infected in this way, a creature can't regain hit points except by magical means.</t>
  </si>
  <si>
    <t>While transformed retains constructed appearance and claws at the end of its forelimbs.</t>
  </si>
  <si>
    <t>Melting Icicles</t>
  </si>
  <si>
    <t>As a reaction when the [MON] takes fire it can immediately use Icicle Drop if available.</t>
  </si>
  <si>
    <t>Ranged Parry</t>
  </si>
  <si>
    <t>As a reaction, the [MON] adds [#] to its AC against one ranged attack that would hit it.</t>
  </si>
  <si>
    <t>Ongoing Damage for the Afraid</t>
  </si>
  <si>
    <t>Fear Effect, Ongoing Damage</t>
  </si>
  <si>
    <t>At the start of each of a frightened creature's turns, it takes [#dX] [DMG_TYPE] damage.</t>
  </si>
  <si>
    <t>Psychic (d10)</t>
  </si>
  <si>
    <t>Spare the Good and the Unintelligent</t>
  </si>
  <si>
    <t>Good-aligned creatures and creatures with an Intelligence of [#] or less are unaffected.</t>
  </si>
  <si>
    <t>Cumulative Duration</t>
  </si>
  <si>
    <t>If a creature fails this saving throw multiple times, the effect duration is cumulative.</t>
  </si>
  <si>
    <t>If the [MON] is charged with electricity, the target also takes [#dX] [DMG_TYPE] damage.</t>
  </si>
  <si>
    <t>Lightning (d4)</t>
  </si>
  <si>
    <t>Outcome if Very High Attack Roll</t>
  </si>
  <si>
    <t>If the [MON]'s attack roll exceeds the target's AC by [#] or more, the target [OUTCOME].</t>
  </si>
  <si>
    <t>Shadow Call</t>
  </si>
  <si>
    <t>The [MON] can cast magic missile as a reaction when it is hit by a ranged weapon attack.</t>
  </si>
  <si>
    <t>Additional Legs</t>
  </si>
  <si>
    <t>The [MON] can climb at a speed equal to its walking speed and ignores difficult terrain.</t>
  </si>
  <si>
    <t>Speak with Spiders</t>
  </si>
  <si>
    <t>The [MON] can communicate with spiders and other arachnids as if they shared a language.</t>
  </si>
  <si>
    <t>Gravel Spray</t>
  </si>
  <si>
    <t>Limitation, Recharging</t>
  </si>
  <si>
    <t>The [MON] can use this ability only if it has used Chew Rock within the past [DURATION].</t>
  </si>
  <si>
    <t>Language Barrier</t>
  </si>
  <si>
    <t>The [MON] can use this trait only on creatures that share at least one language with it.</t>
  </si>
  <si>
    <t>Grassland Camouflage</t>
  </si>
  <si>
    <t>The [MON] has advantage on Dexterity (Stealth) checks made to hide in grassland terrain.</t>
  </si>
  <si>
    <t>Hardy</t>
  </si>
  <si>
    <t>The [MON] has advantage on saving throws made to resist effects that deal poison damage.</t>
  </si>
  <si>
    <t>Turn Vulnerability</t>
  </si>
  <si>
    <t>The [MON] has disadvantage on saving throws made to resist any effect that turns undead.</t>
  </si>
  <si>
    <t>Cone or Line Attack</t>
  </si>
  <si>
    <t>The [MON] targets a [#] ft cone or a [#] ft long line that is [#] ft wide. [TGT_EFFECT].</t>
  </si>
  <si>
    <t>Selected Sighted Creatures Within Range</t>
  </si>
  <si>
    <t>The [MON] targets up to [#] creatures within [#] ft of it that can see it. [TGT_EFFECT].</t>
  </si>
  <si>
    <t>Selected Visible Creatures Within Range</t>
  </si>
  <si>
    <t>The [MON] targets up to [#] creatures within [#] ft of it that it can see. [TGT_EFFECT].</t>
  </si>
  <si>
    <t>Chill of the Void</t>
  </si>
  <si>
    <t>The [MON]'s attacks ignore resistance to [DMG_TYPE] damage, but not [DMG_TYPE] immunity.</t>
  </si>
  <si>
    <t>The target's hit point max is reduced by an amount equal to the [DMG_TYPE] damage taken.</t>
  </si>
  <si>
    <t>Ground Disruptor</t>
  </si>
  <si>
    <t>When the [MON] moves, it can choose to make the area it moves through difficult terrain.</t>
  </si>
  <si>
    <t>Rattling Effort</t>
  </si>
  <si>
    <t>Rattling, Weakness</t>
  </si>
  <si>
    <t>When the [MON] uses this ability, its heads lose coordination. It is rattled [DURATION].</t>
  </si>
  <si>
    <t>Bad Omen</t>
  </si>
  <si>
    <t>While cursed in this way, a creature has disadvantage on attack rolls against the [MON].</t>
  </si>
  <si>
    <t>While grappled in this way, a creature is unable to breathe unless it can breathe water.</t>
  </si>
  <si>
    <t>Corpse Cough</t>
  </si>
  <si>
    <t>Infection Effect, Unhealable</t>
  </si>
  <si>
    <t>While infected in this way, a creature can't gain any benefit from a short or long rest.</t>
  </si>
  <si>
    <t>Aura of Courage</t>
  </si>
  <si>
    <t>While the [MON] is conscious, allies within [#] ft of it are immune to being frightened.</t>
  </si>
  <si>
    <t>Damage to Objects</t>
  </si>
  <si>
    <t>A nonmagical object in that area that isn't being worn or carried also takes this damage.</t>
  </si>
  <si>
    <t>Avenging Sword</t>
  </si>
  <si>
    <t>As a reaction when damaged by a melee weapon attack, the [MON] can make one melee attack.</t>
  </si>
  <si>
    <t>Tutor's Baton</t>
  </si>
  <si>
    <t>Instead of dealing damage, the [MON] can cause the target to be incapacitated [DURATION].</t>
  </si>
  <si>
    <t>Attack a Creature</t>
  </si>
  <si>
    <t>Betraying</t>
  </si>
  <si>
    <t>must use its action on its next turn to attack the nearest creature other than the [MON].</t>
  </si>
  <si>
    <t>One of the target's possessions becomes unusable or damaged until repaired (DM's choice).</t>
  </si>
  <si>
    <t>Penguin Telepathy</t>
  </si>
  <si>
    <t>The [MON] can command any penguin within [#] ft of it, using a limited form of telepathy.</t>
  </si>
  <si>
    <t>Jumper</t>
  </si>
  <si>
    <t>The [MON] can jump up to [#] ft horizontally and 5 ft vertically without a running start.</t>
  </si>
  <si>
    <t>Spellcasting Depletion</t>
  </si>
  <si>
    <t>The [MON] can't use this ability if it has cast a spell since the start of its last turn.</t>
  </si>
  <si>
    <t>Astral Travelers</t>
  </si>
  <si>
    <t>The [MON] do not require air or heat to survive, only sunlight (and very little of that).</t>
  </si>
  <si>
    <t>The [MON] gains hit points equal to the single highest amount of [DMG_TYPE] damage dealt.</t>
  </si>
  <si>
    <t>Psychic (Other)</t>
  </si>
  <si>
    <t>Mimicry</t>
  </si>
  <si>
    <t>The [MON] has advantage on Charisma (Deception) checks to mimic another creature's voice.</t>
  </si>
  <si>
    <t>Loyal to Dragon Master</t>
  </si>
  <si>
    <t>The [MON] has advantage on saving throws against any charm or compulsion spell or effect.</t>
  </si>
  <si>
    <t>Magic Resistance</t>
  </si>
  <si>
    <t>The [MON] has advantage on saving throws made to resist spells and other magical effects.</t>
  </si>
  <si>
    <t>Poor Depth Perception</t>
  </si>
  <si>
    <t>The [MON] has disadvantage on attack rolls against targets more than [#] ft away from it.</t>
  </si>
  <si>
    <t>Heat Sensitivity</t>
  </si>
  <si>
    <t>The [MON] has disadvantage on attack rolls when within [#] ft of a strong source of heat.</t>
  </si>
  <si>
    <t>Stalk Regeneration</t>
  </si>
  <si>
    <t>The [MON] regains [#] hit points at the start of its turn if it has at least 1 hit point.</t>
  </si>
  <si>
    <t>The [MON] regains [#] hit points at the start of its turn if it is in contact with water.</t>
  </si>
  <si>
    <t>Cube With Monster in Corner</t>
  </si>
  <si>
    <t>The [MON] targets a [#] ft cube containing the [MON]'s space in one corner. [TGT_EFFECT].</t>
  </si>
  <si>
    <t>All Creatures on the Ground Within Range</t>
  </si>
  <si>
    <t>The [MON] targets each creature creature on the ground within [#] ft of it. [TGT_EFFECT].</t>
  </si>
  <si>
    <t>All Non-Frog Non-[MON]s Within Range</t>
  </si>
  <si>
    <t>The [MON] targets each non-frog and non-[MON] creature within [#] ft of it. [TGT_EFFECT].</t>
  </si>
  <si>
    <t>One Sighted or Hearing Creature Within Range</t>
  </si>
  <si>
    <t>The [MON] targets one creature within [#] ft of it that can see or hear it. [TGT_EFFECT].</t>
  </si>
  <si>
    <t>One Frightened or Surprised Creature Within Range</t>
  </si>
  <si>
    <t>The [MON] targets one frightened or surprised creature within [#] ft of it. [TGT_EFFECT].</t>
  </si>
  <si>
    <t>One Willing Visible Creature Within Range</t>
  </si>
  <si>
    <t>The [MON] targets one willing creature within [#] ft of it that it can see. [TGT_EFFECT].</t>
  </si>
  <si>
    <t>Selected Hearing Creatures Within Range</t>
  </si>
  <si>
    <t>The [MON] targets up to [#] creatures within [#] ft of it that can hear it. [TGT_EFFECT].</t>
  </si>
  <si>
    <t>Distortion Gaze</t>
  </si>
  <si>
    <t>To use this ability, the [MON] can't be incapacitated and must see the affected creature.</t>
  </si>
  <si>
    <t>Unswallow</t>
  </si>
  <si>
    <t>When the [MON] dies, all consumed creatures are released into spaces within [#] ft of it.</t>
  </si>
  <si>
    <t>Deathspeak</t>
  </si>
  <si>
    <t>While cursed in this way, a creature has disadvantage on attack rolls and ability checks.</t>
  </si>
  <si>
    <t>Silenced if Grappled</t>
  </si>
  <si>
    <t>Grapple Effect, Silencing</t>
  </si>
  <si>
    <t>While grappled in this way, a creature can't speak or cast spells with verbal components.</t>
  </si>
  <si>
    <t>A consumed creature takes [#dX] [DMG_TYPE] damage at the start of each of the [MON] turns.</t>
  </si>
  <si>
    <t>Grim Reaping</t>
  </si>
  <si>
    <t>A creature that takes necrotic damage from this attack can't regain hit points [DURATION].</t>
  </si>
  <si>
    <t>Outcome if Sighted</t>
  </si>
  <si>
    <t>A creature within [#] ft of the [MON] that can see it when it uses this ability [OUTCOME].</t>
  </si>
  <si>
    <t>Enhanced Weapon</t>
  </si>
  <si>
    <t>As a bonus action, the [MON] modifies its weapon to produce an additional effect on a hit.</t>
  </si>
  <si>
    <t>As a reaction when it takes damage from an attack, the [MON] becomes invisible [DURATION].</t>
  </si>
  <si>
    <t>Mountain Walk</t>
  </si>
  <si>
    <t>Difficult terrain composed of rocks or rocky debris doesn't cost the [MON] extra movement.</t>
  </si>
  <si>
    <t>Proboscis</t>
  </si>
  <si>
    <t>Disadvantage, Magic Disrupting</t>
  </si>
  <si>
    <t>gains disadvantage on Constitution saving throws to maintain its concentration [DURATION].</t>
  </si>
  <si>
    <t>Icy Entangle</t>
  </si>
  <si>
    <t>Ice and snow hinder the [MON]'s opponent's movement, as the entangle spell (DC [SAVE_DC]).</t>
  </si>
  <si>
    <t>If the [MON] dies, the [MON] returns to life in [DURATION] and regains all its hit points.</t>
  </si>
  <si>
    <t>If the [MON] is prone at the start of its turn, standing up does not cost it any movement.</t>
  </si>
  <si>
    <t>Hell Core</t>
  </si>
  <si>
    <t>If the [MON] takes cold damage, this trait doesn't function at the start of its next turn.</t>
  </si>
  <si>
    <t>Strength Contest or Pull</t>
  </si>
  <si>
    <t>must succeed on a Strength contest against the [MON] or be pulled [#] ft toward the [MON].</t>
  </si>
  <si>
    <t>Legend lore</t>
  </si>
  <si>
    <t>Once every [DURATION], the [MON] can innately cast legend lore with no material component.</t>
  </si>
  <si>
    <t>The [MON] can communicate with spiders that can hear it or that are touching the same web.</t>
  </si>
  <si>
    <t>Fabric Form</t>
  </si>
  <si>
    <t>The [MON] can move through any opening large enough for a Tiny creature without squeezing.</t>
  </si>
  <si>
    <t>The [MON] can shift the position of a grappled creature by up to [#] ft as a bonus action.</t>
  </si>
  <si>
    <t>Disarming Tendrils</t>
  </si>
  <si>
    <t>The [MON] can't use this reaction against attackers wielding a heavy or two-handed weapon.</t>
  </si>
  <si>
    <t>Breaker of Boats</t>
  </si>
  <si>
    <t>The [MON] deals double damage to objects and structures made of wood or lighter materials.</t>
  </si>
  <si>
    <t>Strength Drain</t>
  </si>
  <si>
    <t>The [MON] gains [#] temporary hit points for every level of exhaustion this effect grants.</t>
  </si>
  <si>
    <t>Well-Grounded</t>
  </si>
  <si>
    <t>The [MON] has advantage on ability checks and saving throws to resist being knocked prone.</t>
  </si>
  <si>
    <t>Mountain Camouflage</t>
  </si>
  <si>
    <t>The [MON] has advantage on Dexterity (Stealth) checks made to hide in mountainous regions.</t>
  </si>
  <si>
    <t>All Hostile Creatures Within Range of a Visible Point</t>
  </si>
  <si>
    <t>The [MON] targets each hostile creature within [#] ft of a point it can see. [TGT_EFFECT].</t>
  </si>
  <si>
    <t>All Sighted Hostile Creatures Within Range</t>
  </si>
  <si>
    <t>The [MON] targets each hostile creature within [#] ft of it that can see it. [TGT_EFFECT].</t>
  </si>
  <si>
    <t>One Visible Humanoid or Beast Within Range</t>
  </si>
  <si>
    <t>The [MON] targets one humanoid or beast within [#] ft of it that it can see. [TGT_EFFECT].</t>
  </si>
  <si>
    <t>One Visible Sleeping Creature Within Range</t>
  </si>
  <si>
    <t>The [MON] targets one sleeping creature within [#] ft of it that it can see. [TGT_EFFECT].</t>
  </si>
  <si>
    <t>Selectively Caustic</t>
  </si>
  <si>
    <t>The [MON]'s acid can eat through flesh quickly, but it doesn't harm metal, wood, or paper.</t>
  </si>
  <si>
    <t>Wake Up</t>
  </si>
  <si>
    <t>This effect ends if the target takes damage or another creature uses an action to wake it.</t>
  </si>
  <si>
    <t>This invisibility lasts [DURATION], ends its turn is in bright light, or is incapacitated.</t>
  </si>
  <si>
    <t>Patron's Blessing</t>
  </si>
  <si>
    <t>When the [MON] reduces a target to 0 hit points, the [MON] gains [#] temporary hit points.</t>
  </si>
  <si>
    <t>Outcome for Nearby Crit Witnesses</t>
  </si>
  <si>
    <t>When the [MON] scores a critical hit, each creature within [#] ft of the target [OUTCOME].</t>
  </si>
  <si>
    <t>Curse of Restlessness</t>
  </si>
  <si>
    <t>While cursed in this way, a creature gains no benefit from finishing a short or long rest.</t>
  </si>
  <si>
    <t>Exhaustion Effect, Limitation</t>
  </si>
  <si>
    <t>A creature can have no more than [#] total levels of exhaustion from this effect at a time.</t>
  </si>
  <si>
    <t>Grappler or Restrainer Disadvantage</t>
  </si>
  <si>
    <t>Disadvantage, Grapple Effect, Restraint Effect</t>
  </si>
  <si>
    <t>A creature grappling or restraining another creature has disadvantage on this saving throw.</t>
  </si>
  <si>
    <t>Aggressive</t>
  </si>
  <si>
    <t>As a bonus action, the [MON] can move up to its speed toward a hostile creature it can see.</t>
  </si>
  <si>
    <t>gains advantage on the next attack roll it makes before the start of the [MON]'s next turn.</t>
  </si>
  <si>
    <t>If the [MON] hits a creature with two melee attacks in the same turn, the target [OUTCOME].</t>
  </si>
  <si>
    <t>Brutal Critical</t>
  </si>
  <si>
    <t>If the [MON] scores a critical hit, it rolls the damage dice three times, instead of twice.</t>
  </si>
  <si>
    <t>Catch Fire</t>
  </si>
  <si>
    <t>If the target is a flammable object that isn't being worn or carried, it also catches fire.</t>
  </si>
  <si>
    <t>Cat Telepathy</t>
  </si>
  <si>
    <t>The [MON] can communicate with cats within [#] ft of it, using a limited form of telepathy.</t>
  </si>
  <si>
    <t>Limited Air Breather</t>
  </si>
  <si>
    <t>The [MON] can only breathe underwater. Out of the water, it can hold its breath [DURATION].</t>
  </si>
  <si>
    <t>Consume Worms</t>
  </si>
  <si>
    <t>The [MON] consumes up to [#] cheek worms regaining [#dX] hit points for each worm consumed.</t>
  </si>
  <si>
    <t>Magic Sensitive</t>
  </si>
  <si>
    <t>The [MON] detects magic as if it were permanently under the effect of a detect magic spell.</t>
  </si>
  <si>
    <t>Infernal Blessing</t>
  </si>
  <si>
    <t>The [MON] gains 21 temporary hit points when it reduces a hostile creature to 0 hit points.</t>
  </si>
  <si>
    <t>Aimed Strike</t>
  </si>
  <si>
    <t>The [MON] gains advantage on the next attack roll it makes before the end of its next turn.</t>
  </si>
  <si>
    <t>Cast Iron Stomach</t>
  </si>
  <si>
    <t>The [MON] has advantage on saving throws against effects that cause the poisoned condition.</t>
  </si>
  <si>
    <t>Shadow Sight</t>
  </si>
  <si>
    <t>The [MON] has advantage on Wisdom (Perception) checks while it is in dim light or darkness.</t>
  </si>
  <si>
    <t>Aura of Warmth Stealing</t>
  </si>
  <si>
    <t>The [MON] regains hit points equal to the single highest amount of [DMG_TYPE] damage dealt.</t>
  </si>
  <si>
    <t>All Hearing Hostile Creatures Within Range</t>
  </si>
  <si>
    <t>The [MON] targets each hostile creature within [#] ft of it that can hear it. [TGT_EFFECT].</t>
  </si>
  <si>
    <t>Selket's Venom</t>
  </si>
  <si>
    <t>Cursing, Poison Effect</t>
  </si>
  <si>
    <t>This poison is a curse, so it can only be cured by the remove curse spell or similar magic.</t>
  </si>
  <si>
    <t>Tentacle Leap</t>
  </si>
  <si>
    <t>To use this ability, the [MON] can't be grappling the maximum number of creatures possible.</t>
  </si>
  <si>
    <t>Sonic Shield</t>
  </si>
  <si>
    <t>To use this reaction, [MON] must see the attacker and not be in an area of magical silence.</t>
  </si>
  <si>
    <t>Discharge</t>
  </si>
  <si>
    <t>When a creature ends its turn within [#] ft of the [MON], it takes [#dX] [DMG_TYPE] damage.</t>
  </si>
  <si>
    <t>While grappling a creature, the [MON] has advantage on attacks against the grappled target.</t>
  </si>
  <si>
    <t>Ongoing Damage if Consumed</t>
  </si>
  <si>
    <t>A consumed creature takes [#dX] [DMG_TYPE] damage at the start of each of the [MON]'s turns.</t>
  </si>
  <si>
    <t>Any creature hostile to the [MON] that starts its turn within [#] ft of the [MON] [OUTCOME].</t>
  </si>
  <si>
    <t>Spider Passivism</t>
  </si>
  <si>
    <t>Spiders can't willingly attack the [MON]. They can be forced to do so through magical means.</t>
  </si>
  <si>
    <t>Draining Burst</t>
  </si>
  <si>
    <t>The [MON] and any creature grappled by its Life Tether each gain [#dX] temporary hit points.</t>
  </si>
  <si>
    <t>Conductivity</t>
  </si>
  <si>
    <t>The [MON] automatically fails all saving throws against effects that deal [DMG_TYPE] damage.</t>
  </si>
  <si>
    <t>Lightning (Other)</t>
  </si>
  <si>
    <t>Speak with Cetaceans</t>
  </si>
  <si>
    <t>The [MON] can communicate with dolphins, porpoises, and whales as if they shared a language.</t>
  </si>
  <si>
    <t>Flurry Strike</t>
  </si>
  <si>
    <t>The [MON] can make one additional attack against the same target as part of the same action.</t>
  </si>
  <si>
    <t>The [MON] can move across and climb rocky surfaces without needing to make an ability check.</t>
  </si>
  <si>
    <t>The [MON] can spend 5 ft of movement to escape from nonmagical restraints or being grappled.</t>
  </si>
  <si>
    <t>Sunlit Recharge</t>
  </si>
  <si>
    <t>The [MON] can't use this trait if it hasn't been exposed to sunlight in the past [DURATION].</t>
  </si>
  <si>
    <t>Shadow Camouflage</t>
  </si>
  <si>
    <t>The [MON] has advantage on Dexterity (Stealth) checks made to hide in dim light or darkness.</t>
  </si>
  <si>
    <t>Deep Roots</t>
  </si>
  <si>
    <t>The [MON] has advantage on Strength and Dexterity saving throws made to resist being pushed.</t>
  </si>
  <si>
    <t>Keen Senses</t>
  </si>
  <si>
    <t>The [MON] has advantage on Wisdom (Perception) checks that rely on sight, hearing, or smell.</t>
  </si>
  <si>
    <t>Snow Strider</t>
  </si>
  <si>
    <t>The [MON] leaves no tracks or other traces of its passage when moving through snowy terrain.</t>
  </si>
  <si>
    <t>Adapt Appendage</t>
  </si>
  <si>
    <t>The [MON] swaps its Utility Arm with Utility Arm of any other the [MON] within [#] ft of it.</t>
  </si>
  <si>
    <t>Unlimited Sighted Creatures Within Range</t>
  </si>
  <si>
    <t>The [MON] targets any number of creatures within [#] ft of it that can see it. [TGT_EFFECT].</t>
  </si>
  <si>
    <t>Unlimited Visible Creatures Within Range</t>
  </si>
  <si>
    <t>The [MON] targets any number of creatures within [#] ft of it that it can see. [TGT_EFFECT].</t>
  </si>
  <si>
    <t>All Non-Grappled Creatures Within Range</t>
  </si>
  <si>
    <t>The [MON] targets each creature within [#] ft of it that isn't grappled by it. [TGT_EFFECT].</t>
  </si>
  <si>
    <t>One Non-Cursed Creature Within Range</t>
  </si>
  <si>
    <t>The [MON] targets one creature within [#] ft of it that is not already cursed. [TGT_EFFECT].</t>
  </si>
  <si>
    <t>The [MON] transforms into a domesticated herd animal it can see, or back into its true form.</t>
  </si>
  <si>
    <t>Tactical Movement</t>
  </si>
  <si>
    <t>Disengaging, Movement, Speed Change</t>
  </si>
  <si>
    <t>The [MON]'s speed is halved and its movement doesn't provoke opportunity attacks [DURATION].</t>
  </si>
  <si>
    <t>Battle Frenzy</t>
  </si>
  <si>
    <t>When the [MON] is reduced to one-quarter health, the [MON] makes all attacks with advantage.</t>
  </si>
  <si>
    <t>Grave Pox</t>
  </si>
  <si>
    <t>Exhaustion Effect, Infection Effect</t>
  </si>
  <si>
    <t>While infected in this way, a creature can't reduce its exhaustion by finishing a long rest.</t>
  </si>
  <si>
    <t>While infected in this way, a creature can't regain hit points except through magical means.</t>
  </si>
  <si>
    <t>Surrounded by Enemies</t>
  </si>
  <si>
    <t>A creature that is within [#] ft of [#] or more [MON]s has disadvantage on this saving throw.</t>
  </si>
  <si>
    <t>Fly Disengage</t>
  </si>
  <si>
    <t>After doing so, the [MON] flies up to its flying speed without provoking opportunity attacks.</t>
  </si>
  <si>
    <t>Immune After Saving</t>
  </si>
  <si>
    <t>If a creature's saving throw is successful, the creature is immune to this effect [DURATION].</t>
  </si>
  <si>
    <t>Disorient</t>
  </si>
  <si>
    <t>is disoriented [DURATION]. When a disoriented creature moves, it moves in a random direction.</t>
  </si>
  <si>
    <t>Spell-Siphoning Fist</t>
  </si>
  <si>
    <t>Charisma</t>
  </si>
  <si>
    <t>Ice Glide</t>
  </si>
  <si>
    <t>The [MON] can burrow through nonmagical ice without disturbing the material it moves through.</t>
  </si>
  <si>
    <t>Sunlight Dependent</t>
  </si>
  <si>
    <t>The [MON] can't use this action if it hasn't been exposed to sunlight in the past [DURATION].</t>
  </si>
  <si>
    <t>Hatred for Spellcasters</t>
  </si>
  <si>
    <t>The [MON] does one extra die of damage on attacks against creatures it has seen cast a spell.</t>
  </si>
  <si>
    <t>Thick Skulled</t>
  </si>
  <si>
    <t>The [MON] ends one condition on itself that was imposed through a failed Wisdom saving throw.</t>
  </si>
  <si>
    <t>The [MON] knows the location of coins, gems, and other nonmagical wealth within [#] ft of it.</t>
  </si>
  <si>
    <t>Unlimited Hearing Creatures Within Range</t>
  </si>
  <si>
    <t>The [MON] targets any number of creatures within [#] ft of it that can hear it. [TGT_EFFECT].</t>
  </si>
  <si>
    <t>All Hearing Humanoids and Giants Within Range</t>
  </si>
  <si>
    <t>The [MON] targets each humanoid and giant within [#] ft of it that can hear it. [TGT_EFFECT].</t>
  </si>
  <si>
    <t>All Hearing Non-[MON]s Within Range</t>
  </si>
  <si>
    <t>The [MON] targets each non-[MON] creature within [#] ft of it that can hear it. [TGT_EFFECT].</t>
  </si>
  <si>
    <t>All Hearing Non-Demons Within Range</t>
  </si>
  <si>
    <t>The [MON] targets each non-demon creature within [#] ft of it that can hear it. [TGT_EFFECT].</t>
  </si>
  <si>
    <t>All Sighted Non-Undead Creatures Within Range</t>
  </si>
  <si>
    <t>The [MON] targets each non-undead creature within [#] ft of it that can see it. [TGT_EFFECT].</t>
  </si>
  <si>
    <t>One Recently Damaged Creature</t>
  </si>
  <si>
    <t>The [MON] targets one creature it dealt [DMG_TYPE] damage to within [DURATION]. [TGT_EFFECT].</t>
  </si>
  <si>
    <t>Selected Hearing or Sighted Allies Within Range</t>
  </si>
  <si>
    <t>The [MON] targets up to [#] allies within [#] ft of it that can hear or see it. [TGT_EFFECT].</t>
  </si>
  <si>
    <t>The [MON] transforms into a Small or Medium humanoid it has seen, or back into its true form.</t>
  </si>
  <si>
    <t>Imposing Figure</t>
  </si>
  <si>
    <t>The [MON] uses its Strength modifier instead of its Charisma when making Intimidation checks.</t>
  </si>
  <si>
    <t>The [MON]'s movement and vision is not hindered by cold, icy surfaces, snow, wind, or storms.</t>
  </si>
  <si>
    <t>Reality Eater</t>
  </si>
  <si>
    <t>Aura, Difficult Terrain, Speed Change</t>
  </si>
  <si>
    <t>The ground within [#] ft of the [MON] is difficult terrain to all creatures except the [MON].</t>
  </si>
  <si>
    <t>Nonaggression Charm</t>
  </si>
  <si>
    <t>While charmed in this way, a creature can't attack up to [#] creatures of the [MON]'s choice.</t>
  </si>
  <si>
    <t>While cursed in this way, a creature has disadvantage on attack rolls made against the [MON].</t>
  </si>
  <si>
    <t>While it has 1+ creature trapped can't burrow and can't Bite creatures outside its Wing Trap.</t>
  </si>
  <si>
    <t>King-Sized Claw</t>
  </si>
  <si>
    <t>A creature grappled by the [MON] makes ability checks to escape the grapple with disadvantage.</t>
  </si>
  <si>
    <t>Dragons and dragon-like creatures, such as dragonborn, have disadvantage on this saving throw.</t>
  </si>
  <si>
    <t>Protective Roar</t>
  </si>
  <si>
    <t>gains [#dX] temporary hit points, or [#dX] temporary hit points if it is charmed by the [MON].</t>
  </si>
  <si>
    <t>Healing Knockout</t>
  </si>
  <si>
    <t>If a creature is slain by this attack, the [MON] regains hit points equal to the damage dealt.</t>
  </si>
  <si>
    <t>Three Types of Extra Damage</t>
  </si>
  <si>
    <t>takes an extra [#dX] [DMG_TYPE] damage, [DMG_TYPE], or [DMG_TYPE] damage (the [MON]'s choice).</t>
  </si>
  <si>
    <t>Fire (d8), Lightning (d8), Radiant (d8)</t>
  </si>
  <si>
    <t>Humanoid Form</t>
  </si>
  <si>
    <t>The [MON] can assume a humanoid form at will as a bonus action, and dismiss this form at will.</t>
  </si>
  <si>
    <t>The [MON] can burrow through nonmagical sand without disturbing the material it moves through.</t>
  </si>
  <si>
    <t>Atmospheric Immunity</t>
  </si>
  <si>
    <t>The [MON] can comfortably exist at any level of the sea and suffers no penalties at any depth.</t>
  </si>
  <si>
    <t>Grappled Movement</t>
  </si>
  <si>
    <t>The [MON] can force a grappled creature to move at its normal speed wherever the [MON] wishes.</t>
  </si>
  <si>
    <t>Amorphous</t>
  </si>
  <si>
    <t>The [MON] can move through a space as narrow as 1 ft wide as though it were difficult terrain.</t>
  </si>
  <si>
    <t>The [MON] can move through any opening large enough for one Medium creature without squeezing.</t>
  </si>
  <si>
    <t>Flyby</t>
  </si>
  <si>
    <t>The [MON] doesn't provoke opportunity attacks when it flies out of a hostile creature's reach.</t>
  </si>
  <si>
    <t>Hop By</t>
  </si>
  <si>
    <t>The [MON] doesn't provoke opportunity attacks when it jumps out of a hostile creature's reach.</t>
  </si>
  <si>
    <t>Diligent Tracker</t>
  </si>
  <si>
    <t>The [MON] has advantage on all Wisdom (Perception) and Wisdom (Survival) checks when tracking.</t>
  </si>
  <si>
    <t>Resilient Soul</t>
  </si>
  <si>
    <t>The [MON] has advantage on saving throws against any effect that causes corruption or madness.</t>
  </si>
  <si>
    <t>Grasping Roots</t>
  </si>
  <si>
    <t>The [MON] has advantage on Strength and Dexterity saving throws to resist being knocked prone.</t>
  </si>
  <si>
    <t>The [MON] has disadvantage on attack rolls if both the [MON] and its target are on dry ground.</t>
  </si>
  <si>
    <t>Wrack Jump</t>
  </si>
  <si>
    <t>The [MON] leaves current pile teleports to another within [#] ft of it and uses Animate Wrack.</t>
  </si>
  <si>
    <t>One Visible Hearing Ally Within Range</t>
  </si>
  <si>
    <t>The [MON] targets one ally within [#] ft of it that it can see that can hear it. [TGT_EFFECT].</t>
  </si>
  <si>
    <t>One Visible Evil Creature Within Range</t>
  </si>
  <si>
    <t>The [MON] targets one evil-aligned creature within [#] ft of it that it can see. [TGT_EFFECT].</t>
  </si>
  <si>
    <t>One Friendly Undead or Celestial Within Range</t>
  </si>
  <si>
    <t>The [MON] targets one friendly undead or celestial creature within [#] ft of it. [TGT_EFFECT].</t>
  </si>
  <si>
    <t>Selected Visible Friendly Undead Within Range</t>
  </si>
  <si>
    <t>The [MON] targets up to [#] friendly undead within [#] ft of it that it can see. [TGT_EFFECT].</t>
  </si>
  <si>
    <t>Trader</t>
  </si>
  <si>
    <t>The [MON] understands the literal meaning of any spoken or written language it hears or reads.</t>
  </si>
  <si>
    <t>Duelist</t>
  </si>
  <si>
    <t>When the [MON] is wielding a single melee weapon, its weapon attacks deal an extra [#] damage.</t>
  </si>
  <si>
    <t>Shocking Touch</t>
  </si>
  <si>
    <t>A creature that touches the [MON] or hits it with a melee attack takes [#dX] [DMG_TYPE] damage.</t>
  </si>
  <si>
    <t>Inflict Sorrow</t>
  </si>
  <si>
    <t>If a female humanoid dies from this attack, a new [MON] rises from the corpse [DURATION] later.</t>
  </si>
  <si>
    <t>If the target is a creature or flammable object that isn't being worn or carried, it [OUTCOME].</t>
  </si>
  <si>
    <t>Headbutt</t>
  </si>
  <si>
    <t>Bonus Action Attack, Prone Effect</t>
  </si>
  <si>
    <t>If the target is prone, the [MON] can make one attack against it immediately as a bonus action.</t>
  </si>
  <si>
    <t>Feybane</t>
  </si>
  <si>
    <t>The [MON] automatically sees through magical illusions created by spells of level [#] or lower.</t>
  </si>
  <si>
    <t>Shadow's Embrace</t>
  </si>
  <si>
    <t>The [MON] can take the Hide action as a bonus action while in an area of dim light or darkness.</t>
  </si>
  <si>
    <t>The [MON] can't be affected or detected by spells of level [#] or lower unless it wishes to be.</t>
  </si>
  <si>
    <t>Hooves</t>
  </si>
  <si>
    <t>The [MON] doesn't provoke opportunity attacks from the target for the rest of the [MON]'s turn.</t>
  </si>
  <si>
    <t>Boscage Brachiation</t>
  </si>
  <si>
    <t>The [MON] doesn't provoke opportunity attacks when it climbs out of a hostile creature's reach.</t>
  </si>
  <si>
    <t>Military Training</t>
  </si>
  <si>
    <t>The [MON] has advantage on ability checks to make a tactical, strategic, or political decision.</t>
  </si>
  <si>
    <t>Steel Focus</t>
  </si>
  <si>
    <t>Advantage, Concentration</t>
  </si>
  <si>
    <t>The [MON] has advantage on Constitution saving throws made to maintain concentration on spells.</t>
  </si>
  <si>
    <t>The [MON] has advantage on saving throws made to resist being charmed, frightened, or confused.</t>
  </si>
  <si>
    <t>Miser's Fury</t>
  </si>
  <si>
    <t>The [MON] has advantage on Wisdom (Perception and Survival) checks to find and track its hoard.</t>
  </si>
  <si>
    <t>Relentless Advance</t>
  </si>
  <si>
    <t>The [MON] is unaffected by difficult terrain and can move over water and other liquid surfaces.</t>
  </si>
  <si>
    <t>Self or One Visible Creature Within Range</t>
  </si>
  <si>
    <t>The [MON] targets itself or another creature within [#] ft of it that it can see. [TGT_EFFECT].</t>
  </si>
  <si>
    <t>One Visible Incapacitated Creature Within Range</t>
  </si>
  <si>
    <t>The [MON] targets one incapacitated creature within [#] ft of it that it can see. [TGT_EFFECT].</t>
  </si>
  <si>
    <t>The [MON] transforms into any humanoid creature it has seen before, or back into its true form.</t>
  </si>
  <si>
    <t>Dispelling Area</t>
  </si>
  <si>
    <t>Up to [#] spells or other magical effects of level [#] or lower within that area are dispelled.</t>
  </si>
  <si>
    <t>Death Explosion</t>
  </si>
  <si>
    <t>When the [MON] is reduced to 0 hit points, it explodes in a [#] ft radius sphere. [TGT_EFFECT].</t>
  </si>
  <si>
    <t>Bludgeoning Weakness</t>
  </si>
  <si>
    <t>When the [MON] takes more than [#] [DMG_TYPE] damage from a single attack, it is knocked prone.</t>
  </si>
  <si>
    <t>Bludgeoning ([#])</t>
  </si>
  <si>
    <t>Outcome for Nearby Hostiles</t>
  </si>
  <si>
    <t>Whether the attack hits or misses, each hostile creature within [#] ft of the target [OUTCOME].</t>
  </si>
  <si>
    <t>Legendary Frenzy</t>
  </si>
  <si>
    <t>While it has half its hit points or fewer, the [MON] can take 3 legendary actions instead of 1.</t>
  </si>
  <si>
    <t>Thrall Watch</t>
  </si>
  <si>
    <t>A [MON] with thralls can't be surprised and attacks from hiding don't gain advantage against it.</t>
  </si>
  <si>
    <t>Spikes</t>
  </si>
  <si>
    <t>A creature takes [#dX] [DMG_TYPE] damage at the start of its turn while it is grappling a [MON].</t>
  </si>
  <si>
    <t>Piercing (d8)</t>
  </si>
  <si>
    <t>Heroic Leap</t>
  </si>
  <si>
    <t>As a bonus action, the [MON] can leap into the air, gaining a flying speed of [#] ft [DURATION].</t>
  </si>
  <si>
    <t>For each head it has, the [MON] can take one reaction per round, but not more than one per turn.</t>
  </si>
  <si>
    <t>Etheric Harpoon</t>
  </si>
  <si>
    <t>For the purpose of this attack, the target's AC is considered to be 10 + its Dexterity modifier.</t>
  </si>
  <si>
    <t>Reduce</t>
  </si>
  <si>
    <t>has its size reduced by one category [DURATION]. This can't reduce a creature's size below Tiny.</t>
  </si>
  <si>
    <t>Charged</t>
  </si>
  <si>
    <t>If the [MON] has used its Fulminating Wings in the last [DURATION], this trait doesn't function.</t>
  </si>
  <si>
    <t>Mud Armor</t>
  </si>
  <si>
    <t>If the [MON] spends [DURATION] applying mud to itself, it can increase its AC by [#] [DURATION].</t>
  </si>
  <si>
    <t>Volcanic Rejuvenation</t>
  </si>
  <si>
    <t>If the [MON] takes [DMG_TYPE] damage, this trait doesn't function at the start of its next turn.</t>
  </si>
  <si>
    <t>Its size is reduced by one category [DURATION]. This can't reduce a creature's size beyond Tiny.</t>
  </si>
  <si>
    <t>Death Glyph</t>
  </si>
  <si>
    <t>takes an extra [#dX] [DMG_TYPE] damage each time the [MON] hits the target with a weapon attack.</t>
  </si>
  <si>
    <t>Force (d10)</t>
  </si>
  <si>
    <t>Tunneler</t>
  </si>
  <si>
    <t>The [MON] can burrow through earth and solid rock, leaving a [#] ft diameter tunnel in its wake.</t>
  </si>
  <si>
    <t>The [MON] can pinpoint, by scent, the location of creatures that have blood within [#] ft of it.</t>
  </si>
  <si>
    <t>The [MON] can see [#] ft into the Shadow Realm when it is on the Material Plane, and vice versa.</t>
  </si>
  <si>
    <t>Crafty</t>
  </si>
  <si>
    <t>The [MON] has advantage on ability checks made to pick locks or to detect, disarm, or set traps.</t>
  </si>
  <si>
    <t>Lava Camouflage</t>
  </si>
  <si>
    <t>The [MON] has advantage on Dexterity (Stealth) checks made to hide in lava and volcanic terrain.</t>
  </si>
  <si>
    <t>Underworld Camouflage</t>
  </si>
  <si>
    <t>The [MON] has advantage on Dexterity (Stealth) checks made to hide in rocky underground terrain.</t>
  </si>
  <si>
    <t>Keeper of Secrets</t>
  </si>
  <si>
    <t>The [MON] has advantage on Intelligence (Arcana) checks related to the planes and planar travel.</t>
  </si>
  <si>
    <t>One Hearing and Understanding Creature Within Range</t>
  </si>
  <si>
    <t>The [MON] targets one creature within [#] ft of it who can hear and understand it. [TGT_EFFECT].</t>
  </si>
  <si>
    <t>The [MON] transforms into a specific Medium humanoid, a Medium beast-humanoid, or its true form.</t>
  </si>
  <si>
    <t>Buried</t>
  </si>
  <si>
    <t>Until it does something to reveal its presence, a buried [MON] is treated as if it is invisible.</t>
  </si>
  <si>
    <t>Nihilethic Plague</t>
  </si>
  <si>
    <t>While infected in this way, a creature can't regain hit points unless it is entirely underwater.</t>
  </si>
  <si>
    <t>While the [MON] remains motionless, it has advantage on Dexterity (Stealth) checks made to hide.</t>
  </si>
  <si>
    <t>A consumed creature has advantage on saving throws against effects originating outside the [MON].</t>
  </si>
  <si>
    <t>A consumed creature has total cover from attacks and other effects originating outside the [MON].</t>
  </si>
  <si>
    <t>Icy Slime</t>
  </si>
  <si>
    <t>A creature grappled by the [MON] takes [#dX] [DMG_TYPE] damage at the start of each of its turns.</t>
  </si>
  <si>
    <t>Cold (d6)</t>
  </si>
  <si>
    <t>Mindrot Spores</t>
  </si>
  <si>
    <t>A creature slain by this disease becomes a [MON] after [DURATION] unless the corpse is destroyed.</t>
  </si>
  <si>
    <t>Ancient Lullaby</t>
  </si>
  <si>
    <t>An unconscious creature awakens if it takes damage or another creature uses an action to wake it.</t>
  </si>
  <si>
    <t>Defensive Roll</t>
  </si>
  <si>
    <t>As a reaction, the [MON] adds its Athletics bonus to its AC against one attack that would hit it.</t>
  </si>
  <si>
    <t>Inspiring Savagery</t>
  </si>
  <si>
    <t>Each ally within [#] ft of the [MON] that can see it can make one melee attack as a bonus action.</t>
  </si>
  <si>
    <t>Reproductive</t>
  </si>
  <si>
    <t>If a non-evil humanoid dies from this attack, a new [MON] rises from the corpse [DURATION] later.</t>
  </si>
  <si>
    <t>If the [MON] takes [DMG_TYPE] or [DMG_TYPE] damage, this trait doesn't function on its next turn.</t>
  </si>
  <si>
    <t>Acid (Other), Fire (Other)</t>
  </si>
  <si>
    <t>Advantage, Light</t>
  </si>
  <si>
    <t>is illuminated with white flame [DURATION]. Attacks against an illuminated target have advantage.</t>
  </si>
  <si>
    <t>Forest Camoflage</t>
  </si>
  <si>
    <t>The [MON] adds its proficiency bonus twice to Dexterity (Stealth) checks while in forest terrain.</t>
  </si>
  <si>
    <t>Hateful Aura</t>
  </si>
  <si>
    <t>The [MON] and allies within [#] ft of the [MON] add its Charisma modifier to weapon damage rolls.</t>
  </si>
  <si>
    <t>The [MON] can control primates with an Intelligence of [#] or lower that are within [#] ft of it.</t>
  </si>
  <si>
    <t>Treespeech</t>
  </si>
  <si>
    <t>The [MON] can converse with plants, and most plants greet it with a friendly or helpful attitude.</t>
  </si>
  <si>
    <t>The [MON] can't be charmed or frightened while at least one of its allies is within [#] ft of it.</t>
  </si>
  <si>
    <t>The [MON] has advantage on attack rolls against constructs and elementals made of earth or stone.</t>
  </si>
  <si>
    <t>Deadly to Fey</t>
  </si>
  <si>
    <t>The [MON] has advantage on attack rolls against fey and any creature with the Fey Ancestry trait.</t>
  </si>
  <si>
    <t>Forest and Swamp Camouflage</t>
  </si>
  <si>
    <t>The [MON] has advantage on Dexterity (Stealth) checks made to hide in forested or swampy terrain.</t>
  </si>
  <si>
    <t>Natural Camouflage</t>
  </si>
  <si>
    <t>The [MON] has advantage on Dexterity (Stealth) checks made to hide in nonmagical natural terrain.</t>
  </si>
  <si>
    <t>Deep Gnome Resistance</t>
  </si>
  <si>
    <t>The [MON] has advantage on Intelligence, Wisdom, and Charisma saving throws made to resist magic.</t>
  </si>
  <si>
    <t>The [MON] imposes disadvantage on an attack roll made against an ally within [#] ft of the [MON].</t>
  </si>
  <si>
    <t>Nature's Healing</t>
  </si>
  <si>
    <t>Self Healing, Restoring</t>
  </si>
  <si>
    <t>The [MON] regains [#dX] hit points and is freed from any disease, poison, blindness, or deafness.</t>
  </si>
  <si>
    <t>Unlimited Aware Creatures Within Range</t>
  </si>
  <si>
    <t>The [MON] targets any number of creatures within [#] ft of it that are aware of it. [TGT_EFFECT].</t>
  </si>
  <si>
    <t>All Hearing Non-Celestials Within Range</t>
  </si>
  <si>
    <t>The [MON] targets each non-celestial creature within [#] ft of it that can hear it. [TGT_EFFECT].</t>
  </si>
  <si>
    <t>All Hearing or Sighted Undead Within Range</t>
  </si>
  <si>
    <t>The [MON] targets each undead creature within [#] ft of it that can see or hear it. [TGT_EFFECT].</t>
  </si>
  <si>
    <t>Underwater Propulsion</t>
  </si>
  <si>
    <t>When the [MON] is underwater, it can take the Dash action as a bonus action on each of its turns.</t>
  </si>
  <si>
    <t>While in sunlight, the [MON] has disadvantage on ability checks, attack rolls, and saving throws.</t>
  </si>
  <si>
    <t>Face Clamp</t>
  </si>
  <si>
    <t>If the [MON] is attached to the target, instead of taking damage, the target [OUTCOME] [DURATION].</t>
  </si>
  <si>
    <t>All levels of exhaustion gained in this way are removed at the end of the target's next long rest.</t>
  </si>
  <si>
    <t>Stuporous Breath</t>
  </si>
  <si>
    <t>An unconscious creature wakes up if it takes damage or another creature uses an action to wake it.</t>
  </si>
  <si>
    <t>Equipment Merge or Not</t>
  </si>
  <si>
    <t>Any equipment it is wearing or carrying is absorbed or borne by the new form (the [MON]'s choice).</t>
  </si>
  <si>
    <t>Bone Spur</t>
  </si>
  <si>
    <t>As a bonus action, the [MON] can change its damage between [DMG_TYPE], [DMG_TYPE], and [DMG_TYPE].</t>
  </si>
  <si>
    <t>Bludgeoning (Other), Piercing (Other), Slashing (Other)</t>
  </si>
  <si>
    <t>Each ally within [#] ft of the [MON] is immune to effects that would lower its maximum hit points.</t>
  </si>
  <si>
    <t>Curse of Attack Consequences</t>
  </si>
  <si>
    <t>Each time a cursed creature makes an attack against the [MON] or its allies, the target [OUTCOME].</t>
  </si>
  <si>
    <t>Forest of Pikes</t>
  </si>
  <si>
    <t>If a [MON] is within [#] ft of at least one other [MON], it has half cover against ranged attacks.</t>
  </si>
  <si>
    <t>Collective Mind</t>
  </si>
  <si>
    <t>If the [MON] is reduced to half its hit points or fewer, its Intelligence score is reduced to [#].</t>
  </si>
  <si>
    <t>Disadvantage if Underwater</t>
  </si>
  <si>
    <t>If the [MON] used this ability while underwater, the target has disadvantage on this saving throw.</t>
  </si>
  <si>
    <t>Rolling Charge</t>
  </si>
  <si>
    <t>If the target of this attack is prone, the [MON] can make one attack against it as a bonus action.</t>
  </si>
  <si>
    <t>Bonus Action Damage</t>
  </si>
  <si>
    <t>The [MON] can automatically deal an extra [#dX] [DMG_TYPE] damage to the target as a bonus action.</t>
  </si>
  <si>
    <t>The [MON] can see [#] ft into the Ethereal Plane when it is on the Material Plane, and vice versa.</t>
  </si>
  <si>
    <t>Sinuous Strikeback</t>
  </si>
  <si>
    <t>The [MON] can take any number of reactions in a round, but it can react only once to each trigger.</t>
  </si>
  <si>
    <t>Slip Through Shadows</t>
  </si>
  <si>
    <t>The [MON] can't use this ability if it has taken [DMG_TYPE] damage since the end of its last turn.</t>
  </si>
  <si>
    <t>Controlled Polarity</t>
  </si>
  <si>
    <t>The [MON] has advantage on attack rolls against a creature if the creature is wearing metal armor.</t>
  </si>
  <si>
    <t>All Hearing Non-Aberrations Within Range</t>
  </si>
  <si>
    <t>The [MON] targets each non-aberration creature within [#] ft of it that can hear it. [TGT_EFFECT].</t>
  </si>
  <si>
    <t>One Visible Hearing Creature Within Range</t>
  </si>
  <si>
    <t>The [MON] targets one creature within [#] ft of it that it can see that can hear it. [TGT_EFFECT].</t>
  </si>
  <si>
    <t>Attack Despite Grapple</t>
  </si>
  <si>
    <t>The [MON]'s ability to make this attack is not limited by the number of creatures it is grappling.</t>
  </si>
  <si>
    <t>Inescapable Acid</t>
  </si>
  <si>
    <t>The [MON]'s attacks ignore resistance to [DMG_TYPE] damage, and immunity is treated as resistance.</t>
  </si>
  <si>
    <t>until an affected creature or another creature within reach of it uses an action to end the effect</t>
  </si>
  <si>
    <t>Clanging Mass</t>
  </si>
  <si>
    <t>When the [MON] moves, it has disadvantage on Dexterity (Stealth) checks to stay silent [DURATION].</t>
  </si>
  <si>
    <t>Attacking Reaction</t>
  </si>
  <si>
    <t>When the [MON] uses this ability, it can use its reaction, if available, to make one melee attack.</t>
  </si>
  <si>
    <t>Wisdom Disadvantage if Charmed</t>
  </si>
  <si>
    <t>While charmed in this way, a creature has disadvantage on Wisdom ability checks and saving throws.</t>
  </si>
  <si>
    <t>While grappling a creature, the [MON] can only use this attack against a creature it has grappled.</t>
  </si>
  <si>
    <t>Advantage vs Attached Target</t>
  </si>
  <si>
    <t>While the [MON] is attached to a creature, it has advantage on attack rolls against that creature.</t>
  </si>
  <si>
    <t>Advantage if Damaged</t>
  </si>
  <si>
    <t>A creature that has taken damage since the end of its last turn has advantage on this saving throw.</t>
  </si>
  <si>
    <t>Diligent Preservation</t>
  </si>
  <si>
    <t>A living creature that starts its turn with 0 hit points within [#] ft of the [MON] becomes stable.</t>
  </si>
  <si>
    <t>Creatures of the fey type don't recover spells during a long rest while within [#] ft of the [MON].</t>
  </si>
  <si>
    <t>Aura of Cacophony</t>
  </si>
  <si>
    <t>Aura, Disadvantage, Magic Disrupting</t>
  </si>
  <si>
    <t>Each creature within [#] ft of the [MON] that can hear it has disadvantage on concentration checks.</t>
  </si>
  <si>
    <t>Disadvantage vs [MON] Ability</t>
  </si>
  <si>
    <t>Pounce</t>
  </si>
  <si>
    <t>If the target of this attack is prone, the [MON] can make two attacks against it as a bonus action.</t>
  </si>
  <si>
    <t>Hunter's Aim</t>
  </si>
  <si>
    <t>Once per turn, the [MON] can deal an extra [#dX] damage when it hits a target with a ranged attack.</t>
  </si>
  <si>
    <t>Flaming Sword</t>
  </si>
  <si>
    <t>Ongoing Damage, Variable Damage Type</t>
  </si>
  <si>
    <t>takes [#dX] [DMG_TYPE] or [DMG_TYPE] damage (the [MON]'s choice) at the start of each of its turns.</t>
  </si>
  <si>
    <t>Fire (d6), Radiant (d6)</t>
  </si>
  <si>
    <t>The [MON] can move through the space of a prone creature as long as it does not end its turn there.</t>
  </si>
  <si>
    <t>The [MON] gains temporary hit points equal to the single highest amount of [DMG_TYPE] damage dealt.</t>
  </si>
  <si>
    <t>Weaken Resolve</t>
  </si>
  <si>
    <t>The [MON] has advantage on Charisma (Deception) and Charisma (Persuasion) checks against humanoids.</t>
  </si>
  <si>
    <t>Reflective Aggression</t>
  </si>
  <si>
    <t>The [MON] has disadvantage on attack rolls against creatures that haven't hit it within [DURATION].</t>
  </si>
  <si>
    <t>All Non-Construct Non-Undead Creatures Within Range</t>
  </si>
  <si>
    <t>The [MON] targets each creature that isn't a construct or undead within [#] ft of it. [TGT_EFFECT].</t>
  </si>
  <si>
    <t>Potent Damage</t>
  </si>
  <si>
    <t>The [MON]'s attacks ignore resistance to [DMG_TYPE] damage. Creatures with immunity are unaffected.</t>
  </si>
  <si>
    <t>Astral Bolt</t>
  </si>
  <si>
    <t>The next attack roll made against the target before the end of the [MON]'s next turn has advantage.</t>
  </si>
  <si>
    <t>The target's Charisma score is reduced by [#dX]. The target dies if this reduces its Charisma to 0.</t>
  </si>
  <si>
    <t>The target's Strength score is reduced by [#dX]. The target dies if this reduces its Strength to 0.</t>
  </si>
  <si>
    <t>Pierce the Veil</t>
  </si>
  <si>
    <t>When a creature [MON] can see is stunned by Mind Ravage [MON] learns one secret the creature knows.</t>
  </si>
  <si>
    <t>Melodious Recharge</t>
  </si>
  <si>
    <t>Whenever the [MON] is hit by a magical weapon attack, it recharges its Purifying Resonance ability.</t>
  </si>
  <si>
    <t>While grappled in this way, a creature can't breathe, speak, or cast spells with verbal components.</t>
  </si>
  <si>
    <t>Beast Form</t>
  </si>
  <si>
    <t>While in beast form it retains its game statistics can't cast spells can't use Hex and can't speak.</t>
  </si>
  <si>
    <t>Cat Sneak</t>
  </si>
  <si>
    <t>While in dim light or darkness, the [MON] has advantage on Dexterity (Stealth) checks made to hide.</t>
  </si>
  <si>
    <t>Carrion Curse</t>
  </si>
  <si>
    <t>Curse Effect, Spawning</t>
  </si>
  <si>
    <t>A creature slain by this curse has a 75% chance of rising again as a blood zombie within [DURATION].</t>
  </si>
  <si>
    <t>Maddened by Extended Charm</t>
  </si>
  <si>
    <t>Charm Effect, Madness</t>
  </si>
  <si>
    <t>A creature that is charmed by the [MON] for more than [DURATION] gains one long-term madness effect.</t>
  </si>
  <si>
    <t>After doing so, the [MON] swims up to half its swimming speed without provoking opportunity attacks.</t>
  </si>
  <si>
    <t>Action End</t>
  </si>
  <si>
    <t>Any creature can use an action to end this effect on itself or another creature within [#] ft of it.</t>
  </si>
  <si>
    <t>Ethereal Jaunt</t>
  </si>
  <si>
    <t>As a bonus action, the [MON] can shift from the Material Plane to the Ethereal Plane, or vice versa.</t>
  </si>
  <si>
    <t>Blood Drain</t>
  </si>
  <si>
    <t>At the start of each of the [MON]'s turns, each target grappled by it takes [#dX] [DMG_TYPE] damage.</t>
  </si>
  <si>
    <t>Distrust</t>
  </si>
  <si>
    <t>distrusts allies and can't give/receive aid from them on next turn including spells and Help action.</t>
  </si>
  <si>
    <t>Whirling Winds</t>
  </si>
  <si>
    <t>Gale-force winds rage around the [MON]. Ranged weapon attacks against it are made with disadvantage.</t>
  </si>
  <si>
    <t>Devil Summoning</t>
  </si>
  <si>
    <t>The [MON] can attempt a magical summoning. The [MON] has a 25 percent chance of summoning one [MON].</t>
  </si>
  <si>
    <t>Demon Summoning</t>
  </si>
  <si>
    <t>The [MON] can attempt a magical summoning. The [MON] has a 35 percent chance of summoning one [MON].</t>
  </si>
  <si>
    <t>The [MON] can attempt a magical summoning. The [MON] has a 40 percent chance of summoning one [MON].</t>
  </si>
  <si>
    <t>Malleable Internal Structure</t>
  </si>
  <si>
    <t>The [MON] can move at half its burrowing speed through any opening large enough for a Tiny creature.</t>
  </si>
  <si>
    <t>Recall Severed Head</t>
  </si>
  <si>
    <t>The [MON] commands all severed heads attached to creatures to detach and return to the [MON]'s belt.</t>
  </si>
  <si>
    <t>Cheek Worm Regrowth</t>
  </si>
  <si>
    <t>The [MON] has [#] worms stored in its cheeks. Used worms regrow when the [MON] finishes a long rest.</t>
  </si>
  <si>
    <t>Concentration Breaker</t>
  </si>
  <si>
    <t>The [MON] has advantage on attack rolls against a target that is currently concentrating on a spell.</t>
  </si>
  <si>
    <t>Scourge of the Seekers</t>
  </si>
  <si>
    <t>The [MON] has advantage on attack rolls against creatures with darkvision, blindsight, or truesight.</t>
  </si>
  <si>
    <t>Forest and Grassland Camouflage</t>
  </si>
  <si>
    <t>The [MON] has advantage on Dexterity (Stealth) checks made to hide in forest terrain and tall grass.</t>
  </si>
  <si>
    <t>All Non-Undead Non-Constructs Within Range</t>
  </si>
  <si>
    <t>The [MON] targets each creature within [#] ft of it that isn't an undead or construct. [TGT_EFFECT].</t>
  </si>
  <si>
    <t>The [MON] transforms into an inanimate object of its approximate size or changes into its true form.</t>
  </si>
  <si>
    <t>The [MON] transforms into one or more alternate forms, or back into its true form as a bonus action.</t>
  </si>
  <si>
    <t>Counterproposal</t>
  </si>
  <si>
    <t>The [MON] uses Sweet Promises on a creature that attacked it or attempted to target it with a spell.</t>
  </si>
  <si>
    <t>When mounted, the [MON] has advantage on attacks against unmounted creatures smaller than its mount.</t>
  </si>
  <si>
    <t>When the [MON] is reduced to 0 hit points, it explodes. Each creature within [#] ft of it [OUTCOME].</t>
  </si>
  <si>
    <t>Drunken Clarity</t>
  </si>
  <si>
    <t>When the [MON] is within [#] ft of an alcoholic beverage, it has truesight out to a range of [#] ft.</t>
  </si>
  <si>
    <t>Hobbling Strike</t>
  </si>
  <si>
    <t>When the [MON] makes a successful opportunity attack, the target's speed is reduced to 0 [DURATION].</t>
  </si>
  <si>
    <t>Improved War Magic</t>
  </si>
  <si>
    <t>When the [MON] uses an action to cast a spell, it can make one weapon attack as part of that action.</t>
  </si>
  <si>
    <t>Desert Stealth</t>
  </si>
  <si>
    <t>While in desert environments, the [MON] can use the Hide action even while under direct observation.</t>
  </si>
  <si>
    <t>Ancient Hatred</t>
  </si>
  <si>
    <t>As a reaction when reduced to 0 hit points, the [MON] makes one final spit venom attack before dying.</t>
  </si>
  <si>
    <t>Roar of Triumph</t>
  </si>
  <si>
    <t>As a reaction when the [MON] reduces a creature to 0 hit points, it gains [#dX] temporary hit points.</t>
  </si>
  <si>
    <t>Void Immunity</t>
  </si>
  <si>
    <t>Communication, Limitation</t>
  </si>
  <si>
    <t>Constructs, undead, and creatures that can speak or understand Void Speech are immune to this effect.</t>
  </si>
  <si>
    <t>Cold Negates</t>
  </si>
  <si>
    <t>If the [MON] has taken [DMG_TYPE] damage since the end of its last turn, this trait doesn't function.</t>
  </si>
  <si>
    <t>Bonus Attack vs Prone Target</t>
  </si>
  <si>
    <t>If the [MON] knocks a creature prone, it can make one attack against that creature as a bonus action.</t>
  </si>
  <si>
    <t>Motion Blur</t>
  </si>
  <si>
    <t>If the [MON] moves at least [#] ft on its turn, attack rolls against it have disadvantage [DURATION].</t>
  </si>
  <si>
    <t>it must use its next action to make one attack against a creature that both it and the [MON] can see.</t>
  </si>
  <si>
    <t>Earthen Camouflage</t>
  </si>
  <si>
    <t>The [MON] adds its proficiency bonus twice to Dexterity (Stealth) checks while in sand, mud, or dirt.</t>
  </si>
  <si>
    <t>Ice Tunneler</t>
  </si>
  <si>
    <t>The [MON] can burrow through ice, snow, and permafrost, leaving a [#] ft diameter tunnel in its wake.</t>
  </si>
  <si>
    <t>Sage Advice</t>
  </si>
  <si>
    <t>The [MON] has advantage on Deception and Persuasion checks when revealing the result of a divination.</t>
  </si>
  <si>
    <t>Undead Hunter</t>
  </si>
  <si>
    <t>The [MON] has advantage on Wisdom (Perception) and Wisdom (Survival) checks to find and track undead.</t>
  </si>
  <si>
    <t>Death Waits</t>
  </si>
  <si>
    <t>The [MON] has disadvantage on melee attack rolls against any creature that has all of its hit points.</t>
  </si>
  <si>
    <t>Fog Vision</t>
  </si>
  <si>
    <t>The [MON] sees normally through light or heavy obscurement caused by fog, mist, clouds, or high wind.</t>
  </si>
  <si>
    <t>Unlimited Sighted and Hearing Creatures Within Range</t>
  </si>
  <si>
    <t>The [MON] targets any number of creatures within [#] ft of it that can see and hear it. [TGT_EFFECT].</t>
  </si>
  <si>
    <t>Invisible Hiding</t>
  </si>
  <si>
    <t>The [MON] turns invisible and takes the Hide action. It remains invisible [DURATION] or takes damage.</t>
  </si>
  <si>
    <t>Next Attack on It Has Advantage</t>
  </si>
  <si>
    <t>The next attack roll made against the target before the start of the [MON]'s next turn has advantage.</t>
  </si>
  <si>
    <t>Mob Dispersal</t>
  </si>
  <si>
    <t>When the [MON] is reduced to 0 hit points, it turns into [#dX + [#]] [MON]s with [#] hit points each.</t>
  </si>
  <si>
    <t>Presage Death</t>
  </si>
  <si>
    <t>While cursed in this way, a creature has disadvantage on saving throws against the [MON]'s abilities.</t>
  </si>
  <si>
    <t>Intoxicating Touch</t>
  </si>
  <si>
    <t>While cursed in this way, a creature has disadvantage on Wisdom saving throws and all ability checks.</t>
  </si>
  <si>
    <t>Strength Sapping Poison</t>
  </si>
  <si>
    <t>Ability Score Damage, Poison Effect</t>
  </si>
  <si>
    <t>While poisoned in this way, a creature takes [#dX] Strength damage at the start of each of its turns.</t>
  </si>
  <si>
    <t>Drunken Disadvantage</t>
  </si>
  <si>
    <t>A creature that has consumed alcohol within the past [DURATION] has disadvantage on this saving throw.</t>
  </si>
  <si>
    <t>Disadvantage if Damaged</t>
  </si>
  <si>
    <t>A creature that has taken damage since the end of its last turn has disadvantage on this saving throw.</t>
  </si>
  <si>
    <t>Energized Body</t>
  </si>
  <si>
    <t>A creature that hits the [MON] with a melee attack using a metal weapon takes [#dX] [DMG_TYPE] damage.</t>
  </si>
  <si>
    <t>Seduce the Righteous</t>
  </si>
  <si>
    <t>A protection from evil and good spell cast on the target prevents this effect, as does a magic circle.</t>
  </si>
  <si>
    <t>Spike Growth</t>
  </si>
  <si>
    <t>Afterward, the area becomes a hazardous zone of spike growth (as the spell), which remains [DURATION].</t>
  </si>
  <si>
    <t>At the start of each of the [MON]'s turns, each creature grappled by it takes [#dX] [DMG_TYPE] damage.</t>
  </si>
  <si>
    <t>Celestial Inspiration</t>
  </si>
  <si>
    <t>can add [#dX] to each attack roll and saving throw it makes before the start of the [MON]'s next turn.</t>
  </si>
  <si>
    <t>Fast Talk</t>
  </si>
  <si>
    <t>gains disadvantage on the next Charisma saving throw it makes before the end of the [MON]'s next turn.</t>
  </si>
  <si>
    <t>Consumption Effect, Petrifying</t>
  </si>
  <si>
    <t>If a creature remains consumed [DURATION], it is petrified until it is freed and [DURATION] afterward.</t>
  </si>
  <si>
    <t>Imperfect Flight</t>
  </si>
  <si>
    <t>If the [MON] has half of its hit points or fewer, its fly speed is halved, and it can't gain altitude.</t>
  </si>
  <si>
    <t>SPLIT</t>
  </si>
  <si>
    <t>Forest Meld</t>
  </si>
  <si>
    <t>The [MON] can meld into any tree in its forest for as long as it wishes, as the meld into stone spell.</t>
  </si>
  <si>
    <t>Flowing Grace</t>
  </si>
  <si>
    <t>The [MON] doesn't provoke opportunity attacks when it flies or swims out of a hostile creatures reach.</t>
  </si>
  <si>
    <t>Serpent Strike</t>
  </si>
  <si>
    <t>The [MON] has advantage on attack rolls against a creature that is charmed by the [MON] or its allies.</t>
  </si>
  <si>
    <t>Silent Wings</t>
  </si>
  <si>
    <t>The [MON] has advantage on Dexterity (Stealth) checks made while flying in forests and urban settings.</t>
  </si>
  <si>
    <t>HP Max Reduction and Self Healing</t>
  </si>
  <si>
    <t>HP Max Reducing, Self Healing</t>
  </si>
  <si>
    <t>The target's hit point max is reduced by [#dX], and the [MON] regains hit points equal to that amount.</t>
  </si>
  <si>
    <t>This effect ends early if the target suffers harm from the [MON] or if the [MON] ends it as an action.</t>
  </si>
  <si>
    <t>Curse of Penalty</t>
  </si>
  <si>
    <t>When a cursed creature makes an attack roll or a saving throw, it must subtract [#dX] from the result.</t>
  </si>
  <si>
    <t>Telepathic Charm</t>
  </si>
  <si>
    <t>Charm Effect, Communication</t>
  </si>
  <si>
    <t>While charmed in this way, a creature can communicate telepathically with the [MON] over any distance.</t>
  </si>
  <si>
    <t>Strength Disadvantage if Grappled</t>
  </si>
  <si>
    <t>While grappled in this way, a creature has disadvantage on Strength checks and Strength saving throws.</t>
  </si>
  <si>
    <t>Thorny Grapple</t>
  </si>
  <si>
    <t>A creature grappled by the [MON] takes [#dX] [DMG_TYPE] damage at the end of each of the [MON]'s turns.</t>
  </si>
  <si>
    <t>Ongoing Damage Disadvantage</t>
  </si>
  <si>
    <t>A creature under an effect that causes ongoing [DMG_TYPE] damage has disadvantage on this saving throw.</t>
  </si>
  <si>
    <t>Deadly Gaze</t>
  </si>
  <si>
    <t>A humanoid slain by a [MON]'s death gaze rises [DURATION] later as a specter under the [MON]'s control.</t>
  </si>
  <si>
    <t>Dexterity Boost</t>
  </si>
  <si>
    <t>gains a bonus to Dexterity-based skill checks and melee attacks equal to the [MON]'s Charisma modifier.</t>
  </si>
  <si>
    <t>Battlefield Commands</t>
  </si>
  <si>
    <t>Artisan's Prowess</t>
  </si>
  <si>
    <t>If a magic item requires an action to activate it, the [MON] can activate it as a bonus action instead.</t>
  </si>
  <si>
    <t>If the [MON] has damaged a creature with blood within the past [DURATION], this trait doesn't function.</t>
  </si>
  <si>
    <t>If the [MON] has taken [DMG_TYPE] damage since the start of its last turn, this trait doesn't function.</t>
  </si>
  <si>
    <t>Moving through difficult terrain doesn't cost the [MON] extra movement, and its speed can't be reduced.</t>
  </si>
  <si>
    <t>Extendable Weaponry</t>
  </si>
  <si>
    <t>The [MON] can extend or shrink its weapon as a bonus action to give it either a [#] ft or [#] ft reach.</t>
  </si>
  <si>
    <t>Fey Ancestry</t>
  </si>
  <si>
    <t>The [MON] has advantage on saving throws made to resist being charmed, and magic can't put it to sleep.</t>
  </si>
  <si>
    <t>Stealthy Sneak</t>
  </si>
  <si>
    <t>The [MON] moves up to half its speed without provoking opportunity attacks, then takes the Hide action.</t>
  </si>
  <si>
    <t>Icy Nature</t>
  </si>
  <si>
    <t>The [MON] requires only half the amount of air, food, and drink that a typical [MON] of its size needs.</t>
  </si>
  <si>
    <t>Dig In</t>
  </si>
  <si>
    <t>To use this reaction, the [MON] must see the attacker and must not have moved during its previous turn.</t>
  </si>
  <si>
    <t>Reaper's Breath</t>
  </si>
  <si>
    <t>Undead creatures treat all damage dealt by this attack as [DMG_TYPE] instead of its normal damage type.</t>
  </si>
  <si>
    <t>When the [MON] ends its turn in contact with sunlight or running water, it takes [#] [DMG_TYPE] damage.</t>
  </si>
  <si>
    <t>Curse of Non-Proficiency</t>
  </si>
  <si>
    <t>While cursed in this way, a creature can't add its proficiency bonus to attack rolls or ability checks.</t>
  </si>
  <si>
    <t>Damaging Grapple</t>
  </si>
  <si>
    <t>While grappled in this way, a creature takes [#dX] [DMG_TYPE] damage at the start of each of its turns.</t>
  </si>
  <si>
    <t>Piercing (d6)</t>
  </si>
  <si>
    <t>Show Mettle</t>
  </si>
  <si>
    <t>While it can see a superior officer, the [MON] has advantage on saving throws against being frightened.</t>
  </si>
  <si>
    <t>While poisoned in this way, a creature takes [#dX] [DMG_TYPE] damage at the start of each of its turns.</t>
  </si>
  <si>
    <t>Commanding Bulk</t>
  </si>
  <si>
    <t>While the [MON] is enlarged, each friendly creature within [#] ft of it can't be charmed or frightened.</t>
  </si>
  <si>
    <t>While the [MON] remains motionless, it is indistinguishable from an ordinary object or terrain feature.</t>
  </si>
  <si>
    <t>Easier to Die</t>
  </si>
  <si>
    <t>A creature reduced to 0 hit points by this damage dies if it fails two death saves before it stabilizes.</t>
  </si>
  <si>
    <t>Catch Me If You Can</t>
  </si>
  <si>
    <t>As a reaction when a creature moves within [#] ft of the [MON], the [MON] can cast the misty step spell.</t>
  </si>
  <si>
    <t>Bouncy Escape</t>
  </si>
  <si>
    <t>As a reaction when the [MON] takes damage from a melee attack, the [MON] moves up to half its fly speed.</t>
  </si>
  <si>
    <t>Repelling Spikes</t>
  </si>
  <si>
    <t>As a reaction, the [MON] adds [#] to its AC against one melee or ranged weapon attack that would hit it.</t>
  </si>
  <si>
    <t>Beast and Plant Passivism</t>
  </si>
  <si>
    <t>Beasts and plants are comfortable around the [MON] and will not attack it unless ordered to or provoked.</t>
  </si>
  <si>
    <t>Wildland Runner</t>
  </si>
  <si>
    <t>Difficult terrain composed of forest underbrush, bushes, or vines doesn't cost the [MON] extra movement.</t>
  </si>
  <si>
    <t>Difficult terrain composed of mud, reeds, or other marshy terrain doesn't cost the [MON] extra movement.</t>
  </si>
  <si>
    <t>Immunity Becomes Resistance</t>
  </si>
  <si>
    <t>If a creature has immunity to [DMG_TYPE] damage, this immunity becomes [DMG_TYPE] resistance [DURATION].</t>
  </si>
  <si>
    <t>Fear All Cards</t>
  </si>
  <si>
    <t>If a deck of many things is brought within [#] ft of a [MON], it emits a psychic wail and disintegrates.</t>
  </si>
  <si>
    <t>Vulnerability to Water</t>
  </si>
  <si>
    <t>If the [MON] is completely immersed in water, it takes [#dX] [DMG_TYPE] damage at the start of its turn.</t>
  </si>
  <si>
    <t>Cold (d4)</t>
  </si>
  <si>
    <t>Aversion of Fire</t>
  </si>
  <si>
    <t>If the [MON] takes [DMG_TYPE] damage, it has disadvantage on attack rolls and ability checks [DURATION].</t>
  </si>
  <si>
    <t>Cold Regeneration</t>
  </si>
  <si>
    <t>If the [MON] takes [DMG_TYPE] damage, this trait doesn't function at the start of the [MON]'s next turn.</t>
  </si>
  <si>
    <t>Fire Touch</t>
  </si>
  <si>
    <t>If the target is a creature, it must succeed on a [#dX] [DMG_TYPE] damage at the start of its next turn.</t>
  </si>
  <si>
    <t>Fire (d4)</t>
  </si>
  <si>
    <t>Lesser Poisoning Knockout</t>
  </si>
  <si>
    <t>Knockout, Nonlethal, Poisoning</t>
  </si>
  <si>
    <t>If this damage reduces a creature to 0 hit points, it is stable but poisoned and unconscious [DURATION].</t>
  </si>
  <si>
    <t>Outcome if No Recent Hit</t>
  </si>
  <si>
    <t>If this is the first time the [MON] has hit the target within the past [DURATION], the target [OUTCOME].</t>
  </si>
  <si>
    <t>The [MON] and a creature charmed by it can communicate telepathically with each other over any distance.</t>
  </si>
  <si>
    <t>The [MON] can burrow through nonmagical snow and earth without disturbing the material it moves through.</t>
  </si>
  <si>
    <t>Domestic Retainer</t>
  </si>
  <si>
    <t>The [MON] can cast the mending and prestidigitation cantrips at will without requiring spell components.</t>
  </si>
  <si>
    <t>Speak with Mosquitos</t>
  </si>
  <si>
    <t>The [MON] can communicate with mosquitos and other mosquito-like creatures as if they shared a language.</t>
  </si>
  <si>
    <t>False Presence</t>
  </si>
  <si>
    <t>The [MON] counts as a fey for purposes of spells and magical effects that detect otherworldly creatures.</t>
  </si>
  <si>
    <t>Flicker</t>
  </si>
  <si>
    <t>The [MON] flickers in and out of sight, and ranged weapon attacks against it are made with disadvantage.</t>
  </si>
  <si>
    <t>Nightmare Mount</t>
  </si>
  <si>
    <t>The [MON] is bonded to a nightmare when it is created. It is encountered with its mount 95% of the time.</t>
  </si>
  <si>
    <t>Unlimited Hearing Humanoids and Giants Within Range</t>
  </si>
  <si>
    <t>The [MON] targets any number of humanoids and giants within [#] ft of it that can hear it. [TGT_EFFECT].</t>
  </si>
  <si>
    <t>One Swimming Beast Within Range</t>
  </si>
  <si>
    <t>The [MON] targets one beast within [#] ft of it that it can see that has a swimming speed. [TGT_EFFECT].</t>
  </si>
  <si>
    <t>The [MON] transforms into Gargantuan beast, a Huge beast, a Medium humanoid, or back into its true form.</t>
  </si>
  <si>
    <t>Mental Agility</t>
  </si>
  <si>
    <t>The [MON] uses its Intelligence instead of its Dexterity to determine its place in the initiative order.</t>
  </si>
  <si>
    <t>Humanoid Hunter</t>
  </si>
  <si>
    <t>When the [MON] hits a humanoid with a weapon attack, the weapon deals an extra [#dX] damage of its type.</t>
  </si>
  <si>
    <t>Faith's Reward</t>
  </si>
  <si>
    <t>When the [MON] restores hit points to another creature, it regains hit points equal to half that amount.</t>
  </si>
  <si>
    <t>No Passengers</t>
  </si>
  <si>
    <t>When the [MON] shifts between planes, it leaves behind any creature it is grappling, ending the grapple.</t>
  </si>
  <si>
    <t>Silencing Poison</t>
  </si>
  <si>
    <t>Poison Effect, Silencing</t>
  </si>
  <si>
    <t>While poisoned in this way, a creature is unable to speak or cast spells that require verbal components.</t>
  </si>
  <si>
    <t>Aura of Anger</t>
  </si>
  <si>
    <t>While the [MON] is conscious, allies within [#] ft of it gain a +[#] bonus to melee weapon damage rolls.</t>
  </si>
  <si>
    <t>Fiery Escape</t>
  </si>
  <si>
    <t>Afterwards, the [MON] is wreathed in flames and teleports up to [#] ft to an unoccupied space it can see.</t>
  </si>
  <si>
    <t>Ally Action Wakes</t>
  </si>
  <si>
    <t>An unconscious creature wakes up if another creature within reach of it uses an action to try to wake it.</t>
  </si>
  <si>
    <t>As a bonus action, the [MON] can spend 1 luck point to gain advantage on its next attack or saving throw.</t>
  </si>
  <si>
    <t>Being within [#] ft of a hostile creature doesn't impose disadvantage on the [MON]'s ranged attack rolls.</t>
  </si>
  <si>
    <t>gains disadvantage on the next attack it makes against the [MON] before the end of the [MON]'s next turn.</t>
  </si>
  <si>
    <t>Acid Weakness</t>
  </si>
  <si>
    <t>If the [MON] has has taken [DMG_TYPE] damage since the end of its last turn, this trait doesn't function.</t>
  </si>
  <si>
    <t>If the [MON] hasn't been immersed in water since the start of its last turn, this trait doesn't function.</t>
  </si>
  <si>
    <t>Surprising Grapple</t>
  </si>
  <si>
    <t>If the [MON] hits a surprised creature with a melee attack, the target is grappled (escape DC [SAVE_DC]).</t>
  </si>
  <si>
    <t>If the [MON] uses its Disgorge Innards action, this trait doesn't function at the start of its next turn.</t>
  </si>
  <si>
    <t>Insect and Serpent Passivism</t>
  </si>
  <si>
    <t>Insects and serpents can't willingly attack the [MON]. They can be forced to do so through magical means.</t>
  </si>
  <si>
    <t>The [MON] can attempt to hide as a bonus action at the end of its turn if it is in dim light or darkness.</t>
  </si>
  <si>
    <t>Experienced Sailor</t>
  </si>
  <si>
    <t>The [MON] has advantage on Dexterity (Acrobatics) checks to maintain its footing while on a sailing ship.</t>
  </si>
  <si>
    <t>Sure-Hooved</t>
  </si>
  <si>
    <t>The [MON] has advantage on Strength and Dexterity checks and saving throws to resist being knocked prone.</t>
  </si>
  <si>
    <t>The [MON] is invisible; creatures that see invisible creatures see the [MON] as a vague humanoid outline.</t>
  </si>
  <si>
    <t>Standing Leap</t>
  </si>
  <si>
    <t>The [MON]'s long jump is up to [#] ft and its high jump is up to [#] ft, with or without a running start.</t>
  </si>
  <si>
    <t>Horrifying Visage</t>
  </si>
  <si>
    <t>This effect can be reversed with a greater restoration spell, but only within [DURATION] of it occurring.</t>
  </si>
  <si>
    <t>When an infected creature no longer has any levels of exhaustion remaining, it recovers from the disease.</t>
  </si>
  <si>
    <t>When the [MON] dies, a consumed creature's hit points return to the amount it had before it was consumed.</t>
  </si>
  <si>
    <t>Anointed Healing</t>
  </si>
  <si>
    <t>Whenever the [MON] casts a spell that restores hit points, that spell restores an extra [#dX] hit points.</t>
  </si>
  <si>
    <t>Other (d10)</t>
  </si>
  <si>
    <t>While cursed in this way, a creature can be detected as a fiend with spells such as detect evil and good.</t>
  </si>
  <si>
    <t>Vile Curse</t>
  </si>
  <si>
    <t>While cursed in this way, a creature must subtract [#dX] from each of its attack rolls and saving throws.</t>
  </si>
  <si>
    <t>While in sunlight, the [MON] moves at half speed and has disadvantage on attack rolls and ability checks.</t>
  </si>
  <si>
    <t>Spines</t>
  </si>
  <si>
    <t>A creature who hits the [MON] with a melee attack while within [#] ft of it takes [#dX] [DMG_TYPE] damage.</t>
  </si>
  <si>
    <t>I'm Bigger That's Why</t>
  </si>
  <si>
    <t>As a bonus action, the [MON] commands one ally within [#] ft of it to make one melee attack as a reaction.</t>
  </si>
  <si>
    <t>gains disadvantage on attack rolls, saving throws, or ability checks (the [MON] chooses which) [DURATION].</t>
  </si>
  <si>
    <t>Stinger</t>
  </si>
  <si>
    <t>If a creature dies while poisoned in this way, casting animate dead on it requires no material components.</t>
  </si>
  <si>
    <t>Outcome if Charged</t>
  </si>
  <si>
    <t>Movement, Toppling</t>
  </si>
  <si>
    <t>If the [MON] moved at least [#] ft straight toward a target before making an attack, the target [OUTCOME].</t>
  </si>
  <si>
    <t>Save with Two Target Effects</t>
  </si>
  <si>
    <t>Save with Two Outcomes</t>
  </si>
  <si>
    <t>Only a wish spell or removing the [MON] from its swamp for 1 year can prevent this trait from functioning.</t>
  </si>
  <si>
    <t>Messy Digger</t>
  </si>
  <si>
    <t>Opportunity attacks against the [MON] have disadvantage when it burrows out of a hostile creature's reach.</t>
  </si>
  <si>
    <t>Charlatan's Bane</t>
  </si>
  <si>
    <t>The [MON] has advantage on Wisdom (Insight) checks to determine if a creature is attempting to deceive it.</t>
  </si>
  <si>
    <t>The [MON] targets each creature within [#] ft of it that can hear it and that isn't a demon. [TGT_EFFECT].</t>
  </si>
  <si>
    <t>The Closest Weakest Creature</t>
  </si>
  <si>
    <t>The [MON] targets the closest creature within [#] ft of it that has [#] hit points or fewer. [TGT_EFFECT].</t>
  </si>
  <si>
    <t>The [MON]'s long jump is up to [#] ft from water or up to [#] ft on land, with or without a running start.</t>
  </si>
  <si>
    <t>Energy Being</t>
  </si>
  <si>
    <t>The first time the [MON] enters a creature's space on a turn, that creature takes [#dX] [DMG_TYPE] damage.</t>
  </si>
  <si>
    <t>Force (d6)</t>
  </si>
  <si>
    <t>This effect ends when the [MON] attacks a different creature or uses this ability on a different creature.</t>
  </si>
  <si>
    <t>Warming Presence</t>
  </si>
  <si>
    <t>Aura, Healing</t>
  </si>
  <si>
    <t>When a ally within [#] ft of the [MON] regains hit points, the creature regains an extra [#dX] hit points.</t>
  </si>
  <si>
    <t>Defensive Frenzy</t>
  </si>
  <si>
    <t>When the [MON] has half its hit points or fewer, the [MON] can make one headbutt attack as a bonus action.</t>
  </si>
  <si>
    <t>Lava Swimmer</t>
  </si>
  <si>
    <t>While in lava, the [MON] has a swimming speed of [#] ft and can move through the lava as if it were water.</t>
  </si>
  <si>
    <t>Shimmering Scales</t>
  </si>
  <si>
    <t>While in water, the [MON] gains three-quarters cover from attacks made by creatures more than [#] ft away.</t>
  </si>
  <si>
    <t>While infected in this way, a creature can't regain hit points unless it is at least partially underwater.</t>
  </si>
  <si>
    <t>While the [MON] is conscious, allies within [#] ft of it have advantage on saves against being frightened.</t>
  </si>
  <si>
    <t>Broken Shell</t>
  </si>
  <si>
    <t>A creature that hits the [MON] with a melee attack while within [#] ft of it takes [#dX] [DMG_TYPE] damage.</t>
  </si>
  <si>
    <t>Acid (d10)</t>
  </si>
  <si>
    <t>Multiple Area Disadvantage</t>
  </si>
  <si>
    <t>A target in overlapping targeted areas has disadvantage on the saving throw, but it takes damage only once.</t>
  </si>
  <si>
    <t>Create Wraith</t>
  </si>
  <si>
    <t>Any humanoid that dies at the hands of a [MON] rises [DURATION] later as a [MON] under the [MON]'s control.</t>
  </si>
  <si>
    <t>Grappled Shield</t>
  </si>
  <si>
    <t>Damage Reduction, Grapple Effect</t>
  </si>
  <si>
    <t>Any non-area attack against the [MON] has a 50 percent chance of hitting a creature grappled by it instead.</t>
  </si>
  <si>
    <t>Fast Hands</t>
  </si>
  <si>
    <t>As a bonus action, the [MON] can take the Use an Object action or make a Dexterity (Sleight of Hand) check.</t>
  </si>
  <si>
    <t>Water Shield</t>
  </si>
  <si>
    <t>As a reaction when the [MON] would take fire damage from a single source, it reduces that fire damage to 0.</t>
  </si>
  <si>
    <t>Unavoidable Damaging Aura</t>
  </si>
  <si>
    <t>At the start of each of the [MON]'s turns, each creature within [#] ft of it takes [#dX] [DMG_TYPE] damage.</t>
  </si>
  <si>
    <t>Acid (d8)</t>
  </si>
  <si>
    <t>Inspiring Sovereign</t>
  </si>
  <si>
    <t>Each ally within [#] ft of the [MON] that can see it has advantage on melee attack rolls and saving throws.</t>
  </si>
  <si>
    <t>Elemental Demise</t>
  </si>
  <si>
    <t>If the [MON] dies, its body dissolves, leaving behind only the equipment the [MON] was wearing or carrying.</t>
  </si>
  <si>
    <t>Target Multiple Creatures if Below Half HP</t>
  </si>
  <si>
    <t>If the [MON] has half its hit points or fewer it can target [#] creatures with this ability instead of one.</t>
  </si>
  <si>
    <t>To My Lover's Side</t>
  </si>
  <si>
    <t>If the [MON] is separated from its mate, each [MON] can use both plane shift and teleport 1/day to reunite.</t>
  </si>
  <si>
    <t>Nonlethal</t>
  </si>
  <si>
    <t>If this damage would reduce a Small or larger target to 0 hit points, it is reduced to 1 hit point instead.</t>
  </si>
  <si>
    <t>It reverts to its true form if it is reduced to 0 hit points or when it uses a bonus action to change back.</t>
  </si>
  <si>
    <t>Dance Tune</t>
  </si>
  <si>
    <t>Disadvantage, Speed Change</t>
  </si>
  <si>
    <t>must dance [DURATION]. While dancing, its movement speed is halved and it has disadvantage on attack rolls.</t>
  </si>
  <si>
    <t>Hungry Frenzy</t>
  </si>
  <si>
    <t>The [MON] has advantage on melee attack rolls against any creature that doesn't have all of its hit points.</t>
  </si>
  <si>
    <t>Seawise</t>
  </si>
  <si>
    <t>The [MON] has an expertise die ([#dX]), which it can add to skill checks made to handle or navigate a ship.</t>
  </si>
  <si>
    <t>Diurnal</t>
  </si>
  <si>
    <t>The [MON] has disadvantage on initiative rolls and Wisdom (Perception) checks at night or when underground.</t>
  </si>
  <si>
    <t>Swamp Stalker</t>
  </si>
  <si>
    <t>The [MON] leaves no tracks or other traces of its passage when it moves through marshland or swamp terrain.</t>
  </si>
  <si>
    <t>The [MON] radiates fear in a [#] ft radius. A creature that starts its turn in the affected area [OUTCOME].</t>
  </si>
  <si>
    <t>Radius Around a Visible Point Within Range</t>
  </si>
  <si>
    <t>The [MON] targets each creature within [#] ft of a point within [#] ft of it that it can see. [TGT_EFFECT].</t>
  </si>
  <si>
    <t>All Hearing Humanoids, Fey, and Giants Within Range</t>
  </si>
  <si>
    <t>The [MON] targets each humanoid, fey, or giant creature within [#] ft of it that can hear it. [TGT_EFFECT].</t>
  </si>
  <si>
    <t>One with the Storm</t>
  </si>
  <si>
    <t>The [MON]'s weapon attacks do an extra [#dX] [DMG_TYPE] damage if it is within 1 mile of a lightning storm.</t>
  </si>
  <si>
    <t>Charging Claw</t>
  </si>
  <si>
    <t>Whether or not the attack hits, the [MON] may then move up to [#] ft without provoking opportunity attacks.</t>
  </si>
  <si>
    <t>Disassembly</t>
  </si>
  <si>
    <t>While disassembled into its snake form, the [MON] can't attack, and attack rolls against it have advantage.</t>
  </si>
  <si>
    <t>Telepathic Bond</t>
  </si>
  <si>
    <t>While they are on the same plane, the [MON] and its creator can communicate telepathically at any distance.</t>
  </si>
  <si>
    <t>Moon-Touched Weapons</t>
  </si>
  <si>
    <t>A creature that takes [DMG_TYPE] damage from a [MON]'s weapon sheds dim light in a [#] ft radius [DURATION].</t>
  </si>
  <si>
    <t>Disadvantage if Confused</t>
  </si>
  <si>
    <t>Confusion, Disadvantage</t>
  </si>
  <si>
    <t>A creature under the effects of a confusion spell or a similar effect has disadvantage on this saving throw.</t>
  </si>
  <si>
    <t>Gain Half Cover</t>
  </si>
  <si>
    <t>After doing so, the [MON] gains half cover against all attacks that originate more than [#] ft away from it.</t>
  </si>
  <si>
    <t>Ruthless</t>
  </si>
  <si>
    <t>After scoring a critical hit on its turn, the [MON] can immediately make one melee attack as a bonus action.</t>
  </si>
  <si>
    <t>After the [MON] takes [DMG_TYPE] damage, its melee attacks deal an extra [#dX] [DMG_TYPE] damage [DURATION].</t>
  </si>
  <si>
    <t>Aura of Damage</t>
  </si>
  <si>
    <t>Each creature within [#] ft of the [MON] takes [#dX] [DMG_TYPE] damage at the beginning of the [MON]'s turn.</t>
  </si>
  <si>
    <t>Effect of Double Hit</t>
  </si>
  <si>
    <t>If a target is hit by this attack twice in the same round (from the same or different [MON]s), [TGT_EFFECT].</t>
  </si>
  <si>
    <t>Outcome of Charge</t>
  </si>
  <si>
    <t>If the [MON] moves at least [#] ft straight toward a target before making this attack, the target [OUTCOME].</t>
  </si>
  <si>
    <t>Radiant Weakness</t>
  </si>
  <si>
    <t>If the [MON] takes [DMG_TYPE] damage while it has half its hit points or fewer, it is frightened [DURATION].</t>
  </si>
  <si>
    <t>Anesthetic</t>
  </si>
  <si>
    <t>is unaware of any damage it takes from this attack [DURATION]. It is still aware of other sources of damage.</t>
  </si>
  <si>
    <t>Unearthly Grace</t>
  </si>
  <si>
    <t>The [MON] applies its Charisma modifier to all of its saving throws in place of the normal ability modifier.</t>
  </si>
  <si>
    <t>Sacred Guardian</t>
  </si>
  <si>
    <t>Lair</t>
  </si>
  <si>
    <t>The [MON] can pinpoint the location of an agent or worshiper of an opposing deity within [#] ft of its lair.</t>
  </si>
  <si>
    <t>Sure Seat</t>
  </si>
  <si>
    <t>The [MON] can't be knocked prone, dismounted, or moved against its will while mounted and not incapacitated.</t>
  </si>
  <si>
    <t>Unlimited Hearing and Understanding Creatures Within Range</t>
  </si>
  <si>
    <t>The [MON] targets any number of creatures within [#] ft of it that can hear and understand it. [TGT_EFFECT].</t>
  </si>
  <si>
    <t>One Visible Sighted Frightened Creature Within Range</t>
  </si>
  <si>
    <t>The [MON] targets one frightened creature within [#] ft of it that it can see that can see it. [TGT_EFFECT].</t>
  </si>
  <si>
    <t>One Injured Humanoid Within Range</t>
  </si>
  <si>
    <t>The [MON] targets one humanoid within [#] ft of it that it can see that is not at full health. [TGT_EFFECT].</t>
  </si>
  <si>
    <t>Arcane Wasting</t>
  </si>
  <si>
    <t>This disease can be cured by lesser restoration if the caster succeeds on a DC [SAVE_DC] spellcasting check.</t>
  </si>
  <si>
    <t>Damaging Detachment</t>
  </si>
  <si>
    <t>When a [MON] detaches from a creature, voluntarily or otherwise, the creature takes [#dX] [DMG_TYPE] damage.</t>
  </si>
  <si>
    <t>Necrotic (d10)</t>
  </si>
  <si>
    <t>Sharp Fragments</t>
  </si>
  <si>
    <t>Whenever the [MON] takes [DMG_TYPE] damage, each creature within [#] ft of it takes [#dX] [DMG_TYPE] damage.</t>
  </si>
  <si>
    <t>Bludgeoning (Other), Piercing (d4)</t>
  </si>
  <si>
    <t>Disadvantaging Poison</t>
  </si>
  <si>
    <t>Disadvantage, Poison Effect</t>
  </si>
  <si>
    <t>While poisoned in this way, a creature has disadvantage on Intelligence, Wisdom, and Charisma saving throws.</t>
  </si>
  <si>
    <t>Dangerous Grapple</t>
  </si>
  <si>
    <t>A creature grappled by or grappling the [MON] takes [#dX] [DMG_TYPE] damage at the start of the [MON]'s turn.</t>
  </si>
  <si>
    <t>Suffocating Grasp</t>
  </si>
  <si>
    <t>A creature is affected even if it holds its breath, but creatures that don't need to breathe aren't affected.</t>
  </si>
  <si>
    <t>A creature made of inorganic material such as stone, crystal, or metal has disadvantage on this saving throw.</t>
  </si>
  <si>
    <t>Sleep Gas</t>
  </si>
  <si>
    <t>An unconscious creature can repeat this saving throw at the end of each of its turns, waking up on a success.</t>
  </si>
  <si>
    <t>All-Around Vision</t>
  </si>
  <si>
    <t>Attackers never gain advantage on attacks or bonus damage against a [MON] from the presence of nearby allies.</t>
  </si>
  <si>
    <t>Breath Weapon</t>
  </si>
  <si>
    <t>Painted for War</t>
  </si>
  <si>
    <t>Each ally within [#] ft of the [MON] that can see it has advantage on saving throws against being frightened.</t>
  </si>
  <si>
    <t>Brittle</t>
  </si>
  <si>
    <t>AC Change, Speed Change, Weakness</t>
  </si>
  <si>
    <t>If the [MON] takes [DMG_TYPE] damage, its speed is reduced by [#] ft and its AC is reduced by [#] [DURATION].</t>
  </si>
  <si>
    <t>Paralyzing, Poisoning</t>
  </si>
  <si>
    <t>is stable but poisoned and paralyzed [DURATION]. Regaining hit points doesn't end the poisoning or paralysis.</t>
  </si>
  <si>
    <t>Bringer of Darkness</t>
  </si>
  <si>
    <t>The [MON] dims the light around it. The radius of each light source within [#] ft of it is halved [DURATION].</t>
  </si>
  <si>
    <t>Bred to the Saddle</t>
  </si>
  <si>
    <t>The [MON] do not take any penalties to their movement or speed due to encumbrance or carrying a single rider.</t>
  </si>
  <si>
    <t>The [MON] doesn't provoke opportunity attacks when it moves, provided it moves only in dim light or darkness.</t>
  </si>
  <si>
    <t>Slippery</t>
  </si>
  <si>
    <t>The [MON] has advantage on ability checks and saves made to escape a grapple or end the restrained condition.</t>
  </si>
  <si>
    <t>Frothing Rage</t>
  </si>
  <si>
    <t>The [MON] has advantage on attacks if it saw another [MON] hit with an attack since the end of its last turn.</t>
  </si>
  <si>
    <t>Water Spirit</t>
  </si>
  <si>
    <t>The [MON] is under the effects of a freedom of movement spell whenever it is in contact with a body of water.</t>
  </si>
  <si>
    <t>The [MON] never needs to make Dexterity checks to move or avoid falling prone because of icy or snowy ground.</t>
  </si>
  <si>
    <t>Sunlight Regeneration</t>
  </si>
  <si>
    <t>The [MON] regains [#] hit points at the start of its turn if it has at least 1 hit points and is in sunlight.</t>
  </si>
  <si>
    <t>Cube of Water Within Range</t>
  </si>
  <si>
    <t>The [MON] targets a [#] ft cube of water centered on point within [#] ft of it that it can see. [TGT_EFFECT].</t>
  </si>
  <si>
    <t>All Creatures Within Range of a Visible Point Within Range</t>
  </si>
  <si>
    <t>The [MON] targets each creature within [#] ft of a point the [MON] can see within [#] ft of it. [TGT_EFFECT].</t>
  </si>
  <si>
    <t>One Intelligent Creature Within Range</t>
  </si>
  <si>
    <t>The [MON] targets one creature within [#] ft of it with an Intelligence score of [#] or higher. [TGT_EFFECT].</t>
  </si>
  <si>
    <t>Mobile Grappler</t>
  </si>
  <si>
    <t>While grappling a creature the [MON] can move at its full speed carrying the grappled creature along with it.</t>
  </si>
  <si>
    <t>Glowing Organs</t>
  </si>
  <si>
    <t>While underwater, the [MON]'s internal organs glow an eerie pale blue, shedding dim light in a [#] ft radius.</t>
  </si>
  <si>
    <t>A creature that successfully saves against this effect can't be affected by it from the same [MON] [DURATION].</t>
  </si>
  <si>
    <t>Exhaustion Limitation</t>
  </si>
  <si>
    <t>A creature with more than half its hit points can't suffer more than one level of exhaustion from this effect.</t>
  </si>
  <si>
    <t>Soul's Respite</t>
  </si>
  <si>
    <t>A good-aligned creature who takes a short rest within [#] ft of a [MON] gains all the benefits of a long rest.</t>
  </si>
  <si>
    <t>Churning Advance</t>
  </si>
  <si>
    <t>As a bonus action, the [MON] moves up to five times its speed, leaving a trail of difficult terrain behind it.</t>
  </si>
  <si>
    <t>If the [MON] dies within its bound region, the [MON] returns to life in [DURATION] and regains all hit points.</t>
  </si>
  <si>
    <t>Protector's Initiative</t>
  </si>
  <si>
    <t>If the [MON] is entering combat against a clear threat to its temple, it has advantage on its initiative roll.</t>
  </si>
  <si>
    <t>If the [MON] moves at half speed, attacks made against it before the start of its next turn have disadvantage.</t>
  </si>
  <si>
    <t>HP Max Reduction if Disheartened</t>
  </si>
  <si>
    <t>If the target is disheartened, its hit point max is reduced by an amount equal to the [DMG_TYPE] damage taken.</t>
  </si>
  <si>
    <t>Share/Heal Full Damage Dealt</t>
  </si>
  <si>
    <t>Grapple Effect, Healing, Self Healing</t>
  </si>
  <si>
    <t>The [MON] and any creature grappled by its Life Tether regain hit points equal to the [DMG_TYPE] damage dealt.</t>
  </si>
  <si>
    <t>Aura of Defiance</t>
  </si>
  <si>
    <t>The [MON] and any undead within [#] ft of it have advantage on saving throws against effects that turn undead.</t>
  </si>
  <si>
    <t>Tongueless Utterance</t>
  </si>
  <si>
    <t>The [MON] can cast a spell without performing the vocal component unless the spell only has a vocal component.</t>
  </si>
  <si>
    <t>The [MON] can see clearly through light or heavy obscurement caused by fog, mist, or spells such as fog cloud.</t>
  </si>
  <si>
    <t>Cold Eyes</t>
  </si>
  <si>
    <t>The [MON] can see perfectly in snowy conditions, including driving blizzards, and is immune to snow blindness.</t>
  </si>
  <si>
    <t>Herd-Hidden</t>
  </si>
  <si>
    <t>The [MON] has advantage on Dexterity (Stealth) and Charisma (Deception) checks to blend into a herd of beasts.</t>
  </si>
  <si>
    <t>Plant Camouflage</t>
  </si>
  <si>
    <t>The [MON] has advantage on Dexterity (Stealth) checks made to hide in terrain with ample obscuring plant life.</t>
  </si>
  <si>
    <t>The [MON] is invisible in darkness or in bright light. It can only be seen via normal means when in dim light.</t>
  </si>
  <si>
    <t>Song of Sunrise</t>
  </si>
  <si>
    <t>The [MON] sings a song to welcome the dawn, causing sunlight to shine in a [#] ft radius around it [DURATION].</t>
  </si>
  <si>
    <t>All Intelligent Creatures Within Range</t>
  </si>
  <si>
    <t>The [MON] targets each creature within [#] ft of it with an Intelligence score of [#] or higher. [TGT_EFFECT].</t>
  </si>
  <si>
    <t>One Not-Looking Humanoid in Dim Light Within Range</t>
  </si>
  <si>
    <t>The [MON] targets one humanoid within [#] ft of it that is in dim light and can't see the [MON]. [TGT_EFFECT].</t>
  </si>
  <si>
    <t>Smoke Jump</t>
  </si>
  <si>
    <t>The [MON] teleports to an unoccupied space within [#] ft of it that is partially or heavily obscured by smoke.</t>
  </si>
  <si>
    <t>Scorpion Step</t>
  </si>
  <si>
    <t>When in sand terrain, the [MON] ignores difficult terrain, doesn't leave tracks, and gains tremorsense [#] ft.</t>
  </si>
  <si>
    <t>Blur of Motion</t>
  </si>
  <si>
    <t>When the [MON] moves at least [#] ft on its turn, ranged attack rolls against it have disadvantage [DURATION].</t>
  </si>
  <si>
    <t>Shapeshifter Reveal</t>
  </si>
  <si>
    <t>When the [MON] uses this ability, it immediately shapeshifts into its true form if it has not already done so.</t>
  </si>
  <si>
    <t>Healed by Blood</t>
  </si>
  <si>
    <t>Whenever a creature is reduced to 0 hit points within [#] ft of the [MON], the [MON] regains [#dX] hit points.</t>
  </si>
  <si>
    <t>Aura of Drunkenness</t>
  </si>
  <si>
    <t>Movement, Poison Effect, Toppling</t>
  </si>
  <si>
    <t>While poisoned in this way, a creature falls prone if it tries to move more than half its speed during a turn.</t>
  </si>
  <si>
    <t>Eerie Groan</t>
  </si>
  <si>
    <t>While the [MON] can see a non-devil within [#] ft of it, it emits a groan that is audible within [#] ft of it.</t>
  </si>
  <si>
    <t>Bloodied Regeneration</t>
  </si>
  <si>
    <t>While the [MON] has half its hit points or fewer, it regains [#] hit points at the start of each of its turns.</t>
  </si>
  <si>
    <t>Contain</t>
  </si>
  <si>
    <t>A creature has disadvantage on this saving throw if the [MON] used Come Together to form in the target's space.</t>
  </si>
  <si>
    <t>Umbral Glimmer</t>
  </si>
  <si>
    <t>At the end of each of the [MON]'s turns, it must roll a d20. On a roll of 11 or higher, it enters the Plane of.</t>
  </si>
  <si>
    <t>Earth Dependency</t>
  </si>
  <si>
    <t>If the [MON] is grappled and removed from the ground this trait doesn't function at the start of its next turn.</t>
  </si>
  <si>
    <t>Only its beast and hybrid forms retain its swimming speed, and its beast form doesn't retain its walking speed.</t>
  </si>
  <si>
    <t>Stealth in Darkness</t>
  </si>
  <si>
    <t>The [MON] adds its proficiency bonus twice to Dexterity (Stealth) checks made to hide in dim light or darkness.</t>
  </si>
  <si>
    <t>The [MON] has advantage on attack rolls if it is sharing its space with another [MON] that isn't incapacitated.</t>
  </si>
  <si>
    <t>The [MON] regains [#] hit points at the start of its turn if at least part of its body is in contact with lava.</t>
  </si>
  <si>
    <t>One Object or Creature Within Range</t>
  </si>
  <si>
    <t>The [MON] targets one creature or an object weighing no more than [#] pounds within [#] ft of it. [TGT_EFFECT].</t>
  </si>
  <si>
    <t>The [MON] transforms into any Small or Medium humanoid creature it has seen before, or back into its true form.</t>
  </si>
  <si>
    <t>Weapon Transformation</t>
  </si>
  <si>
    <t>The only equipment that is transformed is its weapon, which shrinks so that it can be wielded in humanoid form.</t>
  </si>
  <si>
    <t>Elite Sharpshooter</t>
  </si>
  <si>
    <t>This attack ignores half or three-quarters cover and long range doesn't impose disadvantage on the attack roll.</t>
  </si>
  <si>
    <t>Damaging Aura</t>
  </si>
  <si>
    <t>When a creature hits the [MON] with a melee attack while within [#] ft of it, it takes [#dX] [DMG_TYPE] damage.</t>
  </si>
  <si>
    <t>When in dim light or darkness, the [MON] can take the Hide action as a bonus action, even while being observed.</t>
  </si>
  <si>
    <t>Easily Enchanted if Charmed</t>
  </si>
  <si>
    <t>While charmed in this way, a creature has disadvantage on saving throws against the [MON]'s enchantment spells.</t>
  </si>
  <si>
    <t>While grappled in this way, a creature takes [#dX] [DMG_TYPE] damage at the start of each of the [MON]'s turns.</t>
  </si>
  <si>
    <t>Night Hunters</t>
  </si>
  <si>
    <t>While it is in dim light or darkness, the [MON] has advantage on Wisdom (Perception) checks that rely on sight.</t>
  </si>
  <si>
    <t>While merged with a beast, the [MON] can communicate with beasts of the same type as if they shared a language.</t>
  </si>
  <si>
    <t>Expansive</t>
  </si>
  <si>
    <t>A creature at least one size smaller than the [MON] can travel through and finish its turn in the [MON]'s space.</t>
  </si>
  <si>
    <t>Engulfing Body</t>
  </si>
  <si>
    <t>A creature that enters the [MON]'s space is subjected to the saving throw and consequences of its Engulf attack.</t>
  </si>
  <si>
    <t>Reactive Tail</t>
  </si>
  <si>
    <t>As a reaction when the [MON] is targeted with a melee attack, it can make one melee attack against the attacker.</t>
  </si>
  <si>
    <t>For each head the [MON] has beyond one, it gets an extra reaction that can be used only for opportunity attacks.</t>
  </si>
  <si>
    <t>Disadvantage vs Same Damage Type</t>
  </si>
  <si>
    <t>gains disadvantage on its next saving throw against any of the [MON]'s spells that deal the same type of damage.</t>
  </si>
  <si>
    <t>Lord of the Fishes</t>
  </si>
  <si>
    <t>If an affected creature takes damage, it can repeat this saving throw, ending the effect on itself on a success.</t>
  </si>
  <si>
    <t>Equipment Damage, Magic Disrupting</t>
  </si>
  <si>
    <t>One randomly determined magic item in the target's possession is immediately affected by the Mana Erosion trait.</t>
  </si>
  <si>
    <t>The [MON] can communicate simple ideas, emotions, and images telepathically to any creature within [#] ft of it.</t>
  </si>
  <si>
    <t>Speak with Aquatic Creatures</t>
  </si>
  <si>
    <t>The [MON] can communicate with beasts and monstrosities that have a swimming speed as if they shared a language.</t>
  </si>
  <si>
    <t>Powerful Leap</t>
  </si>
  <si>
    <t>The [MON] can jump three times the normal distance with a running start, or half as far without a running start.</t>
  </si>
  <si>
    <t>Ready for Trouble</t>
  </si>
  <si>
    <t>The [MON] can't be surprised, and it has advantage on initiative rolls if it isn't incapacitated or unconscious.</t>
  </si>
  <si>
    <t>Summon Midnight</t>
  </si>
  <si>
    <t>The [MON] causes night to fall in a 5-mile-diameter area [DURATION]. The [MON] can end this effect as an action.</t>
  </si>
  <si>
    <t>Tomb Bound</t>
  </si>
  <si>
    <t>The [MON] is bound to the area it defends. It can't move more than [#] ft from the place it is bound to protect.</t>
  </si>
  <si>
    <t>Savage Hunger</t>
  </si>
  <si>
    <t>The [MON] scores a critical hit if it lands an attack against a creature that hasn't taken a turn yet in combat.</t>
  </si>
  <si>
    <t>Iridescence</t>
  </si>
  <si>
    <t>The [MON] sheds bright light in a color of its choice in a [#] ft radius and dim light for an additional [#] ft.</t>
  </si>
  <si>
    <t>Burning Hatred</t>
  </si>
  <si>
    <t>The [MON] targets the focus of its Fearsome Pursuit, assuming the creature is within [#] ft of it. [TGT_EFFECT].</t>
  </si>
  <si>
    <t>Divine Conduit</t>
  </si>
  <si>
    <t>The deity that created the [MON] can see everything it sees and can instantly recall it to its side at any time.</t>
  </si>
  <si>
    <t>Ends if Damaged</t>
  </si>
  <si>
    <t>Effect Ending, Extra Damage</t>
  </si>
  <si>
    <t>The next time an affected creature takes damage, it takes an extra [#dX] [DMG_TYPE] damage, and the effect ends.</t>
  </si>
  <si>
    <t>Smite</t>
  </si>
  <si>
    <t>When the [MON] hits a creature with a melee attack, it can choose to deal an additional [#dX] [DMG_TYPE] damage.</t>
  </si>
  <si>
    <t>Radiant (d8)</t>
  </si>
  <si>
    <t>Flameform</t>
  </si>
  <si>
    <t>When the [MON] is reduced to 0 hit points, falls unconscious, or dies in this form, it reverts to its true form.</t>
  </si>
  <si>
    <t>One with the Woods</t>
  </si>
  <si>
    <t>While [MON] remains motionless in forest terrain is indistinguishable from an old decomposing log or tree stump.</t>
  </si>
  <si>
    <t>Curse of Ill Manners</t>
  </si>
  <si>
    <t>While cursed in this way, a creature has disadvantage on all ability checks and saving throws based on Charisma.</t>
  </si>
  <si>
    <t>Sunlight Sensitivity</t>
  </si>
  <si>
    <t>While in sunlight, the [MON] has disadvantage on attack rolls and Wisdom (Perception) checks that rely on sight.</t>
  </si>
  <si>
    <t>A creature attacking the [MON] with a metal weapon while within [#] ft of it has disadvantage on the attack roll.</t>
  </si>
  <si>
    <t>Variable Immunity</t>
  </si>
  <si>
    <t>As a bonus action, the [MON] changes one of its damage resistances to immunity to that type of damage [DURATION].</t>
  </si>
  <si>
    <t>Hunter's Dash</t>
  </si>
  <si>
    <t>As a bonus action, the [MON] takes the Dash action. When it does so, it has advantage on attack rolls [DURATION].</t>
  </si>
  <si>
    <t>Drift</t>
  </si>
  <si>
    <t>As a reaction when a creature moves to within [#] ft of the [MON], the [MON] can fly up to half its flying speed.</t>
  </si>
  <si>
    <t>Bestow Luck</t>
  </si>
  <si>
    <t>gains advantage on the next ability check, attack roll, or saving throw it makes before the end of its next turn.</t>
  </si>
  <si>
    <t>Critical Malfunction</t>
  </si>
  <si>
    <t>If an attacker scores a critical hit against the [MON], roll a d10. On a 1 or 2, the [MON] is stunned [DURATION].</t>
  </si>
  <si>
    <t>If the [MON] is adjacent to an area of smoke or mist, it can take a Hide action even if under direct observation.</t>
  </si>
  <si>
    <t>Outcome of Hearing Monster Move</t>
  </si>
  <si>
    <t>If the [MON] moves at least [#] ft, each beast or humanoid within [#] ft of the [MON] that can hear it [OUTCOME].</t>
  </si>
  <si>
    <t>Vault Keeper</t>
  </si>
  <si>
    <t>Secret doors and illusory walls within [#] ft of the [MON] have the DC to detect their presence increased by [#].</t>
  </si>
  <si>
    <t>Difficult Terrain Outcome</t>
  </si>
  <si>
    <t>That area becomes difficult terrain [DURATION]. A creature that enters the area or ends its turn there [OUTCOME].</t>
  </si>
  <si>
    <t>The [MON] and any equipment it wears or carries turns invisible [DURATION], becomes incapacitated, or [DURATION].</t>
  </si>
  <si>
    <t>Speak with Elephantines</t>
  </si>
  <si>
    <t>The [MON] can communicate with any elephant, mammoth, or other elephantine creature as if they shared a language.</t>
  </si>
  <si>
    <t>Quadruped</t>
  </si>
  <si>
    <t>The [MON] can drop any objects it is holding to run on all fours. When it does so, its speed increases to [#] ft.</t>
  </si>
  <si>
    <t>The [MON] can pinpoint, by scent, the location of creatures that aren't constructs or undead within [#] ft of it.</t>
  </si>
  <si>
    <t>The [MON] counts as one size larger when determining carrying capacity and the weight it can push, drag, or lift.</t>
  </si>
  <si>
    <t>Dismantle</t>
  </si>
  <si>
    <t>The [MON] destroys up to a 5 ft cube of nonmagical debris, structure, or object that isn't being worn or carried.</t>
  </si>
  <si>
    <t>Oasis Camouflage</t>
  </si>
  <si>
    <t>The [MON] has advantage on Dexterity (Stealth) checks made to hide in a desert or in sandy terrain beneath water.</t>
  </si>
  <si>
    <t>One Visible Hearing and Comprehending Creature Within Range</t>
  </si>
  <si>
    <t>The [MON] targets one creature within [#] ft of it that it can see that can hear and understand it. [TGT_EFFECT].</t>
  </si>
  <si>
    <t>Ally Action Ends Effect</t>
  </si>
  <si>
    <t>This effect ends early if another creature within reach of an affected creature uses an action to end the effect.</t>
  </si>
  <si>
    <t>Shepherd of Death</t>
  </si>
  <si>
    <t>When an undead under the [MON]'s control hits with any weapon, the weapon deals an extra [#dX] [DMG_TYPE] damage.</t>
  </si>
  <si>
    <t>Necrotic (d8)</t>
  </si>
  <si>
    <t>While charmed in this way, a creature must move toward the [MON] at normal speed and try to pet it or pick it up.</t>
  </si>
  <si>
    <t>Debilitating Touch</t>
  </si>
  <si>
    <t>While cursed in this way, a creature has disadvantage on Dexterity and Strength ability checks and saving throws.</t>
  </si>
  <si>
    <t>Windborne</t>
  </si>
  <si>
    <t>While in blowing wind, the [MON] can fly with a speed of [#] ft. In a strong wind this speed increases to [#] ft.</t>
  </si>
  <si>
    <t>Harrying Attacks</t>
  </si>
  <si>
    <t>If the [MON] attacks two creatures in the same turn, the first target has disadvantage on attack rolls [DURATION].</t>
  </si>
  <si>
    <t>If the [MON] is in a temple, shrine, or other structure dedicated to a chaotic deity, this trait doesn't function.</t>
  </si>
  <si>
    <t>If the [MON] reduces a humanoid to 0 hit points with a critical hit, it can use a bonus action to kill the target.</t>
  </si>
  <si>
    <t>Melting Away</t>
  </si>
  <si>
    <t>AC Change, Weakness</t>
  </si>
  <si>
    <t>If the [MON] takes [DMG_TYPE] damage, its AC is reduced by [#] and it has disadvantage on attack rolls [DURATION].</t>
  </si>
  <si>
    <t>Relentless Tracker</t>
  </si>
  <si>
    <t>Once the [MON] has grappled a creature, it has advantage on ability checks made to track that creature [DURATION].</t>
  </si>
  <si>
    <t>The [MON] can be put to rest permanently by properly burying its mortal remains in consecrated or hallowed ground.</t>
  </si>
  <si>
    <t>The [MON] can burrow through solid rock at half its burrowing speed, leaving a [#] ft diameter tunnel in its wake.</t>
  </si>
  <si>
    <t>Ethereal Visibility</t>
  </si>
  <si>
    <t>The [MON] can choose to be visible to creatures on the Material Plane while on the Ethereal Plane, and vice versa.</t>
  </si>
  <si>
    <t>Extinguish Flames</t>
  </si>
  <si>
    <t>The [MON] can extinguish candles, lamps, lanterns and low-burning campfires within [#] ft of it as a bonus action.</t>
  </si>
  <si>
    <t>Squat Body</t>
  </si>
  <si>
    <t>The [MON] has advantage on ability checks and saving throws to resist effects that would move it against its will.</t>
  </si>
  <si>
    <t>Jungle Regeneration</t>
  </si>
  <si>
    <t>The [MON] regains [#] hit points at the start of its turn if it has at least 1 hit point and is in jungle terrain.</t>
  </si>
  <si>
    <t>The [MON]'s madness unnerves those nearby. Any creature that starts its turn within [#] ft of the [MON] [OUTCOME].</t>
  </si>
  <si>
    <t>The [MON]'s tails remain, however, and its humanoid form often has a fine coat of fur the same color as the [MON].</t>
  </si>
  <si>
    <t>Extra Damage, Movement</t>
  </si>
  <si>
    <t>This attack deals an extra [#dX] [DMG_TYPE] damage if the [MON] started its turn at least [#] ft above the target.</t>
  </si>
  <si>
    <t>Ingest</t>
  </si>
  <si>
    <t>When the [MON] dies, a consumed creature is no longer restrained by it and can escape by using [#] ft of movement.</t>
  </si>
  <si>
    <t>Resave Periodically or if Damaged</t>
  </si>
  <si>
    <t>While charmed in this way, a creature can repeat this saving throw every [DURATION] and each time it takes damage.</t>
  </si>
  <si>
    <t>Incapacitated and Unmoving if Charmed</t>
  </si>
  <si>
    <t>Attachment Effect, Charm Effect, Incapacitating, Zero Speed</t>
  </si>
  <si>
    <t>While charmed in this way, a creature is incapacitated, has a speed of 0, and refuses to remove attached alabroza.</t>
  </si>
  <si>
    <t>Tomb Taint</t>
  </si>
  <si>
    <t>Curse Effect, HP Max Reducing, Speed Change</t>
  </si>
  <si>
    <t>While cursed in this way, a creature's speed is halved, and its hit point max decreases by [#dX] every [DURATION].</t>
  </si>
  <si>
    <t>While infected in this way, a creature immediately gains one level of exhaustion that can't be removed [DURATION].</t>
  </si>
  <si>
    <t>Stygian Breath</t>
  </si>
  <si>
    <t>Area, Magic Disrupting, Obscuring</t>
  </si>
  <si>
    <t>Within that area, a dark mist snuffs out nonmagical light sources and dispels magical light of level [#] or lower.</t>
  </si>
  <si>
    <t>A creature that has taken [DMG_TYPE] damage since the start of its last turn has disadvantage on this saving throw.</t>
  </si>
  <si>
    <t>Advantage, Grappling</t>
  </si>
  <si>
    <t>If the [MON] is attacking a creature below it, on a hit, the target is grappled by the [MON] (escape DC [SAVE_DC]).</t>
  </si>
  <si>
    <t>Earth Glide</t>
  </si>
  <si>
    <t>The [MON] can burrow through nonmagical, unworked earth and stone without disturbing the material it moves through.</t>
  </si>
  <si>
    <t>Parting Bite</t>
  </si>
  <si>
    <t>The [MON] can jump up to its speed horizontally or half its speed vertically without provoking opportunity attacks.</t>
  </si>
  <si>
    <t>Quick Step</t>
  </si>
  <si>
    <t>The [MON] can move [#] ft as a reaction when it is attacked. No opportunity attacks are triggered by this movement.</t>
  </si>
  <si>
    <t>Focused Animosity</t>
  </si>
  <si>
    <t>The [MON] has advantage on melee attacks against any target it has seen employ divine magic or wield a holy symbol.</t>
  </si>
  <si>
    <t>The effect lasts [DURATION] or until the [MON] is on a different plane of existence than the target, or [DURATION].</t>
  </si>
  <si>
    <t>When the [MON] takes [DMG_TYPE] damage, each creature sharing its space takes the same amount of [DMG_TYPE] damage.</t>
  </si>
  <si>
    <t>Curse of Weakness</t>
  </si>
  <si>
    <t>While cursed in this way, a creature has disadvantage on attack rolls, Strength checks, and Strength saving throws.</t>
  </si>
  <si>
    <t>Web Sense</t>
  </si>
  <si>
    <t>While in contact with a web, the [MON] knows the exact location of any other creature in contact with the same web.</t>
  </si>
  <si>
    <t>Invisible Passage</t>
  </si>
  <si>
    <t>While invisible, the [MON] leaves no physical evidence of its passage and can't be tracked except by magical means.</t>
  </si>
  <si>
    <t>Creeping Mists</t>
  </si>
  <si>
    <t>While not in sunlight shadowy mist surrounds it. Mist reduces bright light within [#] ft of the [MON] to dim light.</t>
  </si>
  <si>
    <t>Quick Rescue</t>
  </si>
  <si>
    <t>As a bonus action, the [MON] gives one willing creature within [#] ft of it the ability to breathe water [DURATION].</t>
  </si>
  <si>
    <t>Assassinate</t>
  </si>
  <si>
    <t>During its first turn in combat, the [MON] has advantage on attack rolls against any creature that hasn't acted yet.</t>
  </si>
  <si>
    <t>Destroyer of Life</t>
  </si>
  <si>
    <t>If the [MON] reduces a creature to 0 hit points, the creature can be restored to life only by means of a wish spell.</t>
  </si>
  <si>
    <t>Relentless</t>
  </si>
  <si>
    <t>If the [MON] takes [#] damage or less that would reduce it to 0 hit points, it is reduced to [#] hit points instead.</t>
  </si>
  <si>
    <t>Revert to True Form</t>
  </si>
  <si>
    <t>If the target is a shapechanger, it instantly reverts to its true form and can't assume a different form [DURATION].</t>
  </si>
  <si>
    <t>Turning Defiance</t>
  </si>
  <si>
    <t>The [MON] and any other [MON]s within [#] ft of it have advantage on saving throws against effects that turn undead.</t>
  </si>
  <si>
    <t>Spider Climb</t>
  </si>
  <si>
    <t>The [MON] can climb difficult surfaces, including upside down on ceilings, without needing to make an ability check.</t>
  </si>
  <si>
    <t>Speak with Sea Life</t>
  </si>
  <si>
    <t>The [MON] can communicate with amphibious and water breathing beasts and monstrosities as if they shared a language.</t>
  </si>
  <si>
    <t>Clockwork Sights</t>
  </si>
  <si>
    <t>The [MON] does not have disadvantage on attack rolls when making ranged attacks within [#] ft of a hostile creature.</t>
  </si>
  <si>
    <t>The [MON] has advantage on attack rolls against a creature if the creature dealt damage to it in the previous round.</t>
  </si>
  <si>
    <t>Aristocratic Disguise</t>
  </si>
  <si>
    <t>The [MON] in a prepared disguise has advantage on Charisma (Deception) checks made to pass as a humanoid aristocrat.</t>
  </si>
  <si>
    <t>Line Attack or Cone Attack if Underwater</t>
  </si>
  <si>
    <t>The [MON] targets a [#] ft long line that is [#] ft wide, or a [#] ft cone if the [MON] is underwater. [TGT_EFFECT].</t>
  </si>
  <si>
    <t>All Creatures Within Range of Multiple Visible Points Within Range</t>
  </si>
  <si>
    <t>The [MON] targets each creature within [#] ft of up to [#] points within [#] ft of it that it can see. [TGT_EFFECT].</t>
  </si>
  <si>
    <t>Pack Tactics</t>
  </si>
  <si>
    <t>This attack deals an extra [#dX] damage on a hit if the [MON] is within [#] ft of an ally that is not incapacitated.</t>
  </si>
  <si>
    <t>Curse of Extreme Penalty</t>
  </si>
  <si>
    <t>When a cursed creature makes an attack roll, ability check, or saving throw, it must subtract [#dX] from the result.</t>
  </si>
  <si>
    <t>Fishform</t>
  </si>
  <si>
    <t>When the [MON] is reduced to 0 hit points, falls unconscious, or dies in this form, it reverts to its humanoid form.</t>
  </si>
  <si>
    <t>Light Sensitivity</t>
  </si>
  <si>
    <t>While in bright light, the [MON] has disadvantage on attack rolls and Wisdom (Perception) checks that rely on sight.</t>
  </si>
  <si>
    <t>Mirror Scales</t>
  </si>
  <si>
    <t>While the [MON] is in bright light creatures that rely on sight have disadvantage on attack rolls against the [MON].</t>
  </si>
  <si>
    <t>A creature other than the host can use its action to detach the [MON] by succeeding on a DC [SAVE_DC] Strength check.</t>
  </si>
  <si>
    <t>A creature reduced to 0 hit points by this attack is stable but poisoned [DURATION], even after regaining hit points.</t>
  </si>
  <si>
    <t>Air Turbulence</t>
  </si>
  <si>
    <t>A flying creature that enters or starts its turn within [#] ft of the [MON] must land at the end of its turn or fall.</t>
  </si>
  <si>
    <t>Repeat Save When Damaged</t>
  </si>
  <si>
    <t>Poison Ending</t>
  </si>
  <si>
    <t>A poisoned creature can repeat this saving throw each time it takes damage, ending the effect on itself on a success.</t>
  </si>
  <si>
    <t>Blinding Spit</t>
  </si>
  <si>
    <t>Blinding, Poison Effect</t>
  </si>
  <si>
    <t>Minor Magic Resistance</t>
  </si>
  <si>
    <t>As a bonus action, the [MON] gives itself advantage on its next saving throw against spells or other magical effects.</t>
  </si>
  <si>
    <t>Moved by Damage</t>
  </si>
  <si>
    <t>As a reaction when the [MON] takes [DMG_TYPE] damage, it moves up to its speed without provoking opportunity attacks.</t>
  </si>
  <si>
    <t>Wounded Warning</t>
  </si>
  <si>
    <t>As a reaction when the [MON] takes damage from a creature within [#] ft of it, it uses Presage Death on the attacker.</t>
  </si>
  <si>
    <t>If the [MON] has taken [DMG_TYPE] or [DMG_TYPE] damage since the start of its last turn, this trait doesn't function.</t>
  </si>
  <si>
    <t>The [MON] can attempt a magical summoning. The [MON] has a 40 percent chance of summoning either 2 [MON]s or 1 [MON].</t>
  </si>
  <si>
    <t>The [MON] can attempt a magical summoning. The [MON] has a 50 percent chance of summoning one [MON] or one giant ape.</t>
  </si>
  <si>
    <t>Reckless Attack</t>
  </si>
  <si>
    <t>The [MON] can choose to make this attack with advantage. If it does so, attacks against it have advantage [DURATION].</t>
  </si>
  <si>
    <t>Charm Limit</t>
  </si>
  <si>
    <t>Charm Effect, Limitation</t>
  </si>
  <si>
    <t>The [MON] can have only one creature charmed at a time. If it charms another, the effect on the previous target ends.</t>
  </si>
  <si>
    <t>Hide in the Fray</t>
  </si>
  <si>
    <t>The [MON] can Hide as a bonus action if it is within [#] ft of two other creatures engaged in combat with each other.</t>
  </si>
  <si>
    <t>Essential Oiliness</t>
  </si>
  <si>
    <t>The [MON] has advantage on ability checks and saving throws made to escape a grapple or end the restrained condition.</t>
  </si>
  <si>
    <t>The [MON] has advantage on Wisdom (Perception) and Wisdom (Survival) checks to find creatures and objects underwater.</t>
  </si>
  <si>
    <t>Snow Regeneration</t>
  </si>
  <si>
    <t>The [MON] regains [#] hit points at the start of its turn if it has at least 1 hit points and it is in snowy terrain.</t>
  </si>
  <si>
    <t>Unlimited Hostile Non-Construct Non-Undead Within Range</t>
  </si>
  <si>
    <t>The [MON] targets any number of hostile creatures within [#] ft of it that aren't constructs or undead. [TGT_EFFECT].</t>
  </si>
  <si>
    <t>Gift of Blood</t>
  </si>
  <si>
    <t>The [MON] transforms a fey, human, or goblin into another [MON], if the target willingly accepts this transformation.</t>
  </si>
  <si>
    <t>Blurred Form</t>
  </si>
  <si>
    <t>The [MON] uses a magical illusion to blur its form. [DURATION], attacks against the [MON] are made with disadvantage.</t>
  </si>
  <si>
    <t>Subtle Attack</t>
  </si>
  <si>
    <t>The target must succeed on a DC [SAVE_DC] Wisdom (Perception) check to notice the attack or any damage taken from it.</t>
  </si>
  <si>
    <t>Dexterity</t>
  </si>
  <si>
    <t>This attack deals an extra [#dX] [DMG_TYPE] damage if this is the [MON]'s first attack against this target this turn.</t>
  </si>
  <si>
    <t>Day Hunter</t>
  </si>
  <si>
    <t>When the [MON] makes an attack roll while in sunlight it can roll [#dX] and add the number rolled to the attack roll.</t>
  </si>
  <si>
    <t>Torturer</t>
  </si>
  <si>
    <t>When the [MON] reduces a creature to 0 hit points, it knocks out the creature, which falls unconscious and is stable.</t>
  </si>
  <si>
    <t>Attachment Effect, Disadvantage</t>
  </si>
  <si>
    <t>While the [MON] is attached to a creature, the target has disadvantage on ability checks made to swim or stay afloat.</t>
  </si>
  <si>
    <t>Throw Vial</t>
  </si>
  <si>
    <t>Effect Ending, Ongoing Damage</t>
  </si>
  <si>
    <t>A creature can use an action to douse the fire on a target, ending all ongoing damage being dealt by the [MON]'s fire.</t>
  </si>
  <si>
    <t>Mounted Parry</t>
  </si>
  <si>
    <t>AC Change, Mount</t>
  </si>
  <si>
    <t>As a reaction, the [MON] adds [#] to its AC or its mount's AC against one melee attack that would hit it or its mount.</t>
  </si>
  <si>
    <t>Groundbreaker</t>
  </si>
  <si>
    <t>Difficult terrain caused by rocks, sand, or natural vegetation, living or dead, doesn't cost the [MON] extra movement.</t>
  </si>
  <si>
    <t>Gale-force winds rage around the [MON], making it immune to ranged weapon attacks except for those from siege weapons.</t>
  </si>
  <si>
    <t>Poison Effect, Spawning</t>
  </si>
  <si>
    <t>If a creature dies while poisoned in this way, it is transformed into a [MON] and loses all memory of its former life.</t>
  </si>
  <si>
    <t>Outcome of Double Hit for Nearby Creatures</t>
  </si>
  <si>
    <t>If the [MON] hits a creature twice with this attack in one round, each creature within [#] ft of the target [OUTCOME].</t>
  </si>
  <si>
    <t>Bigger They Are</t>
  </si>
  <si>
    <t>Once per turn, the [MON] can deal one extra die of damage with a weapon attack if the target is larger than the [MON].</t>
  </si>
  <si>
    <t>Limited Amphibiousness</t>
  </si>
  <si>
    <t>The [MON] can breathe air and water, but it needs to be submerged at least once every [DURATION] to avoid suffocating.</t>
  </si>
  <si>
    <t>The [MON] can take two reactions per round, using two different weapons. It can't take two reactions on the same turn.</t>
  </si>
  <si>
    <t>Unlovely</t>
  </si>
  <si>
    <t>The [MON] has disadvantage on Charisma (Performance) and Charisma (Persuasion) checks in interactions with non-[MON]s.</t>
  </si>
  <si>
    <t>Detect Relatives</t>
  </si>
  <si>
    <t>The [MON] knows the direction to its nearest living relative on the same plane, but not the relative's exact location.</t>
  </si>
  <si>
    <t>Poor Traversal</t>
  </si>
  <si>
    <t>The [MON] must spend two additional feet of movement to move through difficult terrain instead of one additional foot.</t>
  </si>
  <si>
    <t>The [MON] regains [#] hit points at the start of its turn if at least half of its body is submerged in earth or stone.</t>
  </si>
  <si>
    <t>When the [MON] dies, all consumed creatures are no longer restrained by it and can escape by using [#] ft of movement.</t>
  </si>
  <si>
    <t>When the [MON] is within [#] ft of an alcoholic beverage, it notices secret doors hidden by magic within [#] ft of it.</t>
  </si>
  <si>
    <t>Repeat Save If Damaged to End Effect</t>
  </si>
  <si>
    <t>Whenever an affected creature takes damage, it can repeat this saving throw, ending the effect on itself on a success.</t>
  </si>
  <si>
    <t>Death Malison</t>
  </si>
  <si>
    <t>While cursed in this way, a creature has disadvantage on saves and on first attack roll it makes on each of its turns.</t>
  </si>
  <si>
    <t>Blazing Maelstrom Form</t>
  </si>
  <si>
    <t>A creature that touches the [MON] or hits it with melee attack while within [#] ft of it takes [#dX] [DMG_TYPE] damage.</t>
  </si>
  <si>
    <t>Multiple Area Damage</t>
  </si>
  <si>
    <t>A target in overlapping targeted areas makes only one saving throw, but takes damage for each targeted area separately.</t>
  </si>
  <si>
    <t>Expel Consumed Creatures</t>
  </si>
  <si>
    <t>Consumption Ending, Toppling</t>
  </si>
  <si>
    <t>After doing so, the [MON] expels all consumed creatures, which are knocked prone in a space within [#] ft of the [MON].</t>
  </si>
  <si>
    <t>Can't Teleport</t>
  </si>
  <si>
    <t>can't use any method of extradimensional movement, including teleportation or travel to a different plane of existence.</t>
  </si>
  <si>
    <t>Daily HP Max Reduction</t>
  </si>
  <si>
    <t>Every [DURATION], an infected creature must repeat this saving throw, reducing its hit point max by [#dX] on a failure.</t>
  </si>
  <si>
    <t>Water Susceptibility</t>
  </si>
  <si>
    <t>For every [#] ft the [MON] moves in water, or for every gallon of water splashed on it, it takes [#] [DMG_TYPE] damage.</t>
  </si>
  <si>
    <t>Immune After Saving or Effect Ends</t>
  </si>
  <si>
    <t>If a creature's saving throw is successful or the effect ends for it, the creature is immune to this effect [DURATION].</t>
  </si>
  <si>
    <t>Natural Invisibility</t>
  </si>
  <si>
    <t>If the [MON] is in complete darkness, it is considered invisible to creatures that rely on normal vision or darkvision.</t>
  </si>
  <si>
    <t>Iron Disruption</t>
  </si>
  <si>
    <t>Recharging, Weakness</t>
  </si>
  <si>
    <t>If the [MON] is struck by a cold iron weapon, it becomes visible and can't use Hurl Flame or Scorching Aura [DURATION].</t>
  </si>
  <si>
    <t>Make the Save Harder</t>
  </si>
  <si>
    <t>If the [MON] uses this ability before forcing a target to make a saving throw, the target has disadvantage on the save.</t>
  </si>
  <si>
    <t>The [MON] can communicate perfectly with all other [MON]s within [#] ft of it. If one is aware of danger, they all are.</t>
  </si>
  <si>
    <t>Hunter of the Living</t>
  </si>
  <si>
    <t>The [MON] can sense the general direction to the largest concentration of living flora and fauna within 50 miles of it.</t>
  </si>
  <si>
    <t>One Visible Dying Creature Within Range</t>
  </si>
  <si>
    <t>The [MON] targets one creature within [#] ft of it that it can see that has been reduced to 0 hit points. [TGT_EFFECT].</t>
  </si>
  <si>
    <t>Ends if Harmed</t>
  </si>
  <si>
    <t>The effect ends if the [MON] or a [MON]'s ally harms the target, or if the [MON] commands it to take a suicidal action.</t>
  </si>
  <si>
    <t>Exhausted Until Damage Healed</t>
  </si>
  <si>
    <t>The target gains [#] levels of exhaustion, which last until it regains hit points equal to the [DMG_TYPE] damage taken.</t>
  </si>
  <si>
    <t>When the [MON] casts the bless spell, it gains the benefit of the spell, even if it doesn't include itself as a target.</t>
  </si>
  <si>
    <t>Rattling Chains</t>
  </si>
  <si>
    <t>Whenever the [MON] moves, the rattling of its chains can be heard up to [#] ft away, unless it moves at half its speed.</t>
  </si>
  <si>
    <t>As a reaction when an attacker the [MON] can see hits it with an attack, the [MON] halves the attacks damage against it.</t>
  </si>
  <si>
    <t>Storm Glide</t>
  </si>
  <si>
    <t>During storms, the [MON] can travel through the air as if under the effects of a fly spell, except using its swim speed.</t>
  </si>
  <si>
    <t>Blast Radius</t>
  </si>
  <si>
    <t>Psychic Susceptibility</t>
  </si>
  <si>
    <t>If the [MON] takes [DMG_TYPE] damage, it has disadvantage on attack rolls, saving throws, and ability checks [DURATION].</t>
  </si>
  <si>
    <t>Cursed Plant</t>
  </si>
  <si>
    <t>If the [MON] was reduced to 0 hit points by [DMG_TYPE] damage or if its body was destroyed, this trait doesn't function.</t>
  </si>
  <si>
    <t>must use its reaction to move up to its speed and make a melee attack against the nearest creature hostile to the [MON].</t>
  </si>
  <si>
    <t>Reaction or Delayed Extra Damage</t>
  </si>
  <si>
    <t>takes [#dX] [DMG_TYPE] damage at the start of its next turn unless it immediately uses its reaction to clean itself off.</t>
  </si>
  <si>
    <t>Hard Shell</t>
  </si>
  <si>
    <t>The [MON] adopts a defensive stance, which lasts [DURATION]. While the [MON] is in this stance, its AC increases by [#].</t>
  </si>
  <si>
    <t>Gift of Tongues</t>
  </si>
  <si>
    <t>The [MON] becomes fluent in any language it hears spoken for at least [DURATION], and it retains this knowledge forever.</t>
  </si>
  <si>
    <t>The [MON] can move through creatures and objects. It takes [#dX] [DMG_TYPE] damage if it ends its turn inside an object.</t>
  </si>
  <si>
    <t>Waterwalker</t>
  </si>
  <si>
    <t>The [MON] can walk across the surface of water as if it were solid ground. This ability works like the water walk spell.</t>
  </si>
  <si>
    <t>The [MON] deals one extra die of damage on weapon attacks while it is within [#] ft of an ally that isn't incapacitated.</t>
  </si>
  <si>
    <t>Tentacle Flight</t>
  </si>
  <si>
    <t>Grapple Effect, Speed Change</t>
  </si>
  <si>
    <t>The [MON] flies by spinning its tentacles. If it is grappling a creature with its tentacles, its flying speed is halved.</t>
  </si>
  <si>
    <t>The [MON] has advantage on attack rolls against a creature if the creature is in possession of any portion of its hoard.</t>
  </si>
  <si>
    <t>Arctic Hunter</t>
  </si>
  <si>
    <t>The [MON] have advantage on Dexterity (Stealth) checks and Wisdom (Perception) checks made in icy, natural surroundings.</t>
  </si>
  <si>
    <t>Planar Travel</t>
  </si>
  <si>
    <t>The [MON] is transported to the Material Plane, Hell, or the Abyss, arriving within 10 miles of its desired destination.</t>
  </si>
  <si>
    <t>Blood Armor</t>
  </si>
  <si>
    <t>The [MON] takes no damage from the first attack against it each round and ignores any nondamaging effects of the attack.</t>
  </si>
  <si>
    <t>Planar Step</t>
  </si>
  <si>
    <t>The [MON] teleports, along with any equipment it is wearing or carrying, up to [#] ft to an unoccupied space it can see.</t>
  </si>
  <si>
    <t>Astral Strike</t>
  </si>
  <si>
    <t>The target's wound becomes a rift to the Astral Plane. The [MON] immediately passes through, closing the rift behind it.</t>
  </si>
  <si>
    <t>When the [MON] detaches itself or is detached from a host, the host takes [#dX] [DMG_TYPE] damage per spellcaster level.</t>
  </si>
  <si>
    <t>Psychic (d4)</t>
  </si>
  <si>
    <t>Rotting Death</t>
  </si>
  <si>
    <t>When the [MON] dies, all food, water, and beverages within [#] ft of it are subjected to the [MON]'s Touch of Rot trait.</t>
  </si>
  <si>
    <t>Bog Melt</t>
  </si>
  <si>
    <t>Curse Effect, HP Max Reducing, Unhealable</t>
  </si>
  <si>
    <t>While cursed in this way, a creature can't regain hit points and its hit point max is reduced by [#dX] every [DURATION].</t>
  </si>
  <si>
    <t>Tomb Rot</t>
  </si>
  <si>
    <t>While cursed in this way, a creature can't regain hit points, and its hit point max decreases by [#dX] every [DURATION].</t>
  </si>
  <si>
    <t>A creature in the [MON]'s space has three-quarters cover against attacks and other effects originating outside the [MON].</t>
  </si>
  <si>
    <t>Dangerous Body</t>
  </si>
  <si>
    <t>A creature that touches the [MON] or hits it with a melee attack while within [#] ft of it takes [#dX] [DMG_TYPE] damage.</t>
  </si>
  <si>
    <t>Acid (d4)</t>
  </si>
  <si>
    <t>A creature within reach of a restrained creature can free it by succeeding on a DC [SAVE_DC] Strength check as an action.</t>
  </si>
  <si>
    <t>Immune After Rolling</t>
  </si>
  <si>
    <t>After making this saving throw, a creature is immune to this effect [DURATION] regardless of whether or not it succeeded.</t>
  </si>
  <si>
    <t>For every [#] ft the [MON] moves in water, or for every gallon of water splashed on it, it takes [#dX] [DMG_TYPE] damage.</t>
  </si>
  <si>
    <t>Retributive Disdavantage</t>
  </si>
  <si>
    <t>If a creature is a perpetrator of the crime that provoked the [MON]'s creation, it has disadvantage on this saving throw.</t>
  </si>
  <si>
    <t>Escaping Consumption</t>
  </si>
  <si>
    <t>If the [MON] dies, all consumed creatures are expelled and knocked prone in unoccupied spaces within [#] ft of the [MON].</t>
  </si>
  <si>
    <t>Sentient Transformation</t>
  </si>
  <si>
    <t>If the [MON] is inhabited by a sentient weapon, its mental statistics and alignment change to match that of the weapon's.</t>
  </si>
  <si>
    <t>Outcome of Vertical Charge</t>
  </si>
  <si>
    <t>If the [MON] moves at least [#] ft vertically straight toward the target before making this attack, the target [OUTCOME].</t>
  </si>
  <si>
    <t>Poisoning Knockout</t>
  </si>
  <si>
    <t>Nonlethal, Poisoning</t>
  </si>
  <si>
    <t>If this damage reduces a creature to 0 hit points, it is stable but poisoned [DURATION], even after regaining hit points.</t>
  </si>
  <si>
    <t>Rotgut Belch</t>
  </si>
  <si>
    <t>Advantage, Coating</t>
  </si>
  <si>
    <t>is covered in bile [DURATION]. The [MON] and its allies have advantage on attack rolls against creatures covered in bile.</t>
  </si>
  <si>
    <t>Reef Tunneler</t>
  </si>
  <si>
    <t>The [MON] can burrow through coral and solid rock at half its burrow speed, leaving a [#] ft diameter tunnel in its wake.</t>
  </si>
  <si>
    <t>Traveler in Darkness</t>
  </si>
  <si>
    <t>The [MON] has advantage on Intelligence (Arcana) checks made to know about shadow roads and shadow magic spells or items.</t>
  </si>
  <si>
    <t>Otherworldly Form</t>
  </si>
  <si>
    <t>The [MON] is immune to effects that cause the loss of limbs, such as the effects of a sword of sharpness or vorpal sword.</t>
  </si>
  <si>
    <t>Immortality</t>
  </si>
  <si>
    <t>The [MON] suffers no ill effects from age and is immune to effects that would reduce its ability scores or hit point max.</t>
  </si>
  <si>
    <t>Until Strength Check</t>
  </si>
  <si>
    <t>until the affected creature or another creature within reach of it succeeds on a DC [SAVE_DC] Strength check as an action</t>
  </si>
  <si>
    <t>Frightening Display</t>
  </si>
  <si>
    <t>When the [MON] does so, it looks one size category larger than it actually is to any creature that can see it [DURATION].</t>
  </si>
  <si>
    <t>Helminth Infestation</t>
  </si>
  <si>
    <t>While infected in this way, a creature can't regain hit points and its hit point max decreases by [#dX] every [DURATION].</t>
  </si>
  <si>
    <t>Hypnotic Array</t>
  </si>
  <si>
    <t>Stun Ending</t>
  </si>
  <si>
    <t>A stunned creature can repeat this saving throw at the end of each of its turns, ending the effect on itself on a success.</t>
  </si>
  <si>
    <t>Save to Unblind</t>
  </si>
  <si>
    <t>A blinded creature can repeat this saving throw at the end of each of its turns, ending the effect on itself on a success.</t>
  </si>
  <si>
    <t>As a reaction when the [MON] is hit with a melee weapon attack, the [MON] grants itself resistance to the attack's damage.</t>
  </si>
  <si>
    <t>As a reaction when the [MON] is reduced to 0 hit points, it can target all creatures within [#] ft of it that can hear it.</t>
  </si>
  <si>
    <t>Outcome of Flying Charge</t>
  </si>
  <si>
    <t>If the [MON] is flying and moves at least [#] ft straight toward a target before making this attack, the target [OUTCOME].</t>
  </si>
  <si>
    <t>Unseen Attacker</t>
  </si>
  <si>
    <t>If the [MON] is hidden from a creature and hits it with an attack, the target takes an extra [#dX] damage from the attack.</t>
  </si>
  <si>
    <t>If the [MON] starts its turn enlarged, it can choose to end the effect and return to its normal size (no action required).</t>
  </si>
  <si>
    <t>Corrupting Gaze</t>
  </si>
  <si>
    <t>If this effect reduces a creature's hit point max to 0, the creature dies and its corpse becomes a [MON] after [DURATION].</t>
  </si>
  <si>
    <t>Hurl</t>
  </si>
  <si>
    <t>is hurled up to [#] ft in any direction (including upwards), taking [#dX] [DMG_TYPE] damage for every [#] ft it is hurled.</t>
  </si>
  <si>
    <t>Stone Spider Climb</t>
  </si>
  <si>
    <t>The [MON] can climb difficult stone surfaces, including upside down on ceilings, without needing to make an ability check.</t>
  </si>
  <si>
    <t>The [MON] can pass through magical and nonmagical plants without being slowed by them and without taking damage from them.</t>
  </si>
  <si>
    <t>The [MON] can pinpoint, by scent, the location of precious metals and stones, such as coins and gems, within [#] ft of it.</t>
  </si>
  <si>
    <t>Lubricious Plumage</t>
  </si>
  <si>
    <t>The [MON] can't be restrained by magical or nonmagical webbing and it ignores all movement restrictions caused by webbing.</t>
  </si>
  <si>
    <t>Shielded Mind</t>
  </si>
  <si>
    <t>The [MON] is immune to scrying and to any effect that would sense its emotions, read its thoughts, or detect its location.</t>
  </si>
  <si>
    <t>Sense Magic</t>
  </si>
  <si>
    <t>The [MON] senses magic within [#] ft of it at will. This trait works like the detect magic spell but isn't itself magical.</t>
  </si>
  <si>
    <t>Eternal Lovers</t>
  </si>
  <si>
    <t>The [MON] shares a powerful bond with its partner and can't be turned against its partner by magical or non-magical means.</t>
  </si>
  <si>
    <t>The [MON]'s speed increases by [#] ft and when appropriate to its beast form it gains a climb fly or swim speed of [#] ft.</t>
  </si>
  <si>
    <t>Strenuous Effort</t>
  </si>
  <si>
    <t>When the [MON] uses this ability, its scales dull briefly, and it can't use its telepathy or psychic abilities [DURATION].</t>
  </si>
  <si>
    <t>Armor of Foresight</t>
  </si>
  <si>
    <t>While the [MON] is unarmored and not wielding a shield, its AC is equal 10 + its Dexterity modifier + its Wisdom modifier.</t>
  </si>
  <si>
    <t>Repeat Save at End of Turn</t>
  </si>
  <si>
    <t>A poisoned creature can repeat this saving throw at the end of each of its turns, ending the effect on itself on a success.</t>
  </si>
  <si>
    <t>An affected creature or another creature within reach of the affected creature can use an action to end the ongoing damage.</t>
  </si>
  <si>
    <t>Struggle to Wake</t>
  </si>
  <si>
    <t>An unconscious creature can repeat this saving throw at the end of each of its turns, regaining consciousness on a success.</t>
  </si>
  <si>
    <t>Shatter</t>
  </si>
  <si>
    <t>As a reaction when a [MON] takes [DMG_TYPE] damage, it can make one melee attack against each creature within [#] ft of it.</t>
  </si>
  <si>
    <t>Bludgeoning (Other)</t>
  </si>
  <si>
    <t>Protective Bite</t>
  </si>
  <si>
    <t>As a reaction when a creature within [#] ft of it hits the [MON]'s owner with a melee attack, the [MON] bites the attacker.</t>
  </si>
  <si>
    <t>Superior Void Body</t>
  </si>
  <si>
    <t>As a reaction, the [MON] reduces the damage it takes from a single source to 0. Radiant damage can only be reduced by half.</t>
  </si>
  <si>
    <t>Extra Damage Double Strike</t>
  </si>
  <si>
    <t>If the [MON] hits a creature twice with this attack in one round, the second attack deals an extra [#dX] [DMG_TYPE] damage.</t>
  </si>
  <si>
    <t>Piercing (d12)</t>
  </si>
  <si>
    <t>The [MON] can burrow through solid rock at half its burrowing speed, leaving a [#] ft wide, [#] ft high tunnel in its wake.</t>
  </si>
  <si>
    <t>The [MON] deals double damage to objects and structures and triple damage to objects and structures made of earth or stone.</t>
  </si>
  <si>
    <t>True Love's Kiss</t>
  </si>
  <si>
    <t>This effect can be broken by dispel magic (DC [SAVE_DC]), greater restoration, or the kiss of someone who loves the target.</t>
  </si>
  <si>
    <t>Life Hunger</t>
  </si>
  <si>
    <t>When a creature the [MON] can see regains hit points, the [MON]'s next attack deals extra [#dX] [DMG_TYPE] damage on a hit.</t>
  </si>
  <si>
    <t>Effortful</t>
  </si>
  <si>
    <t>When the [MON] uses this ability, it visibly grows older. Its original appearance is restored when it finishes a long rest.</t>
  </si>
  <si>
    <t>Paralyzing Gaze</t>
  </si>
  <si>
    <t>Paralysis Ending</t>
  </si>
  <si>
    <t>A paralyzed creature can repeat this saving throw at the end of each of its turns, ending the effect on itself on a success.</t>
  </si>
  <si>
    <t>Resave at End of Turn</t>
  </si>
  <si>
    <t>An affected creature can repeat this saving throw at the end of each of its turns, ending the effect on itself on a success.</t>
  </si>
  <si>
    <t>No Escape</t>
  </si>
  <si>
    <t>As a reaction when a prone creature within [#] ft of the [MON] stands up from prone the [MON] can make one melee against it.</t>
  </si>
  <si>
    <t>Thunder Blast</t>
  </si>
  <si>
    <t>At the end of each of its turns, a deafened creature can repeat this saving throw, ending the effect on itself on a success.</t>
  </si>
  <si>
    <t>Beast Passivism</t>
  </si>
  <si>
    <t>Beasts with Intelligence of [#] or less can't willingly attack the [MON]. They can be forced to do so through magical means.</t>
  </si>
  <si>
    <t>Effects of Repeated Failure</t>
  </si>
  <si>
    <t>If a creature fails this saving throw a second time, [TGT_EFFECT]. If it fails this saving throw a third time, [TGT_EFFECT].</t>
  </si>
  <si>
    <t>Outcomes of Triple Failure</t>
  </si>
  <si>
    <t>If a creature fails this saving throw a second time, it [OUTCOME]. If it fails this saving throw a third time, it [OUTCOME].</t>
  </si>
  <si>
    <t>One with the Trees</t>
  </si>
  <si>
    <t>If the [MON] has spent at least [DURATION] in a forest, it has advantage on Wisdom (Perception) checks while in that forest.</t>
  </si>
  <si>
    <t>Withered Tresses</t>
  </si>
  <si>
    <t>If the [MON] is kept out of water [DURATION], its hair and body dry into desiccated swamp weeds and it is utterly destroyed.</t>
  </si>
  <si>
    <t>Soul Drain</t>
  </si>
  <si>
    <t>Adhesive</t>
  </si>
  <si>
    <t>The [MON] adheres to anything that touches it. A creature adhered to the [MON] is also grappled by it (escape DC [SAVE_DC]).</t>
  </si>
  <si>
    <t>The [MON] can pinpoint, by scent, the location of precious metals and minerals, such as coins and gems, within [#] ft of it.</t>
  </si>
  <si>
    <t>Harness Dwarven Soul</t>
  </si>
  <si>
    <t>The [MON] grants itself advantage on ability checks with smith's tools and on attack rolls using axes or hammers [DURATION].</t>
  </si>
  <si>
    <t>The [MON] has advantage on ability checks and saving throws to detect or see through illusion spells of 4th level or higher.</t>
  </si>
  <si>
    <t>Bickering Heads</t>
  </si>
  <si>
    <t>Advantage, Weakness</t>
  </si>
  <si>
    <t>The [MON] has disadvantage on Dexterity (Stealth) checks to stay silent, but it has advantage on Wisdom (Perception) checks.</t>
  </si>
  <si>
    <t>Alter Bomb</t>
  </si>
  <si>
    <t>The [MON] quickly swaps reagents to change the damage dealt by their next bomb to acid, cold, lightning, poison, or thunder.</t>
  </si>
  <si>
    <t>One Hearing Non-Undead Non-Construct Within Range</t>
  </si>
  <si>
    <t>The [MON] targets one creature within [#] ft of it that can hear the [MON] and isn't an undead or a construct. [TGT_EFFECT].</t>
  </si>
  <si>
    <t>The [MON] transforms into a Gargantuan object or stretches out as terrain up to [#] ft cube, or back to true amorphous form.</t>
  </si>
  <si>
    <t>Wind Weakness</t>
  </si>
  <si>
    <t>While in an area of strong wind (at least 20 miles per hour), the [MON] has disadvantage on attack rolls and ability checks.</t>
  </si>
  <si>
    <t>Aura of Courage and Protection</t>
  </si>
  <si>
    <t>While the [MON] is conscious, allies within [#] ft of it are immune to being frightened and have advantage on saving throws.</t>
  </si>
  <si>
    <t>Charming Defense</t>
  </si>
  <si>
    <t>While the [MON] is unarmored and not wielding a shield, its AC is equal 10 + its Dexterity modifier + its Charisma modifier.</t>
  </si>
  <si>
    <t>Intimidating Charge</t>
  </si>
  <si>
    <t>Fear Ending</t>
  </si>
  <si>
    <t>A frightened creature can repeat this saving throw at the end of each of its turns, ending the effect on itself on a success.</t>
  </si>
  <si>
    <t>Spawning Knockout</t>
  </si>
  <si>
    <t>A humanoid slain by this attack and then buried in the ground rises the following night as a [MON] under the [MON]'s control.</t>
  </si>
  <si>
    <t>A restrained creature can repeat this saving throw at the end of each of its turns, ending the effect on itself on a success.</t>
  </si>
  <si>
    <t>Mocking Retort</t>
  </si>
  <si>
    <t>As a reaction when a creature the [MON] can see misses it with an attack, the [MON] can cast vicious mockery on the attacker.</t>
  </si>
  <si>
    <t>Laughing</t>
  </si>
  <si>
    <t>Incapacitating, Toppling</t>
  </si>
  <si>
    <t>begins to laugh uncontrollably [DURATION]. While laughing, the target is knocked prone, is incapacitated, and unable to move.</t>
  </si>
  <si>
    <t>Difficult terrain composed of ice, rocks, sand, or natural vegetation, living or dead, doesn't cost the [MON] extra movement.</t>
  </si>
  <si>
    <t>If the [MON] has taken damage from its Water Sensitivity trait since the start of its last turn, this trait doesn't function.</t>
  </si>
  <si>
    <t>Blessing of the Elder Elementals</t>
  </si>
  <si>
    <t>The [MON] has advantage on saving throws made to resist spells and abilities that deal acid, cold, fire, or lightning damage.</t>
  </si>
  <si>
    <t>Wrestler</t>
  </si>
  <si>
    <t>The [MON] has advantage on Strength (Athletics) checks made to grapple and ability checks and saves made to escape a grapple.</t>
  </si>
  <si>
    <t>Cylinder Within Range</t>
  </si>
  <si>
    <t>The [MON] targets a [#] ft radius [#] ft tall cylinder centered on a point within [#] ft of it that it can see. [TGT_EFFECT].</t>
  </si>
  <si>
    <t>Ended by Damage or Ally Action</t>
  </si>
  <si>
    <t>The effect ends if an affected creature takes damage or a creature within reach of it uses an action to end the effect on it.</t>
  </si>
  <si>
    <t>Vulnerable Effort</t>
  </si>
  <si>
    <t>When the [MON] uses this ability, it becomes more solid, losing its Incorporeal trait and its damage resistances, [DURATION].</t>
  </si>
  <si>
    <t>Charmed Invitation</t>
  </si>
  <si>
    <t>While charmed in this way, a creature believes it has been invited to meet with the [MON]'s master and accompanies the [MON].</t>
  </si>
  <si>
    <t>Restraining Strike</t>
  </si>
  <si>
    <t>A restrained creature can be free if it or another creature uses an action to make a DC [SAVE_DC] Strength check and succeeds.</t>
  </si>
  <si>
    <t>Carry Off</t>
  </si>
  <si>
    <t>A single [MON] can carry away prey up to 50 lbs, or a single rider under that weight. A group of them can carry up to 100 lbs.</t>
  </si>
  <si>
    <t>Follow the Pushed</t>
  </si>
  <si>
    <t>After pushing a creature, the [MON] can choose to immediately enter the space the target was pushed out of using its movement.</t>
  </si>
  <si>
    <t>Resave vs Multiple Effects</t>
  </si>
  <si>
    <t>An affected creature can repeat this saving throw at the end of each of its turns, ending both effects on itself on a success.</t>
  </si>
  <si>
    <t>Partially Immutable Form</t>
  </si>
  <si>
    <t>Any spell or effect that would alter the [MON]'s form only lasts [DURATION]. Afterwards, the [MON] returns to its normal form.</t>
  </si>
  <si>
    <t>Fury of the Storm</t>
  </si>
  <si>
    <t>Movement, Prone Effect</t>
  </si>
  <si>
    <t>As a reaction when a creature the [MON] can see is knocked prone, the [MON] can move up to half its speed toward the creature.</t>
  </si>
  <si>
    <t>Increasing Madness</t>
  </si>
  <si>
    <t>gains a short-term madness effect. If it already has a short-term madness effect, it gains a long-term madness effect instead.</t>
  </si>
  <si>
    <t>Divine Rejuvenation</t>
  </si>
  <si>
    <t>If unholy water is sprinkled on the [MON]'s ashes, the [MON] can't return to life, except through a wish spell or divine will.</t>
  </si>
  <si>
    <t>Betraying, Movement</t>
  </si>
  <si>
    <t>must use its reaction to immediately move up to half its speed and make one melee attack against a random target within range.</t>
  </si>
  <si>
    <t>The [MON] calls 1d3 rat swarms. Arrive in [DURATION] act as [MON] allies and obey its spoken commands. Rats remain [DURATION].</t>
  </si>
  <si>
    <t>Selectivity</t>
  </si>
  <si>
    <t>The [MON] can choose whether or not a creature suffers the full effects of a failed saving throw, or just some of the effects.</t>
  </si>
  <si>
    <t>Scent Magic</t>
  </si>
  <si>
    <t>The [MON] can detect the presence of magical creatures, active spells or spell effects, and magical items within [#] ft of it.</t>
  </si>
  <si>
    <t>The [MON] can differentiate between various types of metals and minerals and can determine if the metal or mineral is magical.</t>
  </si>
  <si>
    <t>Twisted Limbs</t>
  </si>
  <si>
    <t>The [MON] can squeeze itself through a space small enough for a Tiny creature to pass through as if it were difficult terrain.</t>
  </si>
  <si>
    <t>Danger Sense</t>
  </si>
  <si>
    <t>The [MON] has advantage on Dexterity saving throws made to resist attacks it can see when it is not deafened or incapacitated.</t>
  </si>
  <si>
    <t>Angelic Awareness</t>
  </si>
  <si>
    <t>The [MON] has advantage on Wisdom (Insight) checks to determine if a creature is lying or if a creature has an evil alignment.</t>
  </si>
  <si>
    <t>Draconic Predator</t>
  </si>
  <si>
    <t>The [MON] is immune to a dragon's Frightful Presence and has advantage on saving throws against the breath weapons of dragons.</t>
  </si>
  <si>
    <t>Eidetic Memory</t>
  </si>
  <si>
    <t>The [MON] remembers everything it hears or reads and has advantage on Intelligence (Arcana) and Intelligence (History) checks.</t>
  </si>
  <si>
    <t>Unlimited Visible Unintelligent Beasts Within Range</t>
  </si>
  <si>
    <t>The [MON] targets any number of beasts within [#] ft of it that it can see with an Intelligence of [#] or lower. [TGT_EFFECT].</t>
  </si>
  <si>
    <t>The [MON]'s body is covered in a layer of greasy, ice-cold slime that grants it the benefits of the freedom of movement spell.</t>
  </si>
  <si>
    <t>The effect lasts [DURATION] or until the [MON] is killed, is on a different plane of existence than the target, or [DURATION].</t>
  </si>
  <si>
    <t>The target's armor takes a permanent and cumulative -1 penalty to the AC it offers. Armor reduced to an AC of 10 is destroyed.</t>
  </si>
  <si>
    <t>Saved by Damage or Allies</t>
  </si>
  <si>
    <t>This effect ends for a creature if the creature takes damage or another creature uses an action to shake it out of its stupor.</t>
  </si>
  <si>
    <t>Poisonous Blood</t>
  </si>
  <si>
    <t>Warden's Reach</t>
  </si>
  <si>
    <t>Creatures within [#] ft of a [MON] provoke opportunity attacks even if they take the Disengage action before leaving its reach.</t>
  </si>
  <si>
    <t>Fueled by Failure</t>
  </si>
  <si>
    <t>If a creature hasn't failed a saving throw against one of the [MON]'s abilities within [DURATION], this trait doesn't function.</t>
  </si>
  <si>
    <t>Surprise Attack</t>
  </si>
  <si>
    <t>If the [MON] hits a surprised creature with an attack during the first round of combat, the target takes an extra [#dX] damage.</t>
  </si>
  <si>
    <t>If the [MON] moves at least [#] ft straight toward the target before making this attack, it make the attack roll with adantage.</t>
  </si>
  <si>
    <t>If the [MON] takes [DMG_TYPE] damage or damage from a magic weapon since the end of its last turn, this trait doesn't function.</t>
  </si>
  <si>
    <t>Its statistics, other than its size, are the same in each form except it loses its flaming hand scythe attack when in cat form.</t>
  </si>
  <si>
    <t>Watery Disadvantage</t>
  </si>
  <si>
    <t>Plants, oozes, and creatures with the Amphibious, Water Breathing, or Water Form traits have disadvantage on this saving throw.</t>
  </si>
  <si>
    <t>Disease Sense</t>
  </si>
  <si>
    <t>Infected, Poison Effect, Sense</t>
  </si>
  <si>
    <t>The [MON] can pinpoint, by scent, the location of poisoned creatures or creatures suffering from a disease within [#] ft of it.</t>
  </si>
  <si>
    <t>Exacerbate Affliction</t>
  </si>
  <si>
    <t>The [MON] has advantage on attack rolls against a creature that is suffering from a disease or that has the poisoned condition.</t>
  </si>
  <si>
    <t>Ungodly Resistance</t>
  </si>
  <si>
    <t>The [MON] has advantage on saving throws made to resist spells or other magical effects cast or created by a cleric or paladin.</t>
  </si>
  <si>
    <t>The [MON] transforms, along with its equipment, to that of a specific Medium humanoid or a beast-human hybrid or its true form.</t>
  </si>
  <si>
    <t>Strength Damage and Paralysis</t>
  </si>
  <si>
    <t>Ability Score Damage, Paralyzing</t>
  </si>
  <si>
    <t>Marked by Death</t>
  </si>
  <si>
    <t>A creature that is killed by this damage and later revived is permanently marked by a shock of white hair somewhere on its body.</t>
  </si>
  <si>
    <t>Thrall Sickness</t>
  </si>
  <si>
    <t>A humanoid slain by this disease transforms into a star thrall under the complete psychic control of the [MON] that infected it.</t>
  </si>
  <si>
    <t>Psychic Assault</t>
  </si>
  <si>
    <t>A humanoid slain in this way and then buried in the ground rises the following night as a [MON] spawn under the [MON]'s control.</t>
  </si>
  <si>
    <t>Charm the Undead</t>
  </si>
  <si>
    <t>An undead target that fails this saving throw is charmed [DURATION] and can only repeat this saving throw once every [DURATION].</t>
  </si>
  <si>
    <t>Shower of Petals</t>
  </si>
  <si>
    <t>As a reaction when a creature the [MON] can see targets it with an attack, the [MON] can impose disadvantage on the attack roll.</t>
  </si>
  <si>
    <t>The [MON] has advantage on saving throws against being blinded, charmed, deafened, frightened, stunned, and knocked unconscious.</t>
  </si>
  <si>
    <t>Infecting Grapple</t>
  </si>
  <si>
    <t>Grapple Effect, Infecting</t>
  </si>
  <si>
    <t>is transformed into a harmless Tiny beast [DURATION]. While in this form, its statistics are unchanged, and it is incapacitated.</t>
  </si>
  <si>
    <t>Reaction Flee</t>
  </si>
  <si>
    <t>must use its reaction to move its full speed away from the [MON] by the safest available route, unless there is nowhere to move.</t>
  </si>
  <si>
    <t>The [MON] and any equipment it wears or carries turns invisible [DURATION], casts a spell, becomes incapacitated, or [DURATION].</t>
  </si>
  <si>
    <t>Ethereal Stride</t>
  </si>
  <si>
    <t>The [MON] and up to three willing creatures within [#] ft of it enter the Ethereal Plane from the Material Plane, or vice versa.</t>
  </si>
  <si>
    <t>Water Walker</t>
  </si>
  <si>
    <t>The [MON] can move across the surface of water as if it were harmless, solid ground. This trait works like the water walk spell.</t>
  </si>
  <si>
    <t>Gas Form</t>
  </si>
  <si>
    <t>The [MON] can move through a space as narrow as 1 inch wide without squeezing, but it can't move through water or other liquids.</t>
  </si>
  <si>
    <t>Oathseeker</t>
  </si>
  <si>
    <t>The [MON] can pinpoint the location of any cleric, paladin, celestial, or other divinely connected creature within [#] ft of it.</t>
  </si>
  <si>
    <t>The [MON] has advantage on saving throws made to resist effects that would cause it to take a harmful action against its master.</t>
  </si>
  <si>
    <t>The [MON] has advantage on saving throws made to resist spells and other magical effects except those that cause radiant damage.</t>
  </si>
  <si>
    <t>Athlete</t>
  </si>
  <si>
    <t>The [MON] only uses 5 ft of movement when standing from prone and can make a running jump after moving only 5 ft rather than 10.</t>
  </si>
  <si>
    <t>The [MON] regains [#] hit points at the start of its turn if it has at least 1 hit point and isn't in sunlight or running water.</t>
  </si>
  <si>
    <t>Selective Immunity</t>
  </si>
  <si>
    <t>When an attack or effect deals [DMG_TYPE] damage to the [MON], the [MON] can choose to take the damage as if it were not immune.</t>
  </si>
  <si>
    <t>Hardy Defense</t>
  </si>
  <si>
    <t>While the [MON] is unarmored and not wielding a shield, its AC is equal 10 + its Dexterity modifier + its Constitution modifier.</t>
  </si>
  <si>
    <t>Storm Form</t>
  </si>
  <si>
    <t>A creature that ends its turn in [MON]'s space takes [#dX] [DMG_TYPE] damage plus [#dX] [DMG_TYPE] damage at the end of its turn.</t>
  </si>
  <si>
    <t>Lightning (d4), Thunder (d4)</t>
  </si>
  <si>
    <t>A spine sticks into the target. Until a creature uses an action to remove the spine, the target has disadvantage on attack rolls.</t>
  </si>
  <si>
    <t>Drag Underwater if Grappled</t>
  </si>
  <si>
    <t>Grapple Effect, Movement, Suffocating</t>
  </si>
  <si>
    <t>After doing so, if the [MON] has movement remaining, it drags the grappled creature into deep water, where it begins suffocating.</t>
  </si>
  <si>
    <t>Undead Passivism</t>
  </si>
  <si>
    <t>An undead has disadvantage on attack rolls against the [MON] if the [MON] hasn't attacked that undead within the past [DURATION].</t>
  </si>
  <si>
    <t>Void Stare</t>
  </si>
  <si>
    <t>As a bonus action, the [MON] enhances its vision, granting itself the ability to see through doors and around corners [DURATION].</t>
  </si>
  <si>
    <t>Deft Dodge</t>
  </si>
  <si>
    <t>As a reaction when an attacker that the [MON] can see hits them with an attack, the [MON] halves the attacks damage against them.</t>
  </si>
  <si>
    <t>Ruthless Weapons</t>
  </si>
  <si>
    <t>Blindness Effect, Charm Effect, Extra Damage, Fear Effect</t>
  </si>
  <si>
    <t>When the [MON] hits a blinded, charmed, or frightened creature with an attack, the target takes an extra [#dX] [DMG_TYPE] damage.</t>
  </si>
  <si>
    <t>Blessed Regrowth</t>
  </si>
  <si>
    <t>Aura, Healing, Self Healing</t>
  </si>
  <si>
    <t>At the start of each of the [MON]'s turns, the [MON] and each good-aligned creature within [#] ft of it regains [#dX] hit points.</t>
  </si>
  <si>
    <t>drops one item it is holding of the [MON]'s choice. The item lands up to [#] ft from the target, in a spot selected by the [MON].</t>
  </si>
  <si>
    <t>MON_SAVE</t>
  </si>
  <si>
    <t>Greatsword</t>
  </si>
  <si>
    <t>If a creature dies while poisoned in this way, its spirit rises as a wraith under the [MON]'s control [DURATION] after its death.</t>
  </si>
  <si>
    <t>If the [MON] has taken [DMG_TYPE] damage or damage from holy water since the start of its last turn, this trait doesn't function.</t>
  </si>
  <si>
    <t>Scimitar</t>
  </si>
  <si>
    <t>If this attack reduces the target to 0 hit points, the target is stable but poisoned [DURATION], even after regaining hit points.</t>
  </si>
  <si>
    <t>Seek Wrongdoer</t>
  </si>
  <si>
    <t>The [MON] automatically knows the general direction to the nearest surviving perpetrator of the crime that provoked its creation.</t>
  </si>
  <si>
    <t>Sea Changed</t>
  </si>
  <si>
    <t>The [MON] can breathe water and air, but must bathe in water [DURATION] every [DURATION] it spends dry or it begins to suffocate.</t>
  </si>
  <si>
    <t>Prolong Affliction</t>
  </si>
  <si>
    <t>The [MON] can pinpoint the location of creatures suffering from a disease or that hae the poisoned condition within [#] ft of it.</t>
  </si>
  <si>
    <t>Create Zombie</t>
  </si>
  <si>
    <t>The [MON] creates a swarm of the [MON]'s statistics). The [MON] can have no more than four zombies under its control at one time.</t>
  </si>
  <si>
    <t>Coral Camouflage</t>
  </si>
  <si>
    <t>The [MON] has advantage on Dexterity (Stealth) checks made to hide in underwater terrain that includes plant life or coral reefs.</t>
  </si>
  <si>
    <t>Planes Hunter</t>
  </si>
  <si>
    <t>The [MON] has advantage on Wisdom (Perception) and Wisdom (Survival) checks to find and track celestials, fiends, and elementals.</t>
  </si>
  <si>
    <t>Distance Runner</t>
  </si>
  <si>
    <t>The [MON] is capable of incredibly fast long-distance travel. When traveling at a fast pace, the [MON] can run 310 miles per day.</t>
  </si>
  <si>
    <t>Fiery Nature</t>
  </si>
  <si>
    <t>The [MON] is infused with elemental power and requires only half the air, food, and drink that a typical [MON] of its size needs.</t>
  </si>
  <si>
    <t>Forest/Jungle Regeneration</t>
  </si>
  <si>
    <t>The [MON] regains [#] hit points at the start of its turn if it has at least 1 hit point and is within its home forest or jungle.</t>
  </si>
  <si>
    <t>Radius Around a Point Within Range</t>
  </si>
  <si>
    <t>The [MON] targets a [#] ft radius area centered on a point within [#] ft of it. This effect spreads around corners. [TGT_EFFECT].</t>
  </si>
  <si>
    <t>Frozen Reign</t>
  </si>
  <si>
    <t>Aura, Extra Damage</t>
  </si>
  <si>
    <t>When a friendly undead within [#] ft of the [MON] hits with any weapon attack, the weapon deals an extra [#dX] [DMG_TYPE] damage.</t>
  </si>
  <si>
    <t>Envelop</t>
  </si>
  <si>
    <t>When the [MON] dies, a consumed creature is no longer restrained by it and can escape by using [#] ft of movement, exiting prone.</t>
  </si>
  <si>
    <t>Kinship with Fire</t>
  </si>
  <si>
    <t>When the [MON] is subjected to [DMG_TYPE] damage, it takes no damage, and instead has advantage on melee attack rolls [DURATION].</t>
  </si>
  <si>
    <t>Spanner in the Works</t>
  </si>
  <si>
    <t>When the [MON] suffers a critical hit from a nonmagical weapon, the attacker quadruples the dice rolled instead of doubling them.</t>
  </si>
  <si>
    <t>Panicked Rage</t>
  </si>
  <si>
    <t>While a [MON] is frightened and the source of its fear is in sight, it makes attack rolls with advantage instead of disadvantage.</t>
  </si>
  <si>
    <t>Watery Form</t>
  </si>
  <si>
    <t>While fully immersed in water, the [MON] is invisible and it can move through a space as narrow as 1 inch wide without squeezing.</t>
  </si>
  <si>
    <t>Riposte</t>
  </si>
  <si>
    <t>As a reaction when the [MON] is hit by a melee attack made by a creature it can see, it makes a melee attack against the attacker.</t>
  </si>
  <si>
    <t>Deflection</t>
  </si>
  <si>
    <t>As a reaction when the [MON] takes damage, it can reduce the damage it takes by [#dX], provided that the damage is not [DMG_TYPE].</t>
  </si>
  <si>
    <t>Barbed Hide</t>
  </si>
  <si>
    <t>At the start of each of the [MON]'s turns, the [MON] deals [#dX] [DMG_TYPE] damage to any creature grappling it or grappled by it.</t>
  </si>
  <si>
    <t>Piercing (d10)</t>
  </si>
  <si>
    <t>Disruptive</t>
  </si>
  <si>
    <t>Because of the [MON]'s nauseating nature, spellcasters have disadvantage on concentration checks while within [#] ft of the [MON].</t>
  </si>
  <si>
    <t>If the [MON] is within [#] ft of the water's surface, it can use its tail as a breathing tube and doesn't need to hold its breath.</t>
  </si>
  <si>
    <t>It can remain in fishform [DURATION], and can enter fishform twice, regaining expended uses after completing a short or long rest.</t>
  </si>
  <si>
    <t>The [MON] can communicate telepathically with a creature it has charmed over any distance, even on a different plane of existence.</t>
  </si>
  <si>
    <t>The [MON] can only target one creature with this ability at a time. If it targets another, the effect on the previous target ends.</t>
  </si>
  <si>
    <t>The [MON] has advantage on Wisdom (Perception) and Wisdom (Survival) checks to find and track the creature it was created to kill.</t>
  </si>
  <si>
    <t>The [MON] targets a [#] ft radius [#] ft high cylinder area centered on a point within [#] ft of it that it can see. [TGT_EFFECT].</t>
  </si>
  <si>
    <t>Impenetrable Ego</t>
  </si>
  <si>
    <t>While the [MON] is conscious, unarmored, and not wielding a shield, it adds its Charisma modifier to its AC and all saving throws.</t>
  </si>
  <si>
    <t>Grasp of the Grave</t>
  </si>
  <si>
    <t>A creature, including the target, can take its action to free a restrained creature by succeeding on a DC [SAVE_DC] Strength check.</t>
  </si>
  <si>
    <t>Heightened Spell</t>
  </si>
  <si>
    <t>As a bonus action, a target of the [MON]'s choice within [#] ft of its has disadvantage on its saving throw against its next spell.</t>
  </si>
  <si>
    <t>Fighting Retreat</t>
  </si>
  <si>
    <t>As a reaction when a creature makes an opportunity attack on the [MON], the [MON] attacks with either its bite or its tail stinger.</t>
  </si>
  <si>
    <t>Six-Scaled Aegis</t>
  </si>
  <si>
    <t>As a reaction when the [MON] takes damage, it gains resistance to that type of damage, including the triggering damage, [DURATION].</t>
  </si>
  <si>
    <t>Difficult terrain composed of stalagmites, tight spaces, and other rocky underground terrain doesn't cost the [MON] extra movement.</t>
  </si>
  <si>
    <t>Bloodthirsty</t>
  </si>
  <si>
    <t>If 6 or more [MON]s are within [#] ft of one another, they become frenzied and their attacks deal an extra [#dX] [DMG_TYPE] damage.</t>
  </si>
  <si>
    <t>Topple or Drag</t>
  </si>
  <si>
    <t>is knocked prone; or, if the target is already prone, the [MON] can instead move up to half its speed, dragging the target with it.</t>
  </si>
  <si>
    <t>Earth Climb</t>
  </si>
  <si>
    <t>The [MON] can climb difficult earth or stone surfaces, including upside down on ceilings, without needing to make an ability check.</t>
  </si>
  <si>
    <t>Invasive</t>
  </si>
  <si>
    <t>The [MON] can enter, move through, or even remain in a hostile creature's space regardless of the creature's size, without penalty.</t>
  </si>
  <si>
    <t>Limited Speech</t>
  </si>
  <si>
    <t>The [MON] can verbally communicate only simple ideas and phrases, though it can understand and follow a conversation without issue.</t>
  </si>
  <si>
    <t>Variable Illumination</t>
  </si>
  <si>
    <t>The [MON] sheds bright light in a [#] ft radius and dim light for an additional [#] ft; it can alter this radius as a bonus action.</t>
  </si>
  <si>
    <t>When a creature that doesn't have all of its hit points starts its turn within [#] ft of the [MON], it takes [#dX] necrotic damage.</t>
  </si>
  <si>
    <t>Knife Dancer</t>
  </si>
  <si>
    <t>When the [MON] hits a creature with this attack, it doesn't provoke opportunity attacks when it moves out of that creature's reach.</t>
  </si>
  <si>
    <t>When the target fails its saving throw against this effect, the pixie chooses one of the following effects to impose on the target:</t>
  </si>
  <si>
    <t>Fetid Cloud</t>
  </si>
  <si>
    <t>Nonreactive, Poison Effect</t>
  </si>
  <si>
    <t>While poisoned in this way, a creature can take either an action or a bonus action on its turn, not both, and can't take reactions.</t>
  </si>
  <si>
    <t>Unconscious While Poisoned</t>
  </si>
  <si>
    <t>Knockout, Poison Ending</t>
  </si>
  <si>
    <t>While poisoned in this way, a creature is unconscious [DURATION]. Waking the unconscious creature also ends the poisoned condition.</t>
  </si>
  <si>
    <t>Superior Heavy Armor Master</t>
  </si>
  <si>
    <t>While wearing heavy armor, the [MON] reduces any bludgeoning, piercing, or slashing damage it takes from nonmagical weapons by [#].</t>
  </si>
  <si>
    <t>Auto Repeat Fail</t>
  </si>
  <si>
    <t>A creature that is currently experiencing the effects of previously failing this saving throw fails this saving throw automatically.</t>
  </si>
  <si>
    <t>Hideous Laughter</t>
  </si>
  <si>
    <t>Incapacitation Effect, Silencing, Toppling</t>
  </si>
  <si>
    <t>A incapacitated creature is prone and laughing uncontrollably, preventing it from speaking or casting spells with verbal components.</t>
  </si>
  <si>
    <t>One With Shadows</t>
  </si>
  <si>
    <t>As a bonus action when in an area of dim light or darkness, the [MON] can become invisible [DURATION] or uses an action or reaction.</t>
  </si>
  <si>
    <t>Storm's Strength</t>
  </si>
  <si>
    <t>If an electrical storm is raging around a [MON] and its target, the saving throw against Lightning's Kiss is made with disadvantage.</t>
  </si>
  <si>
    <t>If the [MON] is not touching the ground, it loses any damage immunities and gains vulnerability to [DMG_TYPE] and [DMG_TYPE] damage.</t>
  </si>
  <si>
    <t>Lightning (Other), Thunder (Other)</t>
  </si>
  <si>
    <t>Insect Transformation</t>
  </si>
  <si>
    <t>If this reduces the target's hit point max to 0, the target dies and immediately transforms into a randomly chosen swarm of insects.</t>
  </si>
  <si>
    <t>Hurl Flesh</t>
  </si>
  <si>
    <t>is covered in slime [DURATION]. Zombies under the [MON]'s control have advantage on attack rolls against creatures covered in slime.</t>
  </si>
  <si>
    <t>Silent Steps</t>
  </si>
  <si>
    <t>No sound emanates from the [MON]. It has advantage on Dexterity (Stealth) checks, and each creature within [#] ft of it is deafened.</t>
  </si>
  <si>
    <t>Mimic Page</t>
  </si>
  <si>
    <t>The [MON] can disguise itself as any tiny, flat object. In any form, a [MON] can make a map on its skin leading to its mother [MON].</t>
  </si>
  <si>
    <t>The [MON] transforms into a humanoid or beast that has a challenge rating equal to or less than its own, or back into its true form.</t>
  </si>
  <si>
    <t>HP Max Reduced and Self Healed Equally</t>
  </si>
  <si>
    <t>The target's hit point max is reduced by an amount equal to the damage taken, and the [MON] regains hit points equal to that amount.</t>
  </si>
  <si>
    <t>This effect ends early if an affected creature takes any damage or if another creature uses an action to shake it out of its stupor.</t>
  </si>
  <si>
    <t>Line of Battle</t>
  </si>
  <si>
    <t>When the [MON] is within [#] ft of two allies that aren't incapacitated, it has advantage on saving throws against being frightened.</t>
  </si>
  <si>
    <t>Wisdom and Charisma Disadvantage if Charmed</t>
  </si>
  <si>
    <t>While charmed in this way, a creature has disadvantage on Wisdom and Charisma saving throws made to resist spells cast by the [MON].</t>
  </si>
  <si>
    <t>Two-Type Consumption Damage</t>
  </si>
  <si>
    <t>Piercing (d8), Poison (d10)</t>
  </si>
  <si>
    <t>Acid (d6), Bludgeoning (d6)</t>
  </si>
  <si>
    <t>A humanoid slain by this attack rises as a ghast [DURATION] later under the [MON]'s control, unless the humanoid is restored to life.</t>
  </si>
  <si>
    <t>Opportune Jab</t>
  </si>
  <si>
    <t>As a reaction when a creature attempts to grapple the [MON], the [MON] can make one melee attack against that creature as a reaction.</t>
  </si>
  <si>
    <t>Dazzling Glow</t>
  </si>
  <si>
    <t>As a reaction when a creature the [MON] can see targets it with a melee attack, the [MON] can impose disadvantage on the attack roll.</t>
  </si>
  <si>
    <t>As a reaction when an attacker the [MON] can see hits it with an attack, the [MON] can use its reaction to halve the damage it takes.</t>
  </si>
  <si>
    <t>Drunken Dodge</t>
  </si>
  <si>
    <t>As a reaction when the [MON] is hit by a weapon attack, it gains resistance to bludgeoning, piercing, and slashing damage [DURATION].</t>
  </si>
  <si>
    <t>Outcome for Area of Double Hit</t>
  </si>
  <si>
    <t>If the [MON] hits a creature twice with this attack in one round, the target and each creature within [#] ft of the target [OUTCOME].</t>
  </si>
  <si>
    <t>It retains its [MON] statistics including speech and telepathy except that it has the size movement modes and traits of its new form.</t>
  </si>
  <si>
    <t>Grapplevine Whip</t>
  </si>
  <si>
    <t>Ventriloquism</t>
  </si>
  <si>
    <t>The [MON] can perfectly imitate any voice it has heard. It can make its voice appear to originate from any point within [#] ft of it.</t>
  </si>
  <si>
    <t>Poor Senses</t>
  </si>
  <si>
    <t>The [MON] has poor hearing and is nearsighted. It can see in normal or dim light up to [#] ft and hear sounds from up to [#] ft away.</t>
  </si>
  <si>
    <t>The [MON] touches a humanoid corpse it killed less than 1 day ago. The creature's spirit rises as a wraith under the [MON]'s control.</t>
  </si>
  <si>
    <t>Prepare Host</t>
  </si>
  <si>
    <t>The paralysis can be ended with a successful DC [SAVE_DC] Wisdom (Medicine) check or by a spell or magical effect that cures disease.</t>
  </si>
  <si>
    <t>Binding Bile</t>
  </si>
  <si>
    <t>Restraint Ending, Restraints</t>
  </si>
  <si>
    <t>The restraining material can be attacked and destroyed (AC [#]; [#] hit points; immunity to bludgeoning, poison, and psychic damage).</t>
  </si>
  <si>
    <t>When the [MON] dies, all consumed creatures are no longer restrained by it and can escape by using [#] ft of movement, exiting prone.</t>
  </si>
  <si>
    <t>Steal Joy</t>
  </si>
  <si>
    <t>A creature that has taken psychic damage from the [MON]'s Disheartening Touch within [DURATION] has disadvantage on this saving throw.</t>
  </si>
  <si>
    <t>Transmit Pain</t>
  </si>
  <si>
    <t>Outcome of Touching Monster</t>
  </si>
  <si>
    <t>A creature that starts its turn grappled by the [MON], touches it, or hits it with a melee attack while within [#] ft of it [OUTCOME].</t>
  </si>
  <si>
    <t>Blazing Fury</t>
  </si>
  <si>
    <t>If the [MON]'s flame is ever doused, it is incapacitated until the flame is rekindled by dealing at least [#] [DMG_TYPE] damage to it.</t>
  </si>
  <si>
    <t>Light Absorption</t>
  </si>
  <si>
    <t>Light within [#] ft of the [MON] is dampened. Bright light in that area becomes dim light and dim light in that area becomes darkness.</t>
  </si>
  <si>
    <t>Touch</t>
  </si>
  <si>
    <t>takes [#dX] [DMG_TYPE] damage at the start of each of its turns until a creature uses an action to extinguish the flame on the target.</t>
  </si>
  <si>
    <t>The [MON] automatically senses the blood of living creatures within [#] ft of it and can pinpoint their locations within [#] ft of it.</t>
  </si>
  <si>
    <t>Astral Traveler</t>
  </si>
  <si>
    <t>The [MON] briefly surrounds itself in a shower of glittering dust and teleports to an unoccupied space it can see within [#] ft of it.</t>
  </si>
  <si>
    <t>The [MON] can remain submerged in sand and gravel [DURATION]. It has advantage on Dexterity (Stealth) checks made to hide in this way.</t>
  </si>
  <si>
    <t>Flanking</t>
  </si>
  <si>
    <t>The [MON] has advantage on attack rolls if at least one of its allies is within [#] ft of the target and the ally isn't incapacitated.</t>
  </si>
  <si>
    <t>Bomb</t>
  </si>
  <si>
    <t>The [MON] lobs a bomb at a point within [#] ft of it that it can see. Upon impact, the bomb explodes in a [#] ft radius. [TGT_EFFECT].</t>
  </si>
  <si>
    <t>Create Specter</t>
  </si>
  <si>
    <t>The [MON] touches a humanoid corpse it killed less than 1 day ago. The creature's spirit rises as a specter under the [MON]'s control.</t>
  </si>
  <si>
    <t>The target's Strength score is reduced by an amount equal to half the damage dealt. The target dies if this reduces its Strength to 0.</t>
  </si>
  <si>
    <t>Strength (Other)</t>
  </si>
  <si>
    <t>Two goblin musketeers together can operate a musket. If one uses its action to assist the other gains the following additional action:</t>
  </si>
  <si>
    <t>Attached Damage Transfer</t>
  </si>
  <si>
    <t>Attachment Effect, Damage Reduction</t>
  </si>
  <si>
    <t>While attached to a creature, the [MON] takes only half the damage dealt to it (rounded down), and that creature takes the other half.</t>
  </si>
  <si>
    <t>A creature slain by this disease rises as a [MON] of its size [DURATION] after it dies, growing to Large over the course of [DURATION].</t>
  </si>
  <si>
    <t>Fungal Aura</t>
  </si>
  <si>
    <t>Aura, Infecting</t>
  </si>
  <si>
    <t>Distracting Knock</t>
  </si>
  <si>
    <t>A incapacitated creature must move toward the [MON] by the safest available route on each of its turns unless there is nowhere to move.</t>
  </si>
  <si>
    <t>Resave vs Poison</t>
  </si>
  <si>
    <t>A poisoned creature can repeat this saving throw at the end of each of its turns, ending the poisoned condition on itself on a success.</t>
  </si>
  <si>
    <t>Deathly Doom</t>
  </si>
  <si>
    <t>As a bonus action, the [MON] dooms a creature. The [MON] knows the direction to the doomed creature as long as it is on the same plane.</t>
  </si>
  <si>
    <t>Multiple Heads</t>
  </si>
  <si>
    <t>The [MON] has advantage on saving throws made to resist being blinded, charmed, deafened, frightened, stunned, and knocked unconscious.</t>
  </si>
  <si>
    <t>As long as the [MON] is within [#] ft of at least one other [MON], it has advantage on initiative rolls and Wisdom (Perception) checks.</t>
  </si>
  <si>
    <t>Charmed Stare</t>
  </si>
  <si>
    <t>Blinding, Charm Effect</t>
  </si>
  <si>
    <t>While charmed in this way, a creature must look at the [MON] and is considered blinded to other creatures not between it and the [MON].</t>
  </si>
  <si>
    <t>Vigilant</t>
  </si>
  <si>
    <t>If the [MON] remains motionless for at least [DURATION], it has advantage on Wisdom (Perception) checks and Dexterity (Stealth) checks.</t>
  </si>
  <si>
    <t>Greater Poisoning Knockout</t>
  </si>
  <si>
    <t>If this damage reduces a creature to 0 hit points, it is stable but poisoned and unconscious [DURATION], even if it regains hit points.</t>
  </si>
  <si>
    <t>Bonus Move and Attack</t>
  </si>
  <si>
    <t>Bonus Action Attack, Movement</t>
  </si>
  <si>
    <t>If this damage reduces a creature to 0 hit points, the [MON] can use its bonus action to move up to half its speed and make one attack.</t>
  </si>
  <si>
    <t>Raise Corpse</t>
  </si>
  <si>
    <t>One humanoid corpse the [MON] can see within [#] ft of it rises as a skeleton or zombie (the [MON]'s choice) under the [MON]'s control.</t>
  </si>
  <si>
    <t>Nimble Separation</t>
  </si>
  <si>
    <t>Disadvantage, Movement</t>
  </si>
  <si>
    <t>The [MON] briefly separates its component parts and takes the Dash action. Opportunity attacks against it have disadvantage [DURATION].</t>
  </si>
  <si>
    <t>Leap</t>
  </si>
  <si>
    <t>The [MON] can leap up to [#] ft straight ahead or backward as part of its movement; this movement does not provoke opportunity attacks.</t>
  </si>
  <si>
    <t>The first time the [MON] enters a creature's space on a turn, that creature takes [#dX] [DMG_TYPE] damage plus [#dX] [DMG_TYPE] damage.</t>
  </si>
  <si>
    <t>Electrical Charge</t>
  </si>
  <si>
    <t>Damage Reduction, Extra Damage</t>
  </si>
  <si>
    <t>When the [MON] is subjected to [DMG_TYPE] damage, it takes no damage, and its attacks deal an extra [#dX] [DMG_TYPE] damage [DURATION].</t>
  </si>
  <si>
    <t>While using Ghostwalk, the [MON]'s bite and poison do half as much damage to targets that aren't affected by Ghostly Snare (see below).</t>
  </si>
  <si>
    <t>Vermin Blood</t>
  </si>
  <si>
    <t>A creature that hits the [MON] with a melee attack while within [#] ft of it takes [#dX] [DMG_TYPE] damage plus [#dX] [DMG_TYPE] damage.</t>
  </si>
  <si>
    <t>Piercing (d8), Poison (d8)</t>
  </si>
  <si>
    <t>Revenge</t>
  </si>
  <si>
    <t>As a reaction when a [MON] is dealt [#] damage or more by a single attack and survives, it can make a melee attack against the attacker.</t>
  </si>
  <si>
    <t>Elephantine Passivism</t>
  </si>
  <si>
    <t>Elephant, mammoths, and other elephantine creatures can't willingly attack the [MON]. They can be forced to do so through magical means.</t>
  </si>
  <si>
    <t>Psychic Blast</t>
  </si>
  <si>
    <t>If the target is currently suffocating from the [MON]'s Gasp to Survive the [MON] can choose to deal [#dX] [DMG_TYPE] to target instead.</t>
  </si>
  <si>
    <t>Damage or Save for Half</t>
  </si>
  <si>
    <t>Thunder (d8)</t>
  </si>
  <si>
    <t>The [MON] can pinpoint, by scent, the location of creatures that aren't constructs or undead within [#] ft of it but is otherwise blind.</t>
  </si>
  <si>
    <t>Draw Flames</t>
  </si>
  <si>
    <t>The [MON] extinguishes up to [#] ft cube of nonmagical fire within [#] ft of it drawing fire into itself and activating its Fire Hazard.</t>
  </si>
  <si>
    <t>Volcanic Tyrant</t>
  </si>
  <si>
    <t>The [MON] is immune to the effects of poisonous gases caused by volcanic environments. It also ignores difficult terrain caused by lava.</t>
  </si>
  <si>
    <t>Symbiotically Bound</t>
  </si>
  <si>
    <t>The [MON]'s life forces have been entwined by an arcane force. They share statistics as if they were one monster and can't be separated.</t>
  </si>
  <si>
    <t>Escape the Grapple</t>
  </si>
  <si>
    <t>Grapple Ending</t>
  </si>
  <si>
    <t>A creature within [#] ft of the [MON] can free a grappled creature or object by succeeding on a DC [SAVE_DC] Strength check as an action.</t>
  </si>
  <si>
    <t>A creature within [#] ft of the [MON] can use its action to make a DC [SAVE_DC] Strength check, freeing a grappled creature on a success.</t>
  </si>
  <si>
    <t>Zombie Spawning Knockout</t>
  </si>
  <si>
    <t>Lethal, Spawning</t>
  </si>
  <si>
    <t>A humanoid or beast reduced to 0 hit points by this attack dies. Its corpse rises [DURATION] later as a zombie under the [MON]'s control.</t>
  </si>
  <si>
    <t>Eight Hooves</t>
  </si>
  <si>
    <t>As a reaction when a creature moves within [#] ft of the [MON], the [MON] can move up to its speed without provoking opportunity attacks.</t>
  </si>
  <si>
    <t>Reaction Area</t>
  </si>
  <si>
    <t>As a reaction when damaged by a ranged weapon attack, spell, or magical effect, the [MON] targets a [#] ft long line that is [#] ft wide.</t>
  </si>
  <si>
    <t>Damage done to the [MON] by a creature it has consumed may cause it to expel consumed creatures, but does not otherwise damage the [MON].</t>
  </si>
  <si>
    <t>Worm Regeneration</t>
  </si>
  <si>
    <t>If the [MON] has at least 1 hit point the [MON] regains [#] hit points for each worm infesting another creature at the start of its turn.</t>
  </si>
  <si>
    <t>Whispers of Madness</t>
  </si>
  <si>
    <t>Disadvantage, Madness</t>
  </si>
  <si>
    <t>If the [MON] has inflicted a madness effect on a creature, that creature has disadvantage on saving throws against the [MON]'s abilities.</t>
  </si>
  <si>
    <t>Topple and Push</t>
  </si>
  <si>
    <t>takes [#dX] [DMG_TYPE] damage at the end of its next turn, unless it or a creature within reach of it uses an action to clean itself off.</t>
  </si>
  <si>
    <t>Fey Sense</t>
  </si>
  <si>
    <t>The [MON] can pinpoint, by scent, the location of fey within [#] ft of it and can sense the general direction to fey within 1 mile of it.</t>
  </si>
  <si>
    <t>Truth Aversion</t>
  </si>
  <si>
    <t>Selected Visible Friendly Unintelligent Undead Within Range</t>
  </si>
  <si>
    <t>The [MON] targets up to [#] friendly undead within [#] ft of it that it can see with an Intelligence score of [#] or lower. [TGT_EFFECT].</t>
  </si>
  <si>
    <t>The target's hit point max is reduced by an amount equal to half the damage taken, and the [MON] regains hit points equal to that amount.</t>
  </si>
  <si>
    <t>Extra Damage, Movement, Toppling</t>
  </si>
  <si>
    <t>When the [MON] hits a creature with an attack after falling at least [#] ft, the target takes an extra [#dX] damage and is knocked prone.</t>
  </si>
  <si>
    <t>Bloodied Frenzy</t>
  </si>
  <si>
    <t>While the [MON] has half its hit points or fewer, it makes all attacks with advantage and all attacks against it are made with advantage.</t>
  </si>
  <si>
    <t>Icy Transformation</t>
  </si>
  <si>
    <t>A humanoid slain by the [MON] rises 1 week later as a glacial corrupter, unless the humanoid is restored to life or its body is destroyed.</t>
  </si>
  <si>
    <t>Yeast Slurry</t>
  </si>
  <si>
    <t>Any creature within reach of a restrained target can free a restrained target by succeeding on a DC [SAVE_DC] Strength check as an action.</t>
  </si>
  <si>
    <t>Variegated Scales</t>
  </si>
  <si>
    <t>As a bonus action, the [MON] gains immunity to one type of damage. It can change this immunity from one type to another as a bonus action.</t>
  </si>
  <si>
    <t>Retributive Strike</t>
  </si>
  <si>
    <t>As a reaction when a creature the [MON] can see hits it with a melee weapon attack, the [MON] makes one melee attack against the attacker.</t>
  </si>
  <si>
    <t>Relentless Pursuit</t>
  </si>
  <si>
    <t>As a reaction when a creature within [#] ft of the [MON] moves away from it, the [MON] can move up to half its speed toward that creature.</t>
  </si>
  <si>
    <t>Gift of Luck</t>
  </si>
  <si>
    <t>can roll a [#dX] and add the result to one ability check, attack roll, or saving throw after seeing the result within the next [DURATION].</t>
  </si>
  <si>
    <t>Catch on Fire</t>
  </si>
  <si>
    <t>Diseased Bite</t>
  </si>
  <si>
    <t>Attachment Effect, Infecting</t>
  </si>
  <si>
    <t>Steely Hide</t>
  </si>
  <si>
    <t>If a creature targets the [MON] with a melee attack using a nonmagical weapon and rolls a natural 1 on the attack roll, the weapon breaks.</t>
  </si>
  <si>
    <t>If the [MON] is subjected to a spell, attack, or other effect that affects only one target, it takes any damage but ignores other effects.</t>
  </si>
  <si>
    <t>Unstable Form</t>
  </si>
  <si>
    <t>If the [MON] takes [#] or more points of damage on a single turn while in [MON] or giant form, it can immediately shift to its skunk form.</t>
  </si>
  <si>
    <t>Approach</t>
  </si>
  <si>
    <t>Approaching</t>
  </si>
  <si>
    <t>Expert Wrestler</t>
  </si>
  <si>
    <t>The [MON] can grapple creatures that are two sizes larger than itself and can move at full speed when dragging a creature it has grappled.</t>
  </si>
  <si>
    <t>Elemental Swarm</t>
  </si>
  <si>
    <t>The [MON] can occupy another creature's space and vice versa, and the [MON] can move through any opening large enough for a Tiny creature.</t>
  </si>
  <si>
    <t>Bound</t>
  </si>
  <si>
    <t>The [MON] is psychically bound to its creator. Each knows the distance to and direction of the other while on the same plane of existence.</t>
  </si>
  <si>
    <t>Snow Vision</t>
  </si>
  <si>
    <t>The [MON] see perfectly well in snowy conditions. It does not suffer Wisdom (Perception) penalties from snow, whiteout, or snow blindness.</t>
  </si>
  <si>
    <t>One Visible Dying Non-Undead Non-Construct Creature  Within Range</t>
  </si>
  <si>
    <t>The [MON] targets one creature within [#] ft of it that it can see that has 0 hit points and isn't an undead or a construct. [TGT_EFFECT].</t>
  </si>
  <si>
    <t>The whirlwind disappears if the [MON] loses sight of it, if the [MON] dies or is incapacitated, or if the [MON] dismisses it as an action.</t>
  </si>
  <si>
    <t>Graveborn Strength</t>
  </si>
  <si>
    <t>When not in sunlight, creatures make their saving throws against the [MON]'s Horrifying Visage and Possession abilities with disadvantage.</t>
  </si>
  <si>
    <t>Paralyzing Throes</t>
  </si>
  <si>
    <t>Volatile</t>
  </si>
  <si>
    <t>When the [MON] is subjected to [DMG_TYPE] damage, it takes no damage, and each creature within [#] ft of it takes [#dX] [DMG_TYPE] damage.</t>
  </si>
  <si>
    <t>Thunder (Other), Acid (d8)</t>
  </si>
  <si>
    <t>Noxious Aura</t>
  </si>
  <si>
    <t>Aura, Poisoning</t>
  </si>
  <si>
    <t>Acid Boils</t>
  </si>
  <si>
    <t>Set Aflame by Great Failure</t>
  </si>
  <si>
    <t>catches fire. Until someone uses an action to douse the fire, the creature takes [#dX] [DMG_TYPE] damage at the start of each of its turns.</t>
  </si>
  <si>
    <t>Dispelling Burst</t>
  </si>
  <si>
    <t>Area, Magic Disrupting, Temporary Self Healing</t>
  </si>
  <si>
    <t>Each spell of level [#] or lower in that area immediately ends, and the [MON] gains [#] temporary hit points for each spell ended this way.</t>
  </si>
  <si>
    <t>Blinding Action</t>
  </si>
  <si>
    <t>Consumption Release</t>
  </si>
  <si>
    <t>Consumption Effect, Disadvantage, Restraint Ending</t>
  </si>
  <si>
    <t>If the [MON] dies, the consumed creature is no longer restrained but has disadvantage on the saving throw against the [MON]'s Death Spores.</t>
  </si>
  <si>
    <t>Dive Bomb</t>
  </si>
  <si>
    <t>If the [MON] flies at least [#] ft straight toward the target before making this attack, the attack deals an extra [#dX] [DMG_TYPE] damage.</t>
  </si>
  <si>
    <t>Releasing Crit</t>
  </si>
  <si>
    <t>If the [MON] is subjected to a critical hit, it releases any creatures it has grappled and drops any Small or larger objects it is holding.</t>
  </si>
  <si>
    <t>Detect Alignment</t>
  </si>
  <si>
    <t>The [MON] can detect the presence of creatures within [#] ft of it that have an alignment trait, and knows the alignment of such creatures.</t>
  </si>
  <si>
    <t>The [MON] can occupy another creature's space and vice versa, and the [MON] can move through any opening large enough for a Small creature.</t>
  </si>
  <si>
    <t>One by One</t>
  </si>
  <si>
    <t>The [MON] can only affect one creature with this ability at a time. If it targets another creature, the effect on the previous target ends.</t>
  </si>
  <si>
    <t>The [MON] can remain in flameform [DURATION], and can enter flameform twice, regaining expended uses after completing a short or long rest.</t>
  </si>
  <si>
    <t>Sense Life</t>
  </si>
  <si>
    <t>The [MON] can sense the presence of living creatures within 1 mile away. It knows each creature's general direction but not exact location.</t>
  </si>
  <si>
    <t>Blood Scent</t>
  </si>
  <si>
    <t>The [MON] can smell blood within [#] ft of it. It can determine whether the blood is fresh or old and what type of creature shed the blood.</t>
  </si>
  <si>
    <t>Snuff Out</t>
  </si>
  <si>
    <t>The [MON] extinguishes one natural or magical light source within [#] ft of it. If the light source is created by a spell, it is dispelled.</t>
  </si>
  <si>
    <t>Beast Hunter</t>
  </si>
  <si>
    <t>The [MON] has advantage on Wisdom (Survival) checks to track beasts and on Intelligence (Nature) checks to recall information about beasts.</t>
  </si>
  <si>
    <t>Increasing Difficulty for Each Hit</t>
  </si>
  <si>
    <t>The DC for this saving throw increases by 1 for each ally of the [MON] that hit the target since the end of this the [MON]'s previous turn.</t>
  </si>
  <si>
    <t>Exposing Effort</t>
  </si>
  <si>
    <t>When the [MON] uses this ability, it sheds some of its scales. If it has no more uses of this ability, its AC is reduced by [#] [DURATION].</t>
  </si>
  <si>
    <t>Aura, Charming</t>
  </si>
  <si>
    <t>Mobile</t>
  </si>
  <si>
    <t>After the [MON] makes a melee attack against a creature on its turn, [DURATION], it does not provoke opportunity attacks from that creature.</t>
  </si>
  <si>
    <t>Night Terror</t>
  </si>
  <si>
    <t>As a bonus action immediately after making a successful melee attack, the [MON] can cast magic missile through its sword at the same target.</t>
  </si>
  <si>
    <t>Versatility of the Elder Elementals</t>
  </si>
  <si>
    <t>As a bonus action, the [MON] can change the damage of a spell it casts from acid, cold, fire, or lightning to another one of those elements.</t>
  </si>
  <si>
    <t>Elite Recovery</t>
  </si>
  <si>
    <t>At the end of each of its turns, the [MON] can end one condition or effect on itself. It can do this even when unconscious or incapacitated.</t>
  </si>
  <si>
    <t>Starshine</t>
  </si>
  <si>
    <t>Aura, Blinding</t>
  </si>
  <si>
    <t>Intelligence</t>
  </si>
  <si>
    <t>Tripping Grass</t>
  </si>
  <si>
    <t>If the [MON] didn't move on its previous turn and hits a target with its Grass Trip, it can make one attack with its bite as a bonus action.</t>
  </si>
  <si>
    <t>If the [MON] moves at least [#] ft straight toward a creature before hitting it with a melee attack, the target takes an extra [#dX] damage.</t>
  </si>
  <si>
    <t>Deathly Shroud</t>
  </si>
  <si>
    <t>Light within [#] ft of the [MON] is less powerful. Bright light in that area becomes dim light, and dim light in that area becomes darkness.</t>
  </si>
  <si>
    <t>Bloody Breath</t>
  </si>
  <si>
    <t>Once a [MON] uses its Bloody Breath, it can't use Bloody Breath again until it has drained at least [#] hit points of blood from a creature.</t>
  </si>
  <si>
    <t>The [MON] can occupy another creature's space and vice versa, and the [MON] can move through any opening large enough for a Medium creature.</t>
  </si>
  <si>
    <t>Break Magic</t>
  </si>
  <si>
    <t>The [MON] ends all spell effects on a creature, object, or point within [#] ft of it that were created by a [#]th-level or lower spell slot.</t>
  </si>
  <si>
    <t>Burrow Awareness</t>
  </si>
  <si>
    <t>The [MON] has advantage on Wisdom (Perception) checks if at least one other [MON] is within [#] ft of it and that [MON] isn't incapacitated.</t>
  </si>
  <si>
    <t>Locate Mind</t>
  </si>
  <si>
    <t>The [MON] is aware of the location and relative intelligence of all creatures with Intelligence scores greater than [#] within [#] ft of it.</t>
  </si>
  <si>
    <t>The [MON] targets a cylindrical, [#] ft tall, [#] ft radius area in the water or air, centered on a point within [#] ft of it. [TGT_EFFECT].</t>
  </si>
  <si>
    <t>Explosive Death</t>
  </si>
  <si>
    <t>Random Effects</t>
  </si>
  <si>
    <t>When the [MON] dies, its body explodes and releases a random 1st-level spell. This spell targets the creature nearest to the [MON]'s corpse.</t>
  </si>
  <si>
    <t>Radiant Sensitivity</t>
  </si>
  <si>
    <t>When the [MON] takes [DMG_TYPE] damage, it has disadvantage on attack rolls and on Wisdom (Perception) checks that rely on sight [DURATION].</t>
  </si>
  <si>
    <t>Resave if Action Used</t>
  </si>
  <si>
    <t>While charmed in this way, a creature can repeat this saving throw if another creature uses an action to shake the target out of its stupor.</t>
  </si>
  <si>
    <t>Pandorum</t>
  </si>
  <si>
    <t>Betraying, Confusion</t>
  </si>
  <si>
    <t>A confused creature regards its allies as traitorous enemies. When rolling to determine its actions, treat a roll of 1 to 4 as a result of 8.</t>
  </si>
  <si>
    <t>Void Aura</t>
  </si>
  <si>
    <t>A creature that has been diseased by a [MON] or a [MON]ic zombie that starts its turn within [#] ft of a [MON] takes [#dX] [DMG_TYPE] damage.</t>
  </si>
  <si>
    <t>Nauseating Aura</t>
  </si>
  <si>
    <t>Bone Shard</t>
  </si>
  <si>
    <t>A restrained creature or a creature adjacent to it can use an action to make a successful DC [SAVE_DC] Strength (Athletics) check to free it.</t>
  </si>
  <si>
    <t>True Form Reveal</t>
  </si>
  <si>
    <t>A shapechanger that takes [DMG_TYPE] damage from this attack instantly reverts to its true form and can't assume a different form [DURATION].</t>
  </si>
  <si>
    <t>Aura of Protection</t>
  </si>
  <si>
    <t>All allies within [#] ft of the [MON] gain a bonus to saving throws equal to the [MON]'s Charisma modifier as long as the [MON] is conscious.</t>
  </si>
  <si>
    <t>Unnatural Aura</t>
  </si>
  <si>
    <t>Animals do not willingly approach within [#] ft of a [MON]. This can be overcome by a successful DC [SAVE_DC] Wisdom (Animal Handling) check.</t>
  </si>
  <si>
    <t>Squeal</t>
  </si>
  <si>
    <t>As a reaction when a [MON] is hit with an attack, it can let out a blood-curdling scream. Each creature within [#] ft of the [MON] [OUTCOME].</t>
  </si>
  <si>
    <t>Tail Attack</t>
  </si>
  <si>
    <t>As a reaction when a creature the [MON] can see within [#] ft of it hits the [MON] with a melee attack, the [MON] makes an attack against it.</t>
  </si>
  <si>
    <t>Magic Interruption</t>
  </si>
  <si>
    <t>At the end of the [MON]'s turn, any spell or magical effect with a duration longer than 1 round that is affecting the [MON] immediately ends.</t>
  </si>
  <si>
    <t>Even if slain, the [MON]'s body will reform in a crypt of the [MON] after [DURATION], provided that there is one within 1 mile of its corpse.</t>
  </si>
  <si>
    <t>Probing Telepathy</t>
  </si>
  <si>
    <t>If a creature communicates telepathically with the [MON], the [MON] learns the creature's greatest desires if the [MON] can see the creature.</t>
  </si>
  <si>
    <t>Spell-Created</t>
  </si>
  <si>
    <t>If a spellcaster casts dispel magic on the [MON], it must succeed on a DC [SAVE_DC] spellcasting ability check in order to destroy the [MON].</t>
  </si>
  <si>
    <t>Formation Movement</t>
  </si>
  <si>
    <t>If the [MON] begins its turn within [#] ft of an ally that is not incapacitated, its movement doesn't provoke opportunity attacks [DURATION].</t>
  </si>
  <si>
    <t>Impaling Charge</t>
  </si>
  <si>
    <t>Grappling, Movement</t>
  </si>
  <si>
    <t>If the [MON] moves at least [#] ft straight toward the target before making this attack, the [MON] grapples the target (escape DC [SAVE_DC]).</t>
  </si>
  <si>
    <t>Combat Tunneler</t>
  </si>
  <si>
    <t>If two [MON]s wielding any combination of picks and shovels combine their efforts, they gain a burrow speed of [#] ft through non-rocky soil.</t>
  </si>
  <si>
    <t>Its statistics and capabilities are otherwise replaced by those of the new form, except any class features or legendary actions of that form.</t>
  </si>
  <si>
    <t>One with Lava</t>
  </si>
  <si>
    <t>The [MON] can't be surprised by creatures within [#] ft of lava, and it can sense any creature touching the same pool of lava it is touching.</t>
  </si>
  <si>
    <t>Tidepool Bound</t>
  </si>
  <si>
    <t>The [MON] dies if it moves more than [#] ft from the tide pools to which it is bound or if those tide pools are dry for more than [DURATION].</t>
  </si>
  <si>
    <t>Haste</t>
  </si>
  <si>
    <t>AC Change, Bonus Action Attack</t>
  </si>
  <si>
    <t>The [MON] gains a +[#] bonus to its AC, has advantage on Dexterity saving throws, and can make one melee attack as a bonus action [DURATION].</t>
  </si>
  <si>
    <t>Warhordling Orc Eye</t>
  </si>
  <si>
    <t>The [MON] has advantage on attack rolls against any creature it has successfully targeted with a divination spell within the past [DURATION].</t>
  </si>
  <si>
    <t>The [MON] has advantage on Wisdom (Perception) and Wisdom (Survival) checks to find or track a creature that doesn't have all its hit points.</t>
  </si>
  <si>
    <t>Reptile Foe</t>
  </si>
  <si>
    <t>The [MON] has advantage on Wisdom (Survival) checks to track reptilian creatures and on Intelligence checks to recall information about them.</t>
  </si>
  <si>
    <t>Dark Invitation</t>
  </si>
  <si>
    <t>This effect ends if the [MON] is destroyed, is on a different plane of existence than the target, or uses its bonus action to end the effect.</t>
  </si>
  <si>
    <t>When the [MON] would be pushed, pulled, or knocked prone, it is not knocked prone, and the distance of any push or pull is reduced by [#] ft.</t>
  </si>
  <si>
    <t>Resave at End of Each Turn</t>
  </si>
  <si>
    <t>While charmed in this way, a creature can repeat this saving throw at the end of each of its turns, ending the effect on itself on a success.</t>
  </si>
  <si>
    <t>Pull Attached [MON] Off</t>
  </si>
  <si>
    <t>A creature within reach of the target, including the target, can detach the [MON] by succeeding on a DC [SAVE_DC] Strength check as an action.</t>
  </si>
  <si>
    <t>Imprison Mind</t>
  </si>
  <si>
    <t>Incapacitation Ending</t>
  </si>
  <si>
    <t>An incapacitated creature can repeat this saving throw if another creature within reach of it uses an action to try to end its incapacitation.</t>
  </si>
  <si>
    <t>Nullifying Howl</t>
  </si>
  <si>
    <t>Pestilence Aura</t>
  </si>
  <si>
    <t>Battle Leaper</t>
  </si>
  <si>
    <t>Advantage, Mount, Movement</t>
  </si>
  <si>
    <t>If a riderless [MON] jumps at least [#] ft and lands within [#] ft of a creature, it has advantage on attacks against that creature this turn.</t>
  </si>
  <si>
    <t>Four Random Target Effects</t>
  </si>
  <si>
    <t>suffers a random effect [DURATION]. Roll a d4 to determine the effect: (1) [TGT_EFFECT]; (2) [TGT_EFFECT]; (3) [TGT_EFFECT]; (4) [TGT_EFFECT].</t>
  </si>
  <si>
    <t>Detect Blasphemy</t>
  </si>
  <si>
    <t>Green Walk</t>
  </si>
  <si>
    <t>The [MON] can move across undergrowth, natural or magical, without needing to make an ability check and without expending additional movement.</t>
  </si>
  <si>
    <t>Aura of Darkness</t>
  </si>
  <si>
    <t>Aura, Obscuring</t>
  </si>
  <si>
    <t>The [MON] devours all natural and magical light within [#] ft of it. This area is heavily obscured by darkness for all creatures except [MON].</t>
  </si>
  <si>
    <t>Leviathan Hunter</t>
  </si>
  <si>
    <t>The [MON] has advantage on Wisdom (Perception) and Wisdom (Survival) checks to find and track Large or larger creatures with a swimming speed.</t>
  </si>
  <si>
    <t>The [MON] sheds bright light in a [#] ft radius and dim light for an additional [#] ft; it can create or suppress the light as a bonus action.</t>
  </si>
  <si>
    <t>Whispering Mouth</t>
  </si>
  <si>
    <t>The [MON]'s attacks against a cursed creature are made with advantage, and it has disadvantage on saving throws against the [MON]'s abilities.</t>
  </si>
  <si>
    <t>Radiant Reflection</t>
  </si>
  <si>
    <t>When the [MON] takes [DMG_TYPE] damage, the creature who dealt the damage takes [DMG_TYPE] damage equal to half the amount taken by the [MON].</t>
  </si>
  <si>
    <t>Acid Absorption</t>
  </si>
  <si>
    <t>Whenever the [MON] is subjected to acid damage, it takes no damage, and instead regains a number of hit points equal to the acid damage dealt.</t>
  </si>
  <si>
    <t>Fire Absorption</t>
  </si>
  <si>
    <t>Whenever the [MON] is subjected to fire damage, it takes no damage, and instead regains a number of hit points equal to the fire damage dealt.</t>
  </si>
  <si>
    <t>Boneshard Cyclone</t>
  </si>
  <si>
    <t>A creature that has taken damage from the [MON] or one of the [MON]'s allies since the end of its last turn has advantage on this saving throw.</t>
  </si>
  <si>
    <t>Save vs Poison at End of Turn</t>
  </si>
  <si>
    <t>Lightning Strike</t>
  </si>
  <si>
    <t>After using Lightning Strike, the [MON] is no longer charged with electricity. It can't use Lightning Strike if isn't charged with electricity.</t>
  </si>
  <si>
    <t>Death Bolt</t>
  </si>
  <si>
    <t>As a bonus action after firing an arrow, the [MON] can imbue the arrow with magical power, causing it to deal an extra [#dX] [DMG_TYPE] damage.</t>
  </si>
  <si>
    <t>Grasping Retaliation</t>
  </si>
  <si>
    <t>As a reaction when a creature hits the [MON] with melee attack while within [#] ft of the [MON] the [MON] can make one melee attack against it.</t>
  </si>
  <si>
    <t>Self-Pity</t>
  </si>
  <si>
    <t>As a reaction when a creature the [MON] can see within [#] ft of it regains hit points, the [MON] regains hit points equal to half that amount.</t>
  </si>
  <si>
    <t>Protective Parry</t>
  </si>
  <si>
    <t>As a reaction when a creature within [#] ft of it [MON] would be hit with a melee attack, the [MON] can impose disadvantage on the attack roll.</t>
  </si>
  <si>
    <t>Skin to Stone</t>
  </si>
  <si>
    <t>As a reaction when the [MON] is attacked, it gains resistance to bludgeoning, piercing, and slashing damage from nonmagical attacks [DURATION].</t>
  </si>
  <si>
    <t>Ignite</t>
  </si>
  <si>
    <t>catches on fire, taking an additional [#dX] [DMG_TYPE] damage at the start of each of its turns until someone uses an action to douse the fire.</t>
  </si>
  <si>
    <t>Valor</t>
  </si>
  <si>
    <t>Creatures of the [MON]'s choice within [#] ft of it gain a +[#] bonus to saving throws and are immune to the charmed and frightened conditions.</t>
  </si>
  <si>
    <t>Aura of Misfortune</t>
  </si>
  <si>
    <t>Creatures within [#] ft of the [MON] treat attack rolls of 20 as 19 and can't gain advantage on ability checks, attack rolls, or saving throws.</t>
  </si>
  <si>
    <t>Nullifying Blight</t>
  </si>
  <si>
    <t>Infection Effect, Magic Disrupting, Ongoing Damage</t>
  </si>
  <si>
    <t>Each time an infected creature starts its turn wielding or wearing magic item, casts a spell, or activates a magic item, it takes [#dX] damage.</t>
  </si>
  <si>
    <t>If the [MON]'s heart is intact, it gains a new body in [DURATION], regaining all its hit points. The new body forms within [#] ft of the heart.</t>
  </si>
  <si>
    <t>Grappling, Pulling</t>
  </si>
  <si>
    <t>If both attacks hit the same target, the target is grappled (escape DC [SAVE_DC]) and pulled to an unoccupied space within [#] ft of the [MON].</t>
  </si>
  <si>
    <t>Reshape</t>
  </si>
  <si>
    <t>The [MON] assumes the shape of any Tiny creature or object. A reshaped [MON] gains the movement of its new form but no other special qualities.</t>
  </si>
  <si>
    <t>Unerring Tracker</t>
  </si>
  <si>
    <t>The [MON] can locate any einherjar within [#] ft of it. This trait works like the locate creature spell, except running water doesn't block it.</t>
  </si>
  <si>
    <t>Fortified Shell</t>
  </si>
  <si>
    <t>The [MON] ignores any attack against its shell that doesn't do at least [#] damage. Attacking the [MON]'s head or flippers bypasses this trait.</t>
  </si>
  <si>
    <t>The target's hit point max is reduced by an amount equal to the [DMG_TYPE] damage taken, and the [MON] regains hit points equal to that amount.</t>
  </si>
  <si>
    <t>When the [MON] has half its hit points or fewer, it has advantage on all melee attack rolls against creatures that aren't Constructs or undead.</t>
  </si>
  <si>
    <t>Repeat Save at End of Turn to End Effect</t>
  </si>
  <si>
    <t>Jaw Clamp</t>
  </si>
  <si>
    <t>As a reaction when an attacker within [#] ft of the [MON] misses it with a melee attack, the [MON] can make a melee attack against the attacker.</t>
  </si>
  <si>
    <t>Blunting Hide</t>
  </si>
  <si>
    <t>Each creature that deals [DMG_TYPE] or [DMG_TYPE] damage to the [MON] with a weapon attack must roll the damage twice and take the lower result.</t>
  </si>
  <si>
    <t>Piercing (Other), Slashing (Other)</t>
  </si>
  <si>
    <t>Attack the Charmed</t>
  </si>
  <si>
    <t>Advantage, Charm Effect, Movement</t>
  </si>
  <si>
    <t>If a creature charmed in this way moves within [#] ft of the [MON], the [MON] can use its reaction to make one attack with advantage against it.</t>
  </si>
  <si>
    <t>Disease Instead of Damage</t>
  </si>
  <si>
    <t>Disease Eater</t>
  </si>
  <si>
    <t>Advantage, Poisoning</t>
  </si>
  <si>
    <t>The [MON] is immune to disease, and it has advantage on attack rolls against a creature if the creature is poisoned or suffering from a disease.</t>
  </si>
  <si>
    <t>Temporarily Heal Full Damage Dealt and Advantage</t>
  </si>
  <si>
    <t>Advantage, Temporary Self Healing</t>
  </si>
  <si>
    <t>The [MON] gains temporary hit points equal to the single highest amount of [DMG_TYPE] damage dealt and has advantage on attack rolls [DURATION].</t>
  </si>
  <si>
    <t>All Non-Chaotic Creatures Within Range of a Point Within Range</t>
  </si>
  <si>
    <t>The [MON] targets each creature without a chaotic alignment within a [#] ft radius sphere centered on a point within [#] ft of it. [TGT_EFFECT].</t>
  </si>
  <si>
    <t>Flurry-Form</t>
  </si>
  <si>
    <t>The [MON] transforms into a swirling snow cloud. Its statistics are identical to an air elemental that deals cold damage instead of bludgeoning.</t>
  </si>
  <si>
    <t>Firewalker</t>
  </si>
  <si>
    <t>When the [MON] is subjected to [DMG_TYPE] damage, its speed doubles [DURATION], and it can Dash or Disengage as a bonus action on its next turn.</t>
  </si>
  <si>
    <t>Infection Effect, Ongoing Damage</t>
  </si>
  <si>
    <t>Knockout or Paralyzing Poison</t>
  </si>
  <si>
    <t>Knockout, Paralyzing, Poison Effect</t>
  </si>
  <si>
    <t>While poisoned in this way, a creature is either unconscious or paralyzed (the [MON] chooses the effect when it creates or inflicts the poison).</t>
  </si>
  <si>
    <t>Purifying Breath</t>
  </si>
  <si>
    <t>All nonmagical food and drink in that area is purified and rendered free of poison and disease, and its flavor is enhanced in quality [DURATION].</t>
  </si>
  <si>
    <t>Limited Mutability</t>
  </si>
  <si>
    <t>Any spell or effect that would alter the [MON]'s form only alters it [DURATION]. Afterwards, the [MON] returns to its humanoid-shaped cloud form.</t>
  </si>
  <si>
    <t>Shielding Wing</t>
  </si>
  <si>
    <t>As a reaction when the [MON] or a creature within [#] ft of it is attacked, the [MON] can interpose a wing and impose disadvantage on the attack.</t>
  </si>
  <si>
    <t>Hoarfrost Warding</t>
  </si>
  <si>
    <t>As a reaction when the [MON] takes [DMG_TYPE] damage, it gains resistance to [DMG_TYPE] damage, including from the triggering attack, [DURATION].</t>
  </si>
  <si>
    <t>Rootlet Swarm Reel</t>
  </si>
  <si>
    <t>Each rootlet swarm that has a creature grappled moves up to [#] ft toward the [MON]'s main body. Rootlets wander up to [#] ft from the main body.</t>
  </si>
  <si>
    <t>Poisonous Breath</t>
  </si>
  <si>
    <t>Discharging, Poisoning</t>
  </si>
  <si>
    <t>If [MON] is flying its Gaseous Ascension immediately ends takes falling damage as normal and each creature that failed save: poisoned [DURATION].</t>
  </si>
  <si>
    <t>Poison (d8)</t>
  </si>
  <si>
    <t>Resave if Harmed</t>
  </si>
  <si>
    <t>If a charmed creature suffers any harm or receives a suicidal command, it can repeat this saving throw, ending the effect on itself on a success.</t>
  </si>
  <si>
    <t>Advantage on Saves After Saving</t>
  </si>
  <si>
    <t>If a creature's saving throw is successful or the effect ends for it, the creature has advantage on saving throws against this effect [DURATION].</t>
  </si>
  <si>
    <t>If the [MON] takes [#] or more damage in a single turn, it expels one consumed creature, which lands prone in a space within [#] ft of the [MON].</t>
  </si>
  <si>
    <t>Four Random Outcomes</t>
  </si>
  <si>
    <t>suffers a random effect [DURATION]. Roll a d4 to determine the effect: (1) It [OUTCOME].; (2) It [OUTCOME].; (3) It [OUTCOME].; (4) It [OUTCOME].</t>
  </si>
  <si>
    <t>Absorb Potion</t>
  </si>
  <si>
    <t>The [MON] can absorb any potion, oil, tincture, or alchemical draught that touches it, choosing to be affected by the substance or to nullify it.</t>
  </si>
  <si>
    <t>The [MON] can communicate simple ideas, emotions, and images telepathically with any creature within [#] ft of it that can understand a language.</t>
  </si>
  <si>
    <t>Acid Touch</t>
  </si>
  <si>
    <t>The [MON] destroys one nonmagical object that isn't being worn or carried, such as a rope, plank, candlestick, or even an entire bronze cauldron.</t>
  </si>
  <si>
    <t>Jokester</t>
  </si>
  <si>
    <t>The [MON] has advantage on a Charisma (Deception) or Charisma (Persuasion) check if it includes mockery or a joke or riddle as part of the check.</t>
  </si>
  <si>
    <t>Desperate Recharge</t>
  </si>
  <si>
    <t>When the [MON] is first brought below half of its maximum hit points, it immediately recharges its breath weapon, if it is not already available.</t>
  </si>
  <si>
    <t>Elusive Pages</t>
  </si>
  <si>
    <t>While inside its book, the [MON] turns its book invisible [DURATION], or [DURATION]. The [MON] is also invisible while inside the invisible book.</t>
  </si>
  <si>
    <t>Auto Repeat Fail and Outcome</t>
  </si>
  <si>
    <t>A creature that is currently experiencing the effects of previously failing this saving throw fails this saving throw automatically and [OUTCOME].</t>
  </si>
  <si>
    <t>HP Max Reducing, Poison Effect</t>
  </si>
  <si>
    <t>As a bonus action, the [MON] can spend 1 luck point to increase the [DMG_TYPE] damage of its next successful biting arms attack by an extra [#dX].</t>
  </si>
  <si>
    <t>Stone Glance</t>
  </si>
  <si>
    <t>As a reaction when a creature within [#] ft of it that the [MON] can see hits the [MON] with an attack, the [MON] uses Stone Gaze on the attacker.</t>
  </si>
  <si>
    <t>Springspike Shield</t>
  </si>
  <si>
    <t>As a reaction when the [MON] is hit by a melee attack by a creature within [#] ft of it, the [MON] can make one melee attack against the attacker.</t>
  </si>
  <si>
    <t>Each time the [MON] uses this ability, its speed and swim speed decrease by [#] ft and it loses one of its legendary actions on each of its turns.</t>
  </si>
  <si>
    <t>Ethereal Spores</t>
  </si>
  <si>
    <t>If a creature killed by this attack remains on the Ethereal Plane [DURATION], its corpse disintegrates and a new the [MON] sprouts from its place.</t>
  </si>
  <si>
    <t>Acidic Spray</t>
  </si>
  <si>
    <t>Coating, Ongoing Damage</t>
  </si>
  <si>
    <t>is coated in burning acid. A creature coated in acid takes [#dX] [DMG_TYPE] damage plus [#dX] [DMG_TYPE] damage at the start of each of its turns.</t>
  </si>
  <si>
    <t>Acid (d8), Fire (d8)</t>
  </si>
  <si>
    <t>Pull of the Void</t>
  </si>
  <si>
    <t>is pulled up to [#] ft toward the [MON]. If this causes a creature to move within [#] ft of the [MON], the creature takes [#dX] [DMG_TYPE] damage.</t>
  </si>
  <si>
    <t>Runestorm</t>
  </si>
  <si>
    <t>takes [#dX] damage. Roll a d4 to determine the type of damage each creature takes: (1) [DMG_TYPE], (2) [DMG_TYPE], (3) [DMG_TYPE], (4) [DMG_TYPE].</t>
  </si>
  <si>
    <t>Cold (d6), Fire (d6), Lightning (d6), Radiant (d6)</t>
  </si>
  <si>
    <t>The [MON] can make an opportunity attack when a hostile creature moves within its reach as well as when a hostile creature moves out of its reach.</t>
  </si>
  <si>
    <t>Spirit-infused Structure</t>
  </si>
  <si>
    <t>The [MON] is immobile except for its Wall Hop trait. It uses its Charisma instead of its Dexterity to determine its place in the initiative order.</t>
  </si>
  <si>
    <t>Hidden Step</t>
  </si>
  <si>
    <t>The [MON] teleports, along with any equipment it is wearing or carrying, up to [#] ft to an unoccupied space it can see and takes the Hide action.</t>
  </si>
  <si>
    <t>Final Gift</t>
  </si>
  <si>
    <t>When the [MON] dies, a creature of its choice within [#] ft of it regains [#dX] hit points, or [#dX] temporary hit points if it is at full health.</t>
  </si>
  <si>
    <t>Divine Dictum</t>
  </si>
  <si>
    <t>When the [MON] does so, each charmed, frightened, or possessed creature of the [MON]'s choice within [#] ft of it can choose to end the condition.</t>
  </si>
  <si>
    <t>Dispelling Weapon</t>
  </si>
  <si>
    <t>When the [MON] hits or touches a target with this weapon, it can end any spell on the target that was cast with a [#]rd-level or lower spell slot.</t>
  </si>
  <si>
    <t>Friendly Charm</t>
  </si>
  <si>
    <t>While charmed in this way, a creature isn't under the [MON]'s control, but takes the [MON]'s requests or actions in the most favorable way it can.</t>
  </si>
  <si>
    <t>While in a forested area, the [MON] can project its voice such that it seems to come from all around, allowing it to remain hidden while speaking.</t>
  </si>
  <si>
    <t>Wasting Disease</t>
  </si>
  <si>
    <t>While infected in this way, a creature can't regain hit points except by magical means, and its hit point max decreases by [#dX] every [DURATION].</t>
  </si>
  <si>
    <t>Lesser Acid Aura</t>
  </si>
  <si>
    <t>Aura of Silence</t>
  </si>
  <si>
    <t>A creature within [#] ft of the [MON] has disadvantage on Wisdom (Perception) checks that rely on hearing as long as the [MON] isn't incapacitated.</t>
  </si>
  <si>
    <t>Absorb Damage</t>
  </si>
  <si>
    <t>As a reaction when the [MON] is within [#] ft of its master when the master takes damage, half the damage (rounded up) is transferred to the [MON].</t>
  </si>
  <si>
    <t>Protect Rider</t>
  </si>
  <si>
    <t>As a reaction when the [MON]'s rider is the target of an attack the [MON] can see, the [MON] can choose to become the target of the attack instead.</t>
  </si>
  <si>
    <t>Primordial Form</t>
  </si>
  <si>
    <t>Fruit Bomb</t>
  </si>
  <si>
    <t>Instead of dealing damage, the [MON] can choose for fruit to trigger its Wondrous Cornucopia. Treat the target as if it ate fruit where applicable.</t>
  </si>
  <si>
    <t>Relentless Hunter</t>
  </si>
  <si>
    <t>The [MON] has advantage on Wisdom (Perception) or Wisdom (Survival) check it makes to find a creature it has been tasked with capturing or killing.</t>
  </si>
  <si>
    <t>Buoying Wind</t>
  </si>
  <si>
    <t>The [MON] summons the wind to break the fall of up to [#] falling creatures it can see within [#] ft of it. This works like the feather fall spell.</t>
  </si>
  <si>
    <t>Infernal Tetanus</t>
  </si>
  <si>
    <t>Exhaustion Effect, Magic Disrupting</t>
  </si>
  <si>
    <t>While charmed in this way, a creature can repeat this saving throw only when it suffers harm or is instructed to take an action that would harm it.</t>
  </si>
  <si>
    <t>While poisoned in this way, a creature is unconscious [DURATION or [DURATION]. Waking the unconscious creature does not end the poisoned condition.</t>
  </si>
  <si>
    <t>A [MON] that starts its turn within [#] ft of the [MON] can add [#dX] to one attack roll or saving throw it makes before the start of its next turn.</t>
  </si>
  <si>
    <t>Engulf in Shadow</t>
  </si>
  <si>
    <t>A consumed creature can attempt a DC [SAVE_DC] Wisdom check as an action, escaping to a space of its choice within [#] ft of the [MON] on a success.</t>
  </si>
  <si>
    <t>Scent of Death</t>
  </si>
  <si>
    <t>Judging Aura</t>
  </si>
  <si>
    <t>Aura, Stunning</t>
  </si>
  <si>
    <t>Sovereign's Command</t>
  </si>
  <si>
    <t>As a bonus action, the [MON] commands a [MON] within [#] ft of it to make one attack as a reaction against a creature the [MON] attacked this round.</t>
  </si>
  <si>
    <t>Swift as Frost</t>
  </si>
  <si>
    <t>As a reaction when a creature the [MON] can see damages it with an attack, the [MON] can move up to its speed without provoking opportunity attacks.</t>
  </si>
  <si>
    <t>Warding Charm</t>
  </si>
  <si>
    <t>As a reaction when a creature the [MON] can see targets it with a melee attack but before the attack is made, the [MON] uses Charm on that creature.</t>
  </si>
  <si>
    <t>As a reaction when the [MON] takes [#] or more damage from an attack made by a target it can see, it can make one melee attack against the attacker.</t>
  </si>
  <si>
    <t>Consumption Effect, Spawning</t>
  </si>
  <si>
    <t>If a creature dies while consumed, it rises as a [MON] on the next new moon unless it is restored to life or the bless spell is cast on the remains.</t>
  </si>
  <si>
    <t>Musk of Clumsiness</t>
  </si>
  <si>
    <t>Poison Effect, Toppling</t>
  </si>
  <si>
    <t>Random Condition</t>
  </si>
  <si>
    <t>Blinding, Deafening, Frightening, Incapacitating, Random Effects</t>
  </si>
  <si>
    <t>is affected by a random condition [DURATION]. Roll a d4 to determine the condition: blinded (1), frightened (2), deafened (3), or incapacitated (4).</t>
  </si>
  <si>
    <t>Water Conductivity</t>
  </si>
  <si>
    <t>If the target is touching a body of water, all other creatures within [#] ft of it and touching that body of water are also targeted by this action.</t>
  </si>
  <si>
    <t>Hide By Firelight</t>
  </si>
  <si>
    <t>In an area lit only by nonmagical flame, a [MON] gains a +[#] bonus on Dexterity (Stealth) checks. This bonus doubles when it hides within the fire.</t>
  </si>
  <si>
    <t>The [MON] can sense any metal within [#] ft of it. It knows the direction to the metal and can identify the specific type of metal within that area.</t>
  </si>
  <si>
    <t>The [MON] has advantage on any saving throw to resist Deception, Intimidation, or Persuasion checks made to influence it to act against its masters.</t>
  </si>
  <si>
    <t>Hidden In The Wind</t>
  </si>
  <si>
    <t>The [MON] is indistinguishable from a natural phenomenon [DURATION] unless a creature succeeds on a DC [SAVE_DC] Intelligence (Investigation) check.</t>
  </si>
  <si>
    <t>Everywhere at Once</t>
  </si>
  <si>
    <t>Bonus Action Attack, Teleportation</t>
  </si>
  <si>
    <t>The [MON] teleports up to [#] ft to an unoccupied space. Immediately after teleporting, it can make a melee attack with advantage as a bonus action.</t>
  </si>
  <si>
    <t>The target's hit point max is reduced by an amount equal to half the [DMG_TYPE] damage taken, and the [MON] regains hit points equal to that amount.</t>
  </si>
  <si>
    <t>Third Roar: A creature that fails the saving throw takes [#dX] [DMG_TYPE] damage and is knocked prone. On a success, the creature takes half damage.</t>
  </si>
  <si>
    <t>Thunder (d10)</t>
  </si>
  <si>
    <t>Psychic Absorption</t>
  </si>
  <si>
    <t>Whenever the [MON] is subjected to psychic damage, it takes no damage, and instead regains a number of hit points equal to the psychic damage dealt.</t>
  </si>
  <si>
    <t>While charmed in this way, a creature can telepathically communicate with the [MON] over any distance, provided they are on same plane of existence.</t>
  </si>
  <si>
    <t>While cursed in this way, a creature gains only half the benefit of magic that restores hit points and gains no benefits from finishing a long rest.</t>
  </si>
  <si>
    <t>Capture</t>
  </si>
  <si>
    <t>Extra Damage, Restraint Effect</t>
  </si>
  <si>
    <t>Poison Flesh</t>
  </si>
  <si>
    <t>Auto Fail and Effect for Failures</t>
  </si>
  <si>
    <t>A creature that is currently experiencing the effects of previously failing this saving throw fails this saving throw automatically and [TGT_EFFECT].</t>
  </si>
  <si>
    <t>End via Medicine Check</t>
  </si>
  <si>
    <t>An affected creature or another creature within reach of it can end this effect by succeeding on a DC [SAVE_DC] Wisdom (Medicine) check as an action.</t>
  </si>
  <si>
    <t>As a reaction when an effect moves the [MON] against its will along the ground, it can use its reaction to reduce the distance moved by up to [#] ft.</t>
  </si>
  <si>
    <t>Each time a creature touches the [MON] or hits it with a metal melee weapon for the first time on a turn, the creature takes [#dX] [DMG_TYPE] damage.</t>
  </si>
  <si>
    <t>Unintelligent Forest Creatures Don't Roll</t>
  </si>
  <si>
    <t>Forest-dwelling beasts and monstrosities with an Intelligence of [#] or lower automatically succeed or fail on this saving throw, the [MON]'s choice.</t>
  </si>
  <si>
    <t>Attached Infection</t>
  </si>
  <si>
    <t>If an affected creature's saving throw is successful or if the effect ends for it, the creature is immune to this ability from this [MON] [DURATION].</t>
  </si>
  <si>
    <t>Water Soluble</t>
  </si>
  <si>
    <t>Shapechanging, Weakness</t>
  </si>
  <si>
    <t>If the [MON] is splashed with at least 1 gallon of water, it assumes its true form and the DC to escape its Sticky trait is reduced to 10 [DURATION].</t>
  </si>
  <si>
    <t>Startling Speed</t>
  </si>
  <si>
    <t>If the [MON] moves at least [#] ft on its turn, attack rolls against it have disadvantage [DURATION] unless the [MON] is incapacitated or restrained.</t>
  </si>
  <si>
    <t>Molten Shell</t>
  </si>
  <si>
    <t>If the [MON]'s shell isn't hardened, a creature that touches it or hits it with melee attack while within [#] ft of it takes [#dX] [DMG_TYPE] damage.</t>
  </si>
  <si>
    <t>Light Sense</t>
  </si>
  <si>
    <t>The [MON] can pinpoint the location of any light source within [#] ft of it and sense the general direction to all light sources within 1 mile of it.</t>
  </si>
  <si>
    <t>Luminescence</t>
  </si>
  <si>
    <t>The chemicals within [MON] make it shed light as a torch. A [MON] can't suppress this effect, but it can diminish the brightness to that of a candle.</t>
  </si>
  <si>
    <t>HP Max Reduction</t>
  </si>
  <si>
    <t>When a creature that relies on sight attacks the [MON] while the [MON] is in dim light or darkness, the attacker has disadvantage on the attack roll.</t>
  </si>
  <si>
    <t>Damaging Attachment</t>
  </si>
  <si>
    <t>Attachment Effect, Ongoing Damage</t>
  </si>
  <si>
    <t>While attached to a creature, the [MON] doesn't attack. Instead, at the start of each of the [MON]'s turns, the target takes [#dX] [DMG_TYPE] damage.</t>
  </si>
  <si>
    <t>While charmed in this way, a creature must move on its turn toward the [MON] by the safest available route, trying to get within [#] ft of the [MON].</t>
  </si>
  <si>
    <t>While charmed in this way, a creature must move up to its speed toward the [MON] at the start of its turn, stopping when it is adjacent to the [MON].</t>
  </si>
  <si>
    <t>While in defensive form it has resistance to B/P/S damage from nonmagical attacks can't make Tentacle Slam or Spit Acid attacks and can't use Reflux.</t>
  </si>
  <si>
    <t>Root Mind</t>
  </si>
  <si>
    <t>Within its home forest or jungle, the [MON]'s blindsight extends to [#] ft, it succeeds on all Wisdom (Perception) checks, and it can't be surprised.</t>
  </si>
  <si>
    <t>A consumed creature can attempt a DC [SAVE_DC] Strength check as an action, escaping to a space of its choice within [#] ft of the [MON] on a success.</t>
  </si>
  <si>
    <t>A consumed creature takes [#dX] [DMG_TYPE] damage plus [#dX] [DMG_TYPE] damage plus [#dX] [DMG_TYPE] damage at the start of each of the [MON]'s turns.</t>
  </si>
  <si>
    <t>Acid (d6), Bludgeoning (d6), Slashing (d6)</t>
  </si>
  <si>
    <t>Splinter</t>
  </si>
  <si>
    <t>A creature that hits the [MON] with a melee weapon attack that deals [DMG_TYPE] damage while within [#] ft of the [MON] takes [#dX] [DMG_TYPE] damage.</t>
  </si>
  <si>
    <t>Bludgeoning (Other), Piercing (d6)</t>
  </si>
  <si>
    <t>Poisonous Flesh</t>
  </si>
  <si>
    <t>Ghastly Heated Body</t>
  </si>
  <si>
    <t>A creature that touches the [MON] or hits it with a melee attack while within [#] ft of it takes [#dX] [DMG_TYPE] damage plus [#dX] [DMG_TYPE] damage.</t>
  </si>
  <si>
    <t>Fire (d6), Necrotic (d6)</t>
  </si>
  <si>
    <t>Lullaby</t>
  </si>
  <si>
    <t>An unconscious creature wakes up if a creature uses an action to wake it or if the [MON] ends a turn without using its action to maintain this effect.</t>
  </si>
  <si>
    <t>Shield the Ally</t>
  </si>
  <si>
    <t>As a reaction when a creature makes an attack against an allied [MON], the [MON] can grant its ally a +3 bonus to its AC if it is within [#] ft of it.</t>
  </si>
  <si>
    <t>Quick and Nimble</t>
  </si>
  <si>
    <t>As a reaction when a creature the [MON] can see targets it with a melee or ranged weapon attack, the [MON] can impose disadvantage on the attack roll.</t>
  </si>
  <si>
    <t>Protect the Community</t>
  </si>
  <si>
    <t>As a reaction when another [MON] within [#] ft of this [MON] is hit by an attack this [MON] can leap in the way becoming the new target of the attack.</t>
  </si>
  <si>
    <t>Plague of Ill Omen</t>
  </si>
  <si>
    <t>Aura, Cursing</t>
  </si>
  <si>
    <t>Mighty Leap</t>
  </si>
  <si>
    <t>If the [MON] ends its jump within [#] ft of a creature, the first attack roll it makes against that creature before the end of its turn has advantage.</t>
  </si>
  <si>
    <t>Paladin of Shoth</t>
  </si>
  <si>
    <t>Spider Affinity</t>
  </si>
  <si>
    <t>Spider creatures have advantage on attack rolls against creatures within [#] ft of the [MON] who have attacked or damaged the [MON] within [DURATION].</t>
  </si>
  <si>
    <t>Forest Song</t>
  </si>
  <si>
    <t>The [MON] calls 2d6 wolves or 2 wampus cats. The called creatures arrive in [DURATION], acting as allies of the [MON] and obeying its spoken commands.</t>
  </si>
  <si>
    <t>Burrow</t>
  </si>
  <si>
    <t>The [MON] can't burrow into solid rock, but it can move through softer material like soil or loose rubble, leaving a usable tunnel [#] ft in diameter.</t>
  </si>
  <si>
    <t>Controlled</t>
  </si>
  <si>
    <t>The [MON] can't move, attack, or perform actions when it is not lit. The [MON] only responds to the telepathic commands of the individual that lit it.</t>
  </si>
  <si>
    <t>Earthen Claws</t>
  </si>
  <si>
    <t>The [MON] ignores the AC bonus of nonmagical armor or shields as well as the AC bonus provided by natural armor for constructs made of stone or metal.</t>
  </si>
  <si>
    <t>Necrotic Absorption</t>
  </si>
  <si>
    <t>Whenever the [MON] is subjected to necrotic damage, it takes no damage, and instead regains a number of hit points equal to the necrotic damage dealt.</t>
  </si>
  <si>
    <t>Rune Drinker</t>
  </si>
  <si>
    <t>Whenever the [MON] takes damage from a magic weapon, [DURATION] attacks made with that weapon have disadvantage, and the [MON] gains a +4 bonus to AC.</t>
  </si>
  <si>
    <t>While infected in this way, a creature takes [#dX] [DMG_TYPE] damage every [DURATION] unless it is fully submerged in or frequently doused with water.</t>
  </si>
  <si>
    <t>Acid (d12)</t>
  </si>
  <si>
    <t>A living creature that starts its turn within [#] ft of a [MON] senses its unsettling presence and [OUTCOME]. The [MON] can suppress this aura at will.</t>
  </si>
  <si>
    <t>Entrance by Corners</t>
  </si>
  <si>
    <t>As a bonus action, the [MON] can teleport from one location to another within sight of the first, provided it travels from one sharp corner to another.</t>
  </si>
  <si>
    <t>Sentinel</t>
  </si>
  <si>
    <t>As a reaction when a creature within [#] ft of the [MON] attacks a target other than the [MON], it can make a single melee attack against the attacker.</t>
  </si>
  <si>
    <t>Vanguard</t>
  </si>
  <si>
    <t>As a reaction when another creature the [MON] can see within [#] ft of it is hit by an attack, the [MON] forces the attacker to reroll the attack roll.</t>
  </si>
  <si>
    <t>Off-Hand Counter</t>
  </si>
  <si>
    <t>As a reaction when the [MON] is missed by a melee attack by an attacker it can see within [#] ft of it, the [MON] makes an attack against the attacker.</t>
  </si>
  <si>
    <t>Each time the [MON] or its allies do anything harmful to a charmed creature, it can repeat this saving throw, ending the effect on itself on a success.</t>
  </si>
  <si>
    <t>Unraveling Finger</t>
  </si>
  <si>
    <t>Marking, Self Healing</t>
  </si>
  <si>
    <t>gains a magical mark, which lasts [DURATION]. When the [MON] deals damage to the marked creature, it regains hit points equal to half the damage dealt.</t>
  </si>
  <si>
    <t>Faultless Tracker</t>
  </si>
  <si>
    <t>If the [MON] is given a quarry, the [MON] knows the direction and distance to its quarry as long as the two of them are on the same plane of existence.</t>
  </si>
  <si>
    <t>If the [MON] moves at least [#] ft straight toward a creature before hitting it with a melee attack, the target takes an extra [#dX] [DMG_TYPE] damage.</t>
  </si>
  <si>
    <t>Head Slap</t>
  </si>
  <si>
    <t>When a ally within [#] ft of the [MON] makes an attack roll or a saving throw, it can roll [#dX] and add the result to the attack roll or saving throw.</t>
  </si>
  <si>
    <t>Aura of Life</t>
  </si>
  <si>
    <t>Moonlit Incorporeality</t>
  </si>
  <si>
    <t>When the [MON] is standing in moonlight, it is semi-incorporeal, immune to all nonmagical attacks, and resistant to all damage other than force damage.</t>
  </si>
  <si>
    <t>Harder They Fall</t>
  </si>
  <si>
    <t>Fiery Blood</t>
  </si>
  <si>
    <t>A creature slain by this disease rises in [DURATION] as a nihilethic zombie that is permanently dominated by the [MON] or the nihileth that commands it.</t>
  </si>
  <si>
    <t>A humanoid slain by this disease rises [DURATION] later as an ochre jelly. The jelly isn't under the [MON]'s control, but it views the [MON] as an ally.</t>
  </si>
  <si>
    <t>Bilious Aura</t>
  </si>
  <si>
    <t>Aura, Disadvantage, Unhealable</t>
  </si>
  <si>
    <t>A living creature that starts its turn within [#] ft of the [MON] can't regain hit points and has disadvantage on Constitution saving throws [DURATION].</t>
  </si>
  <si>
    <t>Energy-Sucking Aura</t>
  </si>
  <si>
    <t>A non-demon creature that uses an action or bonus action while within [#] ft of a [MON] can't take another action, bonus action, or reaction [DURATION].</t>
  </si>
  <si>
    <t>Stench</t>
  </si>
  <si>
    <t>Urushi Blight</t>
  </si>
  <si>
    <t>Danger From Above</t>
  </si>
  <si>
    <t>If the [MON] jumps at least [#] ft straight toward the target from a higher position before making this attack, it makes the attack roll with advantage.</t>
  </si>
  <si>
    <t>The [MON] can pinpoint the location of living creatures within [#] ft of it and can sense the general direction to living creatures within 1 mile of it.</t>
  </si>
  <si>
    <t>AC Change, Self Healing</t>
  </si>
  <si>
    <t>The [MON] reconfigures its construction, moving shields and armor to encase its body. It regains [#] hit points, and its AC increases by [#] [DURATION].</t>
  </si>
  <si>
    <t>Sand Cascade</t>
  </si>
  <si>
    <t>Temporal Body</t>
  </si>
  <si>
    <t>When the [MON] is subjected to a slow spell, haste spell, or similar effect, it automatically succeeds on the saving throw and regains [#dX] hit points.</t>
  </si>
  <si>
    <t>Lightning Absorption</t>
  </si>
  <si>
    <t>Whenever the [MON] is subjected to lightning damage, it takes no damage, and instead regains a number of hit points equal to the lightning damage dealt.</t>
  </si>
  <si>
    <t>Slimy Appearance</t>
  </si>
  <si>
    <t>While it remains motionless is indistinguishable from interior of the pit or hole in the ground it is stretched across though interior walls appear wet.</t>
  </si>
  <si>
    <t>While the [MON] is on the same plane of existence as its master, it can convey what it senses to its master, and the two can communicate telepathically.</t>
  </si>
  <si>
    <t>Devastate</t>
  </si>
  <si>
    <t>As a bonus action, the [MON] imbues its weapon with dark power. All of its weapon attacks deal an additional [#dX] [DMG_TYPE] damage on a hit [DURATION].</t>
  </si>
  <si>
    <t>Frenzy</t>
  </si>
  <si>
    <t>As a reaction when attacked by a creature it can see within [#] ft of it, the [MON] moves up to half its speed and makes an attack against that creature.</t>
  </si>
  <si>
    <t>Hunters Whip</t>
  </si>
  <si>
    <t>As a reaction when damaged by a ranged weapon attack, spell, area effect, or magical effect, the [MON] uses Teleport and then attacks with its fire whip.</t>
  </si>
  <si>
    <t>Vengeful Breath</t>
  </si>
  <si>
    <t>As a reaction when struck by a melee attack, the [MON] immediately recharges and uses its Lightning Breath, including the attacker in the area of effect.</t>
  </si>
  <si>
    <t>Damaging Melee Parry</t>
  </si>
  <si>
    <t>As a reaction, the [MON] adds [#] to its AC against one melee attack that would hit it. If the attack misses, the attacker takes [#dX] [DMG_TYPE] damage.</t>
  </si>
  <si>
    <t>catches on fire. Until a creature on fire uses an action to douse the fire, the creature takes [#dX] [DMG_TYPE] damage at the start of each of its turns.</t>
  </si>
  <si>
    <t>Repeat Save if Damaged or at End of Turn to End Effect</t>
  </si>
  <si>
    <t>Each time an affected creature takes damage, and at the end of each of its turns, it can repeat this saving throw ending the effect on itself on success.</t>
  </si>
  <si>
    <t>Primordial Plague</t>
  </si>
  <si>
    <t>Every [DURATION], an infected creature must repeat this saving throw, reducing its hit point max by [#dX] on failure, or curing the disease on a success.</t>
  </si>
  <si>
    <t>The [MON] can mimic humanoid voices. A creature that hears the sounds can tell they are imitations with a successful DC [SAVE_DC] Wisdom (Insight) check.</t>
  </si>
  <si>
    <t>Heretic Sense</t>
  </si>
  <si>
    <t>The [MON] can pinpoint the location of heretics of its faith within [#] ft of it and can sense the general direction to all heretics within 1 mile of it.</t>
  </si>
  <si>
    <t>The [MON] deals an extra [#dX] of damage when it attacks with advantage or when one of its allies is within [#] ft of its target and isn't incapacitated.</t>
  </si>
  <si>
    <t>Grapple Damage Transfer</t>
  </si>
  <si>
    <t>While grappling a creature, the [MON] takes only half the damage dealt to it (rounded down), and the creature grappled by the [MON] takes the other half.</t>
  </si>
  <si>
    <t>Breath-Based</t>
  </si>
  <si>
    <t>A creature that doesn't need to breathe is immune to this effect. A creature that does need to breathe can still be affected, even if it holds its breath.</t>
  </si>
  <si>
    <t>A creature within reach of the target, including the target, can use an action to detach an attached [MON] by succeeding on a DC [SAVE_DC] Strength check.</t>
  </si>
  <si>
    <t>Menacing Roar</t>
  </si>
  <si>
    <t>A frightened creature can repeat this saving throw at the end of each of its turns and whenever it takes damage, ending the effect on itself on a success.</t>
  </si>
  <si>
    <t>Undead Affinity</t>
  </si>
  <si>
    <t>Each skeleton and zombie within [#] ft of the [MON] that has no master follows the [MON]'s verbal commands until a master asserts magical control over it.</t>
  </si>
  <si>
    <t>Strike</t>
  </si>
  <si>
    <t>Shapechanging, Variable Damage Type</t>
  </si>
  <si>
    <t>Deadly Laughter</t>
  </si>
  <si>
    <t>Incapacitating, Ongoing Damage, Silencing</t>
  </si>
  <si>
    <t>laughs [DURATION]. While laughing, a creature is incapacitated can't speak coherently and takes [#dX] [DMG_TYPE] damage at the start of each of its turns.</t>
  </si>
  <si>
    <t>Detect Elixir</t>
  </si>
  <si>
    <t>The [MON] can pinpoint the location of potions and magic items within [#] ft of it and can sense the general direction to all potions within 1 mile of it.</t>
  </si>
  <si>
    <t>Quick Spell</t>
  </si>
  <si>
    <t>The [MON] may also immediately cast a spell with a casting time of 1 action as a bonus action. This casting uses a spell slot, but no material components.</t>
  </si>
  <si>
    <t>Water Weakness</t>
  </si>
  <si>
    <t>The [MON] takes [#dX] [DMG_TYPE] damage if it enters a body of water, starts its turn in a body of water, or is splashed with at least 5 gallons of water.</t>
  </si>
  <si>
    <t>Cold (d12)</t>
  </si>
  <si>
    <t>Mount, Teleportation</t>
  </si>
  <si>
    <t>The [MON] teleports itself and its rider, along with any equipment it is wearing or carrying, to a location the [MON] is familiar with, up to 1 mile away.</t>
  </si>
  <si>
    <t>Absorb the Dead</t>
  </si>
  <si>
    <t>Whenever a Small or larger non-undead creature dies within [#] ft of the [MON], that creature's remains join its form and the [MON] regains 10 hit points.</t>
  </si>
  <si>
    <t>Magic Parasite</t>
  </si>
  <si>
    <t>While attached to a creature, the [MON] doesn't attack. Instead, it causes a handful of changes in its spellcaster host (see Changes to the Host sidebar).</t>
  </si>
  <si>
    <t>Sleep Hex</t>
  </si>
  <si>
    <t>Curse Effect, Knockout</t>
  </si>
  <si>
    <t>While cursed in this way, a creature falls unconscious. The curse ends early if the target takes damage or if a creature uses an action to shake it awake.</t>
  </si>
  <si>
    <t>Jet</t>
  </si>
  <si>
    <t>While underwater, the [MON] can jet backward up to [#] ft without provoking opportunity attacks. It must move in a straight line while using this ability.</t>
  </si>
  <si>
    <t>Distraction</t>
  </si>
  <si>
    <t>A spellcaster that spends any part of its turn within [#] ft of the [MON] must make a successful DC [SAVE_DC] spellcasting check to maintain concentration.</t>
  </si>
  <si>
    <t>Shield the Master</t>
  </si>
  <si>
    <t>As a reaction when a creature makes an attack against the [MON]'s master, the [MON] can grant its master a +3 bonus to its AC if it is within [#] ft of it.</t>
  </si>
  <si>
    <t>Reactive Bite</t>
  </si>
  <si>
    <t>As a reaction when the [MON] takes [#] damage or more from a melee attack made by a creature it can see, it can make one melee attack against the attacker.</t>
  </si>
  <si>
    <t>Greater Dispel Magic Susceptibility</t>
  </si>
  <si>
    <t>If the [MON] is targeted by dispel magic, it must succeed on a Constitution saving throw against the caster's spell save DC or fall unconscious [DURATION].</t>
  </si>
  <si>
    <t>Aversion to Water</t>
  </si>
  <si>
    <t>If the [MON] takes [DMG_TYPE] damage, or is doused with at least three gallons of water, it has disadvantage on attack rolls and ability checks [DURATION].</t>
  </si>
  <si>
    <t>Radiant (d10)</t>
  </si>
  <si>
    <t>Slowed</t>
  </si>
  <si>
    <t>AC Change, Nonreactive, Speed Change</t>
  </si>
  <si>
    <t>is slowed [DURATION]. While slowed, a creature's speed is halved, it suffers a -[#] penalty to AC and Dexterity saving throws, and it can't take reactions.</t>
  </si>
  <si>
    <t>is trapped inside the [MON]'s mirror. A fragmented caricature of the trapped creature appears on the [MON]'s surface while a creature is trapped inside it.</t>
  </si>
  <si>
    <t>Telepathic Summons</t>
  </si>
  <si>
    <t>must use its reaction, if available, to move up to its speed toward the [MON] by the shortest route possible, avoiding hazards but not opportunity attacks.</t>
  </si>
  <si>
    <t>Change Size</t>
  </si>
  <si>
    <t>The [MON] appears to change its size, becoming anything from Tiny to Gargantuan. The change is entirely illusory, and the [MON]'s statistics do not change.</t>
  </si>
  <si>
    <t>The [MON] can have only one creature affected by this ability at a time. If it uses this ability on another target, the effect on the previous target ends.</t>
  </si>
  <si>
    <t>The [MON] can make three extra bite attacks on its turn as a bonus action. If any of these attacks miss, all attacks against its have advantage [DURATION].</t>
  </si>
  <si>
    <t>The [MON] has advantage on Strength (Athletics) checks to climb rocky surfaces and Dexterity (Acrobatics) checks to maintain its balance on rocky surfaces.</t>
  </si>
  <si>
    <t>Gnaw</t>
  </si>
  <si>
    <t>Bonus Action Attack, Movement, Prone Effect</t>
  </si>
  <si>
    <t>When the [MON] knocks a target prone, it immediately makes [#] additional melee attacks against the same target and can move [#] ft, all as a bonus action.</t>
  </si>
  <si>
    <t>Barnacle Shivers</t>
  </si>
  <si>
    <t>A humanoid or beast slain by this disease rises [DURATION] later as a zombie. The zombie isn't under the [MON]'s control, but it views the [MON] as an ally.</t>
  </si>
  <si>
    <t>Alter Timeline</t>
  </si>
  <si>
    <t>As a reaction when a ally within [#] ft of the [MON] takes damage, the [MON] can modify time to protect the creature, changing all damage dice rolled to 1s.</t>
  </si>
  <si>
    <t>Withdraw</t>
  </si>
  <si>
    <t>As a reaction when a creature the [MON] can see targets it with an attack the [MON] can pull its body into its shell, gaining a +[#] bonus to AC [DURATION].</t>
  </si>
  <si>
    <t>Expert Poisoner</t>
  </si>
  <si>
    <t>Creatures with immunity to the poisoned condition can be poisoned by the [MON], but such creatures have advantage on saving throws to resist being poisoned.</t>
  </si>
  <si>
    <t>Multi-Headed Shapechanger</t>
  </si>
  <si>
    <t>If all its heads die and the [MON] still lives, the [MON] immediately reverts to its true form and can't change into its multi-headed form again [DURATION].</t>
  </si>
  <si>
    <t>If the [MON] is within [#] ft of an affected creature and can see it, the [MON] has advantage on its first attack each round against an unaffected creature.</t>
  </si>
  <si>
    <t>Divine Smite</t>
  </si>
  <si>
    <t>The [MON] can expend a spell slot to deal [#dX] [DMG_TYPE] damage plus an extra [#dX] [DMG_TYPE] damage for each level of the spell slot expended above 1st.</t>
  </si>
  <si>
    <t>Radiant (d6)</t>
  </si>
  <si>
    <t>The [MON] can pinpoint the location of warm-blooded creatures within [#] ft of it and can sense the general direction to such creatures within 1 mile of it.</t>
  </si>
  <si>
    <t>Tongue Pick</t>
  </si>
  <si>
    <t>The [MON] can use its tongue to pick locks and disarm traps, as if its tongue was a set of thieves' tools. It is proficient in using its tongue in this way.</t>
  </si>
  <si>
    <t>Burn the Righteous</t>
  </si>
  <si>
    <t>The [MON] has advantage on attack rolls against a creature if the creature is wearing a holy symbol or calls on the power of a divine entity to cast spells.</t>
  </si>
  <si>
    <t>Last Laugh</t>
  </si>
  <si>
    <t>Unless it is destroyed in a manner amusing to the god of death that created it, the [MON] is brought back after [DURATION] in a place of the god's choosing.</t>
  </si>
  <si>
    <t>Metronomic Aura</t>
  </si>
  <si>
    <t>Ice Melt</t>
  </si>
  <si>
    <t>When the [MON] takes [DMG_TYPE] damage, other creatures have advantage on saving throws against any of its abilities that deal [DMG_TYPE] damage [DURATION].</t>
  </si>
  <si>
    <t>Fire (Other), Cold (Other)</t>
  </si>
  <si>
    <t>Concentration Breaking Fear</t>
  </si>
  <si>
    <t>Fear Effect, Magic Disrupting</t>
  </si>
  <si>
    <t>Maze of Edges</t>
  </si>
  <si>
    <t>Mesmerizing Gaze</t>
  </si>
  <si>
    <t>Paralyzing, Restraint Ending</t>
  </si>
  <si>
    <t>A restrained creature can repeat this saving throw at the end of its next turn, ending the effect on itself on a success, or becoming paralyzed on a failure.</t>
  </si>
  <si>
    <t>Impassioned Riposte</t>
  </si>
  <si>
    <t>As a reaction when a creature the [MON] can see misses it with an attack while within [#] ft of it, the [MON] can make one melee attack against the attacker.</t>
  </si>
  <si>
    <t>Reactive Teleport</t>
  </si>
  <si>
    <t>As a reaction when the [MON] is hit or missed by a ranged attack, it uses Teleport. If it teleports within [#] ft of a creature, it can attack with its tail.</t>
  </si>
  <si>
    <t>Fire Blast</t>
  </si>
  <si>
    <t>catches on fire. Until it or another creature uses an action to douse the fire, the creature takes [#dX] [DMG_TYPE] damage at the start of each of its turns.</t>
  </si>
  <si>
    <t>Pummel</t>
  </si>
  <si>
    <t>If the [MON] deals damage to a creature with [#] melee attacks in one round, it has advantage on all melee attacks it makes against that creature [DURATION].</t>
  </si>
  <si>
    <t>Advantage and Outcome of Charge</t>
  </si>
  <si>
    <t>If the [MON] moves at least [#] ft straight toward a target before making this attack, the attack is made with advantage, and on a hit, the target [OUTCOME].</t>
  </si>
  <si>
    <t>Self Healing, Recharging</t>
  </si>
  <si>
    <t>If the [MON] uses this attack on a humanoid corpse, it regains [#dX] hit points and recharges its Horror Nimbus. It may gain this benefit only once per body.</t>
  </si>
  <si>
    <t>Bone Spike</t>
  </si>
  <si>
    <t>Restraining, Toppling</t>
  </si>
  <si>
    <t>is knocked prone, pinned to the ground by the spike, and restrained. As an action, the restrained creature or a creature within [#] ft of it can make a [#d].</t>
  </si>
  <si>
    <t>Call of the Deep</t>
  </si>
  <si>
    <t>The [MON] calls 2d4 giant crabs or 1 giant octopus. The called creatures arrive in [DURATION], acting as allies of the [MON] and obeying its spoken commands.</t>
  </si>
  <si>
    <t>Dragon Watcher</t>
  </si>
  <si>
    <t>The [MON] has advantage on saving throws against dragons' breath weapons, it takes no damage if it succeeds on such a save, and only half damage if it fails.</t>
  </si>
  <si>
    <t>Curse of Injury</t>
  </si>
  <si>
    <t>While cursed in this way, a creature can't regain hit points by magical means, though it can still regain hit points from resting and other nonmagical means.</t>
  </si>
  <si>
    <t>While in this form, the [MON] can't cast spells, but can expend a spell slot as a bonus action to regain 1d8 hit points per level of the spell slot expended.</t>
  </si>
  <si>
    <t>Sewer Plague</t>
  </si>
  <si>
    <t>While infected in this way, a creature regains only half the normal number of hit points from spending Hit Dice and no hit points from finishing a long rest.</t>
  </si>
  <si>
    <t>Shadow Snare</t>
  </si>
  <si>
    <t>A restrained creature or an adjacent ally must use an action to make a successful DC [SAVE_DC] Strength check. The shadow snare has [#] hit points and AC [#].</t>
  </si>
  <si>
    <t>Outcome for Hostile Hearing Creatures</t>
  </si>
  <si>
    <t>Each hostile creature within [#] ft of the [MON] that can hear it [OUTCOME]. Creatures who failed the first saving throw have disadvantage on the second save.</t>
  </si>
  <si>
    <t>Dizzying Movement</t>
  </si>
  <si>
    <t>Plague Bearer</t>
  </si>
  <si>
    <t>Frenzied Rage</t>
  </si>
  <si>
    <t>On its next turn after a [MON] takes [#] or more damage from a single attack, it has advantage on attack rolls and adds its proficiency bonus to damage rolls.</t>
  </si>
  <si>
    <t>Knowledge Keepers</t>
  </si>
  <si>
    <t>The [MON] calls 2d4 inklings or 1 paper golem swarm. The called creatures arrive in [DURATION], acting as allies of the [MON] and obeying its spoken commands.</t>
  </si>
  <si>
    <t>See Invisibility</t>
  </si>
  <si>
    <t>The [MON] can see invisible creatures and objects as if they were visible and can see into the Ethereal Plane. This trait is granted by the ancestral spirits.</t>
  </si>
  <si>
    <t>Rich Sapphire Heartvine</t>
  </si>
  <si>
    <t>The [MON]'s heartvine resembles a lump of sapphire and is highly prized by alchemists (worth 1,000 gp). It can be reached with an hour or two of hard digging.</t>
  </si>
  <si>
    <t>Psychic Scream</t>
  </si>
  <si>
    <t>Noxious Slurry</t>
  </si>
  <si>
    <t>Aura, Speed Change</t>
  </si>
  <si>
    <t>Undead Commander</t>
  </si>
  <si>
    <t>As a bonus action, the [MON] commands an undead ally within [#] ft of it to use a reaction to make one attack against a creature the [MON] attacked this round.</t>
  </si>
  <si>
    <t>Pattern of Death</t>
  </si>
  <si>
    <t>Healing, Self Healing</t>
  </si>
  <si>
    <t>Each friendly undead within [#] ft of the [MON], including the [MON], regains hit points equal to half of the single highest amount of [DMG_TYPE] damage dealt.</t>
  </si>
  <si>
    <t>Armor Sacrifice</t>
  </si>
  <si>
    <t>If the target is wearing armor or using a shield, it can choose to avoid taking this damage by permanently reducing the AC of its armor or shield by 1 instead.</t>
  </si>
  <si>
    <t>Spear of the Northern Sky</t>
  </si>
  <si>
    <t>is outlined in a shimmering light [DURATION]. This light works like the faerie fire spell, except only the [MON] has advantage on attacks against the creature.</t>
  </si>
  <si>
    <t>Loathing</t>
  </si>
  <si>
    <t>loathes another creature the [MON] chooses within [#] ft of it and must make one attack against that creature on its next turn moving to creature if necessary.</t>
  </si>
  <si>
    <t>Horde Tactics</t>
  </si>
  <si>
    <t>Bludgeoning (d4)</t>
  </si>
  <si>
    <t>Protect the Hearth</t>
  </si>
  <si>
    <t>When the [MON] is hit by a weapon attack up to two allies within [#] ft of its that can see its can use their reactions to move up to their speed toward [MON].</t>
  </si>
  <si>
    <t>Shield Block</t>
  </si>
  <si>
    <t>As a reaction when the [MON] would be hit by an attack while the [MON] is wielding a shield and can see its attacker, it adds [#] to its AC against that attack.</t>
  </si>
  <si>
    <t>Reckless</t>
  </si>
  <si>
    <t>At the start of its turn, the [MON] can gain advantage on all melee weapon attack rolls during that turn, but attack rolls against it have advantage [DURATION].</t>
  </si>
  <si>
    <t>Aberrant Ground</t>
  </si>
  <si>
    <t>Aura, Difficult Terrain, Zero Speed</t>
  </si>
  <si>
    <t>Xeric Aura</t>
  </si>
  <si>
    <t>Aura, Exhausting</t>
  </si>
  <si>
    <t>Reverse Gravity</t>
  </si>
  <si>
    <t>The [MON] can move through other creatures and objects as if they were difficult terrain. It takes [#dX] [DMG_TYPE] damage if it ends its turn inside an object.</t>
  </si>
  <si>
    <t>Absorb Flesh</t>
  </si>
  <si>
    <t>The [MON] feeds on a corpse within [#] ft of it. It regains [#dX] hit points per size category of the creature it consumes. Afterwards, the corpse is destroyed.</t>
  </si>
  <si>
    <t>The [MON] turns invisible, along with any equipment it carries. This invisibility ends if the [MON] makes an attack, falls unconscious, or dismisses the effect.</t>
  </si>
  <si>
    <t>Wasting Beam</t>
  </si>
  <si>
    <t>wastes away [DURATION]. While wasting away, the target is vulnerable to [DMG_TYPE] damage and regains only half the hit points when it receives magical healing.</t>
  </si>
  <si>
    <t>Deafening Voice</t>
  </si>
  <si>
    <t>Windy Speed</t>
  </si>
  <si>
    <t>When the [MON] is subjected to the slow spell, it doesn't suffer the effects of the spell but instead is forced into its true form and incapacitated [DURATION].</t>
  </si>
  <si>
    <t>Lesser Blood Loss</t>
  </si>
  <si>
    <t>While attached to a creature, the [MON] doesn't attack. Instead, at the start of each of the [MON]'s turns, the target loses [#dX] hit points due to blood loss.</t>
  </si>
  <si>
    <t>Aura of Wind</t>
  </si>
  <si>
    <t>Aura, Pushing</t>
  </si>
  <si>
    <t>Vengeful Jinx</t>
  </si>
  <si>
    <t>Cursing, Disadvantage</t>
  </si>
  <si>
    <t>As a reaction when the [MON] is hit by an attack from a creature it can see, it can curse the attacker. The attacker has disadvantage on attack rolls [DURATION].</t>
  </si>
  <si>
    <t>War Surge</t>
  </si>
  <si>
    <t>As a reaction when the [MON] reduces a creature to 0 hit points with a melee attack on its turn, the [MON] can move up to half its speed and make a melee attack.</t>
  </si>
  <si>
    <t>Dune Splitter</t>
  </si>
  <si>
    <t>Inhumanly Quick</t>
  </si>
  <si>
    <t>The [MON] can take two bonus actions on its turn, instead of one. Each bonus action must be different; it can't use the same bonus action twice in a single turn.</t>
  </si>
  <si>
    <t>Shadow Evolution</t>
  </si>
  <si>
    <t>The [MON] instantly becomes a shadow once it causes a total of [DMG_TYPE] damage. Any damage taken is subtracted from the shadow's total hit points or abilities.</t>
  </si>
  <si>
    <t>The [MON] is visible on the Material Plane while it is in the Border Ethereal, and vice versa, yet it can't affect or be affected by anything on the other plane.</t>
  </si>
  <si>
    <t>Lightwalking</t>
  </si>
  <si>
    <t>The [MON] teleports, along with any equipment it is wearing or carrying, from one beam of moonlight to another within [#] ft. Doing so uses half of its movement.</t>
  </si>
  <si>
    <t>Resistable Damaging Grapple</t>
  </si>
  <si>
    <t>A consumed creature can attempt a DC [SAVE_DC] Strength (Athletics) check as an action, escaping to a space of its choice within [#] ft of the [MON] on a success.</t>
  </si>
  <si>
    <t>Icy Shortbow</t>
  </si>
  <si>
    <t>A creature who gains a sixth level of exhaustion in this way doesn't die automatically, instead dropping to 0 hit points and making death saving throws as normal.</t>
  </si>
  <si>
    <t>Reckless Caster</t>
  </si>
  <si>
    <t>At the start of its turn, the [MON] can gain advantage on all spell attack rolls it makes during that turn, but attack rolls against it have advantage [DURATION].</t>
  </si>
  <si>
    <t>Night Walkers</t>
  </si>
  <si>
    <t>The [MON] can only exist on the Material Plane at night or underground. Spells or effects that create sunlight banish the [MON] to the Plane of Shadow [DURATION].</t>
  </si>
  <si>
    <t>Mummy Rot</t>
  </si>
  <si>
    <t>While cursed in this way, a creature can't regain hit points, and its hit point max decreases by an amount equal to its total number of Hit Dice every [DURATION].</t>
  </si>
  <si>
    <t>Attachment Effect, Ongoing Damage, Speed Change, Suffocating</t>
  </si>
  <si>
    <t>While the [MON] is attached to a creature, the target's speed is halved, it can't breathe, and it takes [#dX] [DMG_TYPE] damage at the start of each of its turns.</t>
  </si>
  <si>
    <t>A consumed creature takes [#dX] [DMG_TYPE] damage at the start of each of the [MON]'s turns, and is subject to the [MON]'s Waters of Unfathomable Compulsion trait.</t>
  </si>
  <si>
    <t>Weakening Shadow</t>
  </si>
  <si>
    <t>A creature other than a construct or undead has disadvantage on attack rolls, saving throws, and ability checks based on Strength while within [#] ft of the [MON].</t>
  </si>
  <si>
    <t>Eye-Watering Stench</t>
  </si>
  <si>
    <t>Bolster Soldier</t>
  </si>
  <si>
    <t>As a reaction when an ally the [MON] can see is hit with a weapon attack, the [MON] calls out encouragement to it, and the target gains [#dX] temporary hit points.</t>
  </si>
  <si>
    <t>Ongoing HP Max Reduction if Grappled</t>
  </si>
  <si>
    <t>Grapple Effect, HP Max Reducing</t>
  </si>
  <si>
    <t>Aura of Virulence</t>
  </si>
  <si>
    <t>Creatures that would normally be resistant or immune to poison damage or the poisoned condition lose their resistance or immunity while within [#] ft of the [MON].</t>
  </si>
  <si>
    <t>Spearhead</t>
  </si>
  <si>
    <t>Acid Blast</t>
  </si>
  <si>
    <t>is covered in acid. At the start of each of its turns, it takes [#dX] [DMG_TYPE] damage until it or another creature uses an action to scrape or wash off the acid.</t>
  </si>
  <si>
    <t>Confusion Touch</t>
  </si>
  <si>
    <t>must use its reaction to make one melee attack against one of its allies within [#] ft of it. If it has no allies within [#] ft of it, the creature attacks itself.</t>
  </si>
  <si>
    <t>The [MON] has advantage on an attack roll against a creature if at least one of the [MON]'s allies is within [#] ft of the target and the ally isn't incapacitated.</t>
  </si>
  <si>
    <t>Seditious Sonata</t>
  </si>
  <si>
    <t>Stunning Screech</t>
  </si>
  <si>
    <t>Tendril Whip</t>
  </si>
  <si>
    <t>The limb being used for this grapple is is destroyable (AC [#]; [#] hit points; immune to poison and psychic damage). Destroying the limb doesn't damage the [MON].</t>
  </si>
  <si>
    <t>Fleeting Memory</t>
  </si>
  <si>
    <t>A creature that ends its turn within [#] ft of the [MON], touches the [MON], or hits it with a melee attack while within [#] ft of it takes [#dX] [DMG_TYPE] damage.</t>
  </si>
  <si>
    <t>A humanoid slain in this way becomes the new body for the [MON], if it is detached and its body died. Otherwise, the humanoid rises [DURATION] later as a new [MON].</t>
  </si>
  <si>
    <t>Step Between</t>
  </si>
  <si>
    <t>As a bonus action, the [MON] can shift from the Material Plane to any Lower Plane, or vice versa. It can't bring other creatures with it when it shifts in this way.</t>
  </si>
  <si>
    <t>Float</t>
  </si>
  <si>
    <t>As a reaction when a [MON] senses motion within [#] ft of it, it fills its cap with air and flies [#] ft away from the motion without provoking opportunity attacks.</t>
  </si>
  <si>
    <t>Bring It Down</t>
  </si>
  <si>
    <t>As a reaction when a creature within the [MON]'s reach takes damage from one of the [MON]'s allies, the [MON] can make one opportunity attack against that creature.</t>
  </si>
  <si>
    <t>Revenge for the Fallen</t>
  </si>
  <si>
    <t>As a reaction when an ally the [MON] can see is reduced to 0 hit points within [#] ft of the [MON], the [MON] can move up to half its speed and make a melee attack.</t>
  </si>
  <si>
    <t>Slither</t>
  </si>
  <si>
    <t>If the [MON] hasn't eaten a Huge creature in the last [DURATION], it can move through a space as narrow as [#] ft wide without squeezing, or [#] ft while squeezing.</t>
  </si>
  <si>
    <t>Cruelty</t>
  </si>
  <si>
    <t>If the [MON] scores a critical hit with a melee attack, it can make a second attack against the same target as a bonus action. It has advantage on this attack roll.</t>
  </si>
  <si>
    <t>Knight's Challenge</t>
  </si>
  <si>
    <t>is compelled to engage the [MON] in melee combat [DURATION]. On its turn, a compelled creature must move toward the [MON] and make a melee attack against the [MON].</t>
  </si>
  <si>
    <t>Stunning Strike</t>
  </si>
  <si>
    <t>The [MON] can mimic simple sounds it has heard. A creature that hears the sounds can tell they are imitations with a successful DC [SAVE_DC] Wisdom (Insight) check.</t>
  </si>
  <si>
    <t>Dance of Creation</t>
  </si>
  <si>
    <t>The [MON] can perform an act of magical creation almost unlimited in scope every [DURATION]. The effect is equivalent to a wish spell, but it must create something.</t>
  </si>
  <si>
    <t>Self-Made Pack</t>
  </si>
  <si>
    <t>The [MON] has advantage on attack rolls against a creature if at least one of its duplicates is within [#] ft of the creature and the duplicate isn't incapacitated.</t>
  </si>
  <si>
    <t>Ethereal and Material</t>
  </si>
  <si>
    <t>The [MON] lives simultaneously on the Ethereal and Material Planes. Its senses extend into both planes, and it can touch and be touched by creatures on both planes.</t>
  </si>
  <si>
    <t>Smolder</t>
  </si>
  <si>
    <t>The [MON] releases a billowing cloud of smoke in a [#] ft radius that lasts [DURATION] and moves with the [MON]. The area affected by the smoke is heavily obscured.</t>
  </si>
  <si>
    <t>Beguiling Aura</t>
  </si>
  <si>
    <t>Greater Acid Aura</t>
  </si>
  <si>
    <t>Frightening Beam</t>
  </si>
  <si>
    <t>A frightened creature can repeat this saving throw at the end of each of its turns (with disadvantage if it can see [MON]), ending the effect on itself on a success.</t>
  </si>
  <si>
    <t>Liquid Courage</t>
  </si>
  <si>
    <t>As a bonus action, the [MON] imbibes nearby alcohol to gain access to a hidden reservoir of audacity and grit. The [MON] gains [#dX] temporary hit points [DURATION].</t>
  </si>
  <si>
    <t>Protect the Queen</t>
  </si>
  <si>
    <t>As a reaction when a creature makes an attack against a tosculi hive queen, the [MON] grants a +2 bonus to the queen's AC if the [MON] is within [#] ft of the queen.</t>
  </si>
  <si>
    <t>Avoidable Damaging Aura</t>
  </si>
  <si>
    <t>Siege Follow-Through</t>
  </si>
  <si>
    <t>If the [MON] destroys an object or structure, it can make one melee attack as a bonus action against a creature it can see within [#] ft of that object or structure.</t>
  </si>
  <si>
    <t>Desparation Topple</t>
  </si>
  <si>
    <t>It must repeat this saving throw at the end of each of its turns [DURATION], taking [#dX] Strength damage on a failure, and ending the effect on itself on a success.</t>
  </si>
  <si>
    <t>Strength (d2)</t>
  </si>
  <si>
    <t>Solid Kick</t>
  </si>
  <si>
    <t>Made of Magic</t>
  </si>
  <si>
    <t>The [MON] temporarily winks out of existence when inside an antimagic field, instantly reappearing once the space it occupied is no longer within the area of effect.</t>
  </si>
  <si>
    <t>Gift of Saving Throw Advantage</t>
  </si>
  <si>
    <t>A glowing mote of light orbits the target's head [DURATION]. When it fails a saving throw, it can use its reaction to expend the mote and succeed on the saving throw.</t>
  </si>
  <si>
    <t>Brace Pike</t>
  </si>
  <si>
    <t>As a reaction when a creature enters the [MON]'s reach, the [MON] can brace its weapon. If it does so, it has advantage on its next attack roll against that creature.</t>
  </si>
  <si>
    <t>Doppeling Disease</t>
  </si>
  <si>
    <t>Flow Within the Mountain</t>
  </si>
  <si>
    <t>By spending [DURATION] in concentration while touching a natural stone surface, the [MON] can merge into it and emerge from any connected stone surface within a mile.</t>
  </si>
  <si>
    <t>Dream Eater's Caress</t>
  </si>
  <si>
    <t>Restraining, Temporary Self Healing</t>
  </si>
  <si>
    <t>A creature that ends its turn grappled by a [MON] is restrained [DURATION] and takes [#dX] [DMG_TYPE] damage. The [MON] gains the same number of temporary hit points.</t>
  </si>
  <si>
    <t>If the [MON] is not in its line of sight, a paralyzed creature can repeat this saving throw at the end of each of its turns, ending the effect on itself on a success.</t>
  </si>
  <si>
    <t>Is it Dead?</t>
  </si>
  <si>
    <t>Knockout, Nonlethal, Paralyzing, Poisoning</t>
  </si>
  <si>
    <t>If this damage reduces a creature to 0 hit points, it is stable but poisoned [DURATION], even after regaining hit points, and is paralyzed while poisoned in this way.</t>
  </si>
  <si>
    <t>Tree Stride</t>
  </si>
  <si>
    <t>Once per turn, the [MON] can use [#] ft of movement to enter a living tree and emerge from another living tree within [#] ft of it. Both trees must be at least Large.</t>
  </si>
  <si>
    <t>Children of Hell</t>
  </si>
  <si>
    <t>The [MON] calls 2d4 imps or 1 shadow. The called creatures arrive in [DURATION], acting as allies of the [MON] and obeying its spoken commands, and remain [DURATION].</t>
  </si>
  <si>
    <t>Douse Light</t>
  </si>
  <si>
    <t>The [MON] dispels or douses a single magical or nonmagical light source within [#] ft of it, provided that the light wasn't created by a spell of level [#] or higher.</t>
  </si>
  <si>
    <t>Towering Reach</t>
  </si>
  <si>
    <t>The [MON] doesn't have disadvantage on ranged attack rolls when it is within [#] ft of a hostile creature, although it may still have disadvantage from other sources.</t>
  </si>
  <si>
    <t>Inspire Ferocity</t>
  </si>
  <si>
    <t>The [MON] inspires ferocity in up to three [MON] it can see. Those [MON] have advantage on attack rolls and saving throws [DURATION] and gain 10 temporary hit points.</t>
  </si>
  <si>
    <t>Generate Static</t>
  </si>
  <si>
    <t>The [MON] rubs along a dry surface and charges its fur with static electricity. Its fur remains charged with electricity [DURATION] or until it uses Lightning Strike.</t>
  </si>
  <si>
    <t>Line Attack or Cone Attack if Below Half HP</t>
  </si>
  <si>
    <t>The [MON] targets a [#] ft long line that is [#] ft wide. When the [MON] has half its hit points or fewer, this area is a [#] ft cone instead of a line. [TGT_EFFECT].</t>
  </si>
  <si>
    <t>Chopper Squad</t>
  </si>
  <si>
    <t>The [MON]'s melee weapon attacks deal one extra die of damage if at least one of the [MON]'s allies is within [#] ft of the creature and the ally isn't incapacitated.</t>
  </si>
  <si>
    <t>Pseudopod</t>
  </si>
  <si>
    <t>The target's armor is partly corroded and takes a permanent and cumulative -1 penalty to its base AC. The armor is destroyed if the penalty reduces its base AC to 10.</t>
  </si>
  <si>
    <t>Spore Death</t>
  </si>
  <si>
    <t>When the [MON] takes [DMG_TYPE] damage, it can immediately reroll its initiative and choose whether it wants to keep its current position or change to the new result.</t>
  </si>
  <si>
    <t>Conductive Fur</t>
  </si>
  <si>
    <t>While the [MON] is charged with electricity, a creature that touches the [MON] or hits it with a melee attack while within [#] ft of it takes [#dX] [DMG_TYPE] damage.</t>
  </si>
  <si>
    <t>Different Location or Plane of Existence. The creatures appear in empty spaces of the [MON]'s choice anywhere on the Material Plane or on a different plane altogether.</t>
  </si>
  <si>
    <t>Rapid Burrow</t>
  </si>
  <si>
    <t>The [MON] burrows up to [#] ft. Opportunity attacks against it are made with disadvantage when it does so. Creatures grappled by the [MON] are freed before it burrows.</t>
  </si>
  <si>
    <t>Bonerot Sense</t>
  </si>
  <si>
    <t>The [MON] can pinpoint the location of creatures infected with [DISEASE] within [#] ft of it and can sense the general direction to such creatures within 1 mile of it.</t>
  </si>
  <si>
    <t>Elephants' Bane</t>
  </si>
  <si>
    <t>The [MON] has advantage on attacks against elephants. It can detect by scent whether an elephant has been within [#] ft of its location anytime in the last [DURATION].</t>
  </si>
  <si>
    <t>Eerie Resemblance</t>
  </si>
  <si>
    <t>The [MON] resembles a bloody zombie. A creature that can see a [MON] must succeed on a DC [SAVE_DC] Intelligence (Nature or Religion) check to discern its true nature.</t>
  </si>
  <si>
    <t>A corpse within [#] ft of the [MON] is protected from decay and can't become undead while it remains within [#] ft of the [MON] and [DURATION] after it leaves the area.</t>
  </si>
  <si>
    <t>Hampering Help</t>
  </si>
  <si>
    <t>Delayed Knockout Poison</t>
  </si>
  <si>
    <t>A poisoned creature must repeat this saving throw at the end of its next turn, falling unconscious [DURATION] on a failure, or ending the effect on itself on a success.</t>
  </si>
  <si>
    <t>Disruptive Droning</t>
  </si>
  <si>
    <t>A spellcaster within [#] ft of the [MON] while the [MON] is in flight must succeed on a DC [SAVE_DC] spellcasting ability check to cast a spell with a verbal component.</t>
  </si>
  <si>
    <t>Infused Arsenal</t>
  </si>
  <si>
    <t>As a bonus action, the [MON] can absorb one unattended weapon into its body. For every weapon it absorbs, it deals +[#] damage with its blade attacks (maximum of +[#]).</t>
  </si>
  <si>
    <t>Emboldening Song</t>
  </si>
  <si>
    <t>gains one die, a d6. Once within the next [DURATION], the target can roll the die and add the number rolled to one ability check, attack roll, or saving throw it makes.</t>
  </si>
  <si>
    <t>Aqueous Regeneration</t>
  </si>
  <si>
    <t>If the [MON] has at least 1 hit point and starts its turn in contact with a body of water large enough to submerge at least half of its body, it regains [#] hit points.</t>
  </si>
  <si>
    <t>Two-Headed</t>
  </si>
  <si>
    <t>The [MON] has advantage on Wisdom (Perception) checks and on saving throws made to resist being blinded, charmed, deafened, frightened, stunned, or knocked unconscious.</t>
  </si>
  <si>
    <t>Beckoning Finger</t>
  </si>
  <si>
    <t>is pulled [#] ft in a straight line toward the [MON]. If this brings the creature within [#] ft of the [MON], it can make one melee attack against it as a bonus action.</t>
  </si>
  <si>
    <t>is teleported to a new location as by the dimension door spell. The destination is chosen by the [MON], but it can't be in the same space as another object or creature.</t>
  </si>
  <si>
    <t>Soft Shell</t>
  </si>
  <si>
    <t>The [MON] adopts an offensive fighting stance, which lasts [DURATION]. While the [MON] is in this stance, it has advantage on the first melee attack it makes each turn.</t>
  </si>
  <si>
    <t>It Follows</t>
  </si>
  <si>
    <t>The [MON] always remains within [#] ft of it if its creator. As long as the [MON] is within [#] ft of its creator, the creator has disadvantage on Wisdom saving throws.</t>
  </si>
  <si>
    <t>Hastening Stomp</t>
  </si>
  <si>
    <t>The [MON] rears and stomps sending small magical shockwave. [DURATION] each ally within [#] ft of it increases its speed by [#] ft and can use Free Runner bonus action.</t>
  </si>
  <si>
    <t>Patinated Appearance</t>
  </si>
  <si>
    <t>While motionless indistinguishable from the object or structure it is stretched across though the object or structure appears to be covered in green paint or verdigris.</t>
  </si>
  <si>
    <t>Gem Illumination</t>
  </si>
  <si>
    <t>As a bonus action, the [MON] can cause its garnet to glow or not. While glowing, the garnet sheds bright light in a [#] ft radius and dim light for an additional [#] ft.</t>
  </si>
  <si>
    <t>Protect the Future</t>
  </si>
  <si>
    <t>As a reaction when a creature the [MON] can see attacks it, it can call on an ally within [#] ft of its to protect it. The ally becomes the target of the attack instead.</t>
  </si>
  <si>
    <t>Crafting</t>
  </si>
  <si>
    <t>So long as the [MON] has the required components and equipment, they are able to craft potions of up to legendary rarity and other magic items of up to very rare rarity.</t>
  </si>
  <si>
    <t>Neutral Presence</t>
  </si>
  <si>
    <t>The [MON] naturally emits an air of total belonging. It doesn't go unnoticed, but other creatures always behave as though the [MON]'s presence is normal and unobtrusive.</t>
  </si>
  <si>
    <t>Smoke Bomb</t>
  </si>
  <si>
    <t>The [MON] throws a vial at a point up to [#] ft away. The area within [#] ft of that point is heavily obscured [DURATION] or until the smoke is cleared by a strong wind.</t>
  </si>
  <si>
    <t>Forgetful Spellcasting</t>
  </si>
  <si>
    <t>When a creature fails an Intelligence, Wisdom, or Charisma saving throw against a spell cast by a [MON], the creature immediately forgets the source of the spellcasting.</t>
  </si>
  <si>
    <t>While transformed, its statistics are unchanged except that it has no armor or equipment, can't use its black iron blade, and can fly only if it is in a form with wings.</t>
  </si>
  <si>
    <t>Aura, Variable Damage Type</t>
  </si>
  <si>
    <t>At the start of each of the [MON]'s turns, each creature within [#] ft of the [MON] takes [#dX] [DMG_TYPE], cold, fire, lightning, or thunder damage (the [MON]'s choice).</t>
  </si>
  <si>
    <t>Acid (d6), Cold (d6), Fire (d6), Lightning (d6), Thunder (d6)</t>
  </si>
  <si>
    <t>Hollow Cylindrical Form</t>
  </si>
  <si>
    <t>Creatures can occupy the space in the center of the cylinder formed by the [MON], and each such space is always within the [MON] reach, regardless of the cylinder's size.</t>
  </si>
  <si>
    <t>Curse of Vermin</t>
  </si>
  <si>
    <t>Curse Effect, HP Max Reducing, Spawning, Unhealable</t>
  </si>
  <si>
    <t>While cursed in this way, a creature is poisoned, can't regain hit points, its hit point max decreases by [#dX] every [DURATION], and vermin attack the creature on sight.</t>
  </si>
  <si>
    <t>Protector's Step</t>
  </si>
  <si>
    <t>Lair, Teleportation</t>
  </si>
  <si>
    <t>The [MON] teleports, along with any equipment it is wearing or carrying, up to [#] ft to an unoccupied space within its lair or within [#] ft of the exterior of its lair.</t>
  </si>
  <si>
    <t>Resave at End of Each Turn or if Harmed</t>
  </si>
  <si>
    <t>While charmed in this way, a creature can repeat this saving throw whenever it takes damage and at the end of each of its turns, ending the effect on itself on a success.</t>
  </si>
  <si>
    <t>Shapechange</t>
  </si>
  <si>
    <t>Sandy Death</t>
  </si>
  <si>
    <t>If a creature is slain by this attack, its body crumbles to sand, and the [MON] stores its soul. The creature can be restored to life only if the [MON] has been destroyed.</t>
  </si>
  <si>
    <t>If the [MON] moves at least [#] ft in a straight line while on snow or ice, it can continue sliding up to [#] ft, which doesn't count against its total movement that turn.</t>
  </si>
  <si>
    <t>Cold (d12), Fire (d12)</t>
  </si>
  <si>
    <t>Snow Blindness</t>
  </si>
  <si>
    <t>The [MON] can follow a scent through phase shifts, ethereal movement, dimension door, and fey steps of any kind. Teleport and plane shift are beyond its ability to follow.</t>
  </si>
  <si>
    <t>The [MON] can mimic animal sounds and humanoid voices. A creature that hears the sounds can tell they are imitations with a successful DC [SAVE_DC] Wisdom (Insight) check.</t>
  </si>
  <si>
    <t>Conditional Invisibility</t>
  </si>
  <si>
    <t>The [MON] is invisible unless the temperature is lower than 50 degrees Fahrenheit, it has taken cold damage within the last round, or it is in an area of natural darkness.</t>
  </si>
  <si>
    <t>Lightning Arc</t>
  </si>
  <si>
    <t>Lightning Recharge</t>
  </si>
  <si>
    <t>Whenever the [MON] is subjected to lightning damage, it takes no damage, and becomes charged with electricity. If it is already charged, the duration resets to [DURATION].</t>
  </si>
  <si>
    <t>While charmed in this way, a creature must take Dash action and move toward the [MON] by safest available route on its next turn, trying to get within [#] ft of the [MON].</t>
  </si>
  <si>
    <t>Curse of Affliction</t>
  </si>
  <si>
    <t>While cursed in this way, a creature can't regain hit points or benefit from curative spells or abilities such as the lesser restoration spell or a paladin's Lay on Hands.</t>
  </si>
  <si>
    <t>Water Invisibility</t>
  </si>
  <si>
    <t>While fully immersed in water, the [MON] is invisible. If it attacks, it becomes visible [DURATION]. The [MON] can suppress this invisibility [DURATION] as a bonus action.</t>
  </si>
  <si>
    <t>Hideous Piping</t>
  </si>
  <si>
    <t>Aura, Confusing</t>
  </si>
  <si>
    <t>Damaging Poison</t>
  </si>
  <si>
    <t>Ongoing Damage, Poison Ending</t>
  </si>
  <si>
    <t>A poisoned creature must repeat this saving throw at the end of each of its turns, taking [#dX] [DMG_TYPE] damage on a failure, or ending the effect on itself on a success.</t>
  </si>
  <si>
    <t>Poison (d10)</t>
  </si>
  <si>
    <t>Drain Charge</t>
  </si>
  <si>
    <t>As a reaction when the [MON] is subjected to [DMG_TYPE] damage, it takes no damage, and the attacker or caster takes [DMG_TYPE] damage equal to the [DMG_TYPE] damage dealt.</t>
  </si>
  <si>
    <t>Stake to the Heart</t>
  </si>
  <si>
    <t>If a piercing weapon made of wood is driven into the [MON]'s heart while the [MON] is incapacitated in its resting place, the [MON] is paralyzed until the stake is removed.</t>
  </si>
  <si>
    <t>Infest Vermin</t>
  </si>
  <si>
    <t>Leaping Attack</t>
  </si>
  <si>
    <t>If the [MON] uses the Dash action on its turn and stops within [#] ft of a creature, it can make one melee attack with disadvantage as a bonus action against that creature.</t>
  </si>
  <si>
    <t>Cold Aura</t>
  </si>
  <si>
    <t>Spells or magical effects that protect against cold are affected as if by a dispel magic spell if the [MON] is within [#] ft of the target at the start of the [MON]'s turn.</t>
  </si>
  <si>
    <t>Control Weather</t>
  </si>
  <si>
    <t>The [MON] alters the weather in a 5-mile radius centered on itself. The effect is identical to the control weather spell, except the casting time and effects are immediate.</t>
  </si>
  <si>
    <t>Lunge</t>
  </si>
  <si>
    <t>When the [MON] leaps at least [#] ft toward a target and hits that creature with a claws attack on the same turn, it can immediately constrict the target as a bonus action.</t>
  </si>
  <si>
    <t>When the [MON] uses this ability, it loses coordination as white-crested waves run up and down its body. It loses its Flowing Grace and Shimmering Scales traits [DURATION].</t>
  </si>
  <si>
    <t>Draining Attachment</t>
  </si>
  <si>
    <t>Voice of the Archimandrite</t>
  </si>
  <si>
    <t>With a ringing shout, the [MON] summons all deep ones within a mile to come to his aid. This is not a spell but a command that ocean creatures and deep ones heed willingly.</t>
  </si>
  <si>
    <t>Void Casting</t>
  </si>
  <si>
    <t>As a bonus action, the [MON] can infuse a spell with void magic. One creature that is hit by that spell or who fails a saving throw against that spell is stunned [DURATION].</t>
  </si>
  <si>
    <t>Reactive Hide</t>
  </si>
  <si>
    <t>As a reaction when the [MON] is hit with an attack, it gains resistance to damage of that type [DURATION], including the damage from the attack that triggered this reaction.</t>
  </si>
  <si>
    <t>As a reaction when the [MON] is missed by a melee attack by an attacker they can see within [#] ft of it, the [MON] makes a melee attack against the attacker with advantage.</t>
  </si>
  <si>
    <t>Carnivorous Compulsion</t>
  </si>
  <si>
    <t>Rumbling Earth</t>
  </si>
  <si>
    <t>Life Reading</t>
  </si>
  <si>
    <t>If the [MON] spends [DURATION] studying a mortal creature it can see within [#] ft of it the [MON] can determine the remainder of that creature's natural life to the second.</t>
  </si>
  <si>
    <t>Ink Cloud</t>
  </si>
  <si>
    <t>The [MON] emits a [#] ft radius cloud of ink around itself if it is underwater. The area is heavily obscured [DURATION], although a significant current can disperse the ink.</t>
  </si>
  <si>
    <t>Mirror Shy</t>
  </si>
  <si>
    <t>If the [MON] sees itself reflected in a polished surface within [#] ft of it and in an area of bright light, the [MON] immediately closes its eyes and is blinded [DURATION].</t>
  </si>
  <si>
    <t>Unbound</t>
  </si>
  <si>
    <t>The [MON]'s movement is unaffected by difficult terrain, and spells and other magical effects can neither reduce the moth's speed nor cause it to be paralyzed or restrained.</t>
  </si>
  <si>
    <t>Enthralling Defense</t>
  </si>
  <si>
    <t>Indomitable</t>
  </si>
  <si>
    <t>Any spell or effect that would make the [MON] paralyzed, restrained, or stunned ends at the end of the [MON]'s next turn, regardless of the spell or effect's normal duration.</t>
  </si>
  <si>
    <t>One with the Stone</t>
  </si>
  <si>
    <t>As a bonus action, the [MON] can draw on the power of unworked stone, as long as it is in contact with stone. [DURATION], it gains resistance to piercing and slashing damage.</t>
  </si>
  <si>
    <t>Knight's Rebuke</t>
  </si>
  <si>
    <t>As a reaction when the [MON] is hit by a melee attack from a creature it has successfully challenged, it can make one melee weapon attack with advantage against the attacker.</t>
  </si>
  <si>
    <t>Digest Corpse</t>
  </si>
  <si>
    <t>The [MON] dissolves a corpse in its space that is less than 1 week old. It regains 1d6 hit points per size category of the creature it consumed. The corpse is then destroyed.</t>
  </si>
  <si>
    <t>Grass Step</t>
  </si>
  <si>
    <t>The [MON] teleports, along with any equipment it is wearing or carrying, up to [#] ft to an unoccupied space it can see. The origin and destination spaces must contain grass.</t>
  </si>
  <si>
    <t>Veiled Escape</t>
  </si>
  <si>
    <t>The [MON] teleports, along with any equipment it is wearing or carrying, up to [#] ft to an unoccupied spot it can see, becoming invisible when it arrives at the destination.</t>
  </si>
  <si>
    <t>The [MON]'s individual parts are connected via a hive mind. It can telepathically communicate with any of its individual parts within 1 mile of it, and it can't be surprised.</t>
  </si>
  <si>
    <t>Heart of Winter</t>
  </si>
  <si>
    <t>When the [MON] is first bloodied, it immediately recharges its breath weapon, if its not already available. Additionally, the damage from the [MON]'s Raging Storm is doubled.</t>
  </si>
  <si>
    <t>Proximity Damage if Charmed</t>
  </si>
  <si>
    <t>Aura, Charm Effect</t>
  </si>
  <si>
    <t>While charmed in this way, a creature takes [#dX] [DMG_TYPE] damage when it enters a space within [#] ft of the [MON] on a turn or starts its turn within [#] ft of the [MON].</t>
  </si>
  <si>
    <t>Life Drain</t>
  </si>
  <si>
    <t>HP Max Reducing, Spawning</t>
  </si>
  <si>
    <t>A humanoid slain in this way rises [DURATION] later as a [MON], unless the humanoid is restored to life, its body is bathed in vinegar before burial, or its body is destroyed.</t>
  </si>
  <si>
    <t>Inspiration</t>
  </si>
  <si>
    <t>As a reaction when a creature within [#] ft of the [MON] fails an attack roll ability check or save the [MON] can allow it to reroll the die. The target must use the new roll.</t>
  </si>
  <si>
    <t>Vengeful Eye</t>
  </si>
  <si>
    <t>As a reaction when the [MON] is hit by a ranged attack or targeted with a spell by a creature within [#] ft of it, it uses Evil Eye on the attacker if they can see each other.</t>
  </si>
  <si>
    <t>Transmigratory Strike</t>
  </si>
  <si>
    <t>As a reaction when the [MON] kills a humanoid can immediately restore it to life as a beast with CR no higher the humanoid's CR or level. Otherwise works as reincarnate spell.</t>
  </si>
  <si>
    <t>Cognivore</t>
  </si>
  <si>
    <t>At the start of each of the [MON]'s turns, if the [MON] is inside a book that is not a spellbook, it erases the contents of [#dX] pages and regains twice that many hit points.</t>
  </si>
  <si>
    <t>Mechuiti's Ichor disease</t>
  </si>
  <si>
    <t>Panpipes</t>
  </si>
  <si>
    <t>Gentle Lullaby. The creature falls asleep and is unconscious [DURATION]. The effect ends if the creature takes damage or if someone uses an action to shake the creature awake.</t>
  </si>
  <si>
    <t>If the [MON] is targeted by dispel magic, it takes [#dX] [DMG_TYPE] damage plus an extra [#dX] for each slot level beyond [#]rd if the spell is cast using a higher spell slot.</t>
  </si>
  <si>
    <t>Repeat Save Daily if Far Away</t>
  </si>
  <si>
    <t>No more than once every [DURATION], an affected creature can repeat this saving throw when it is at least 1 mile away from the [MON], ending the effect on itself on a success.</t>
  </si>
  <si>
    <t>The [MON] is accompanied by a swarm of spiders, which moves and attacks according to the [MON]'s mental command (commanding the [MON] does not require an action by the [MON]).</t>
  </si>
  <si>
    <t>Immutable Armor</t>
  </si>
  <si>
    <t>The clockwork armor of the [MON] is immune to any spell or effect that would alter its form, as is the creature that controls it as long as the [MON] remains within the armor.</t>
  </si>
  <si>
    <t>Rotting Leaves</t>
  </si>
  <si>
    <t>Elemental Defense</t>
  </si>
  <si>
    <t>As a bonus action, the [MON] can select one of the following damage types: [DMG_TYPE], [DMG_TYPE], or [DMG_TYPE]. The [MON] has resistance to the chosen damage type [DURATION].</t>
  </si>
  <si>
    <t>Acid (Other), Cold (Other), Fire (Other)</t>
  </si>
  <si>
    <t>Retaliatory Slip</t>
  </si>
  <si>
    <t>As a reaction when a creature grapples the [MON], the [MON] can immediately attempt to escape. If it succeeds, it can make a melee attack against the creature that grappled it.</t>
  </si>
  <si>
    <t>Horrifying Wail</t>
  </si>
  <si>
    <t>As a reaction when the [MON] takes damage, the spirits infusing it cry out, afraid of losing their host. If the creature that dealt the damage can hear the [MON], it [OUTCOME].</t>
  </si>
  <si>
    <t>If a creature dies while consumed, its body becomes part of whatever consumed it, and the creature can be restored to life only by means of a true resurrection or a wish spell.</t>
  </si>
  <si>
    <t>Condition Redistribution</t>
  </si>
  <si>
    <t>If more than one creature that failed this saving throw is affected by a condition, those conditions are randomly redistributed among the creature who failed this saving throw.</t>
  </si>
  <si>
    <t>Armor Destruction</t>
  </si>
  <si>
    <t>Nonmagical armor worn by the target is damaged, taking a permanent and cumulative -[#] penalty to the AC it offers. The armor is destroyed if this penalty reduces its AC to 10.</t>
  </si>
  <si>
    <t>The [MON] can pinpoint the location of creatures that aren't constructs or undead within [#] ft of it and can sense the general direction to such creatures within 1 mile of it.</t>
  </si>
  <si>
    <t>The [MON] can sense when an agent or worshiper of an opposing deity moves within [#] ft of its lair and can sense general direction to such creatures within 1 mile of its lair.</t>
  </si>
  <si>
    <t>Defensive Mount</t>
  </si>
  <si>
    <t>The [MON] can serve as a mount for one Large creature up to 4 Medium creatures or up to 6 creatures. While mounted creatures riding in siege the [MON]'s turret gain half cover.</t>
  </si>
  <si>
    <t>AC Change, Shapechanging</t>
  </si>
  <si>
    <t>The [MON] extends its body, rolls up into a ball, or returns to true form. Each time it extends its body its reach with slam increases by 5 ft max [#] ft and AC decreases by 1.</t>
  </si>
  <si>
    <t>Inner Light</t>
  </si>
  <si>
    <t>The [MON]'s open mouth emits a red light, shedding bright light in [#] ft radius and dim light for an additional [#] ft. Opening or closing its mouth doesn't require an action.</t>
  </si>
  <si>
    <t>Piercing (Other), Slashing (Other), Poison (d4)</t>
  </si>
  <si>
    <t>Foul Odor</t>
  </si>
  <si>
    <t>A creature that touches the [MON] or hits it with a melee attack while within [#] ft of it takes [#dX] [DMG_TYPE], cold, fire, lightning, or thunder damage (the [MON]'s choice).</t>
  </si>
  <si>
    <t>Roar</t>
  </si>
  <si>
    <t>A frightened creature can repeat this saving throw at the end of each of its turns, with disadvantage if the [MON] is in line of sight, ending the effect on itself on a success.</t>
  </si>
  <si>
    <t>Repelling Blast</t>
  </si>
  <si>
    <t>Any creature in that area must spend 2 ft of movement per 1 ft it moves when moving closer to [MON]. If the affected area is underwater, this penalty increases to 4 ft per 1 ft.</t>
  </si>
  <si>
    <t>Deadly Poison</t>
  </si>
  <si>
    <t>As a bonus action, the [MON] applies poison to its weapon. The [MON] carries [#] doses of this poison. A single dose can coat one melee weapon or up to [#] pieces of ammunition.</t>
  </si>
  <si>
    <t>Master of Disguise</t>
  </si>
  <si>
    <t>If the [MON] has on a prepared disguise, it has advantage on Charisma (Deception) checks made to pass as a living creature. While using this ability, the [MON] loses its Stench.</t>
  </si>
  <si>
    <t>If underwater, the [MON] exudes a cloud of ink in a [#] ft radius sphere, extending around corners. The area is heavily obscured [DURATION] unless dispersed by a strong current.</t>
  </si>
  <si>
    <t>Move Out</t>
  </si>
  <si>
    <t>The [MON] and creatures of its choice within [#] ft of it move up to half their speed without provoking opportunity attacks. The [MON]'s allies must use their reaction to do so.</t>
  </si>
  <si>
    <t>Disguise</t>
  </si>
  <si>
    <t>The [MON] has advantage on Charisma (Deception) checks made to pass itself off as the type of creature it is impersonating as long as it has at least 1 trait from that creature.</t>
  </si>
  <si>
    <t>Aura, Suffocating</t>
  </si>
  <si>
    <t>Puppet Master</t>
  </si>
  <si>
    <t>When the [MON] casts the charm person spell, it can target up to [#] creatures. When it casts the dominate person spell, the spell's duration is concentration, up to [DURATION].</t>
  </si>
  <si>
    <t>Unbearable Scraping</t>
  </si>
  <si>
    <t>HP Max Reducing, Infection Ending</t>
  </si>
  <si>
    <t>A diseased creature can repeat this saving throw every [DURATION], reducing its hit point max by [#dX] on a failure (to a minimum of 1 hit point) and becoming cured on a success.</t>
  </si>
  <si>
    <t>A spellcaster within [#] ft of the [MON] must succeed on a DC [SAVE_DC] spellcasting check before casting a spell. If the check fails, it loses its action but not the spell slot.</t>
  </si>
  <si>
    <t>Ignited Illumination</t>
  </si>
  <si>
    <t>As a bonus action, the [MON] can set itself ablaze or extinguish its flames. While ablaze, the [MON] sheds bright light in a [#] ft radius and dim light for an additional [#] ft.</t>
  </si>
  <si>
    <t>Prickly Defense</t>
  </si>
  <si>
    <t>As a reaction when a creature the [MON] can see hits it with melee attack while within [#] ft of it, the [MON] can use its reaction to make one melee attack against the attacker.</t>
  </si>
  <si>
    <t>Coated in Gold</t>
  </si>
  <si>
    <t>Coating, Zero Speed</t>
  </si>
  <si>
    <t>is covered in a shell of rapidly cooling gold, reducing its speed to 0. A coated target or a creature within [#] ft of it can use an action to break the shell, ending the effect.</t>
  </si>
  <si>
    <t>Stasis</t>
  </si>
  <si>
    <t>is frozen in time [DURATION]. A creature frozen in time is treated as if it is petrified, except it isn't transformed into an inanimate substance and its weight doesn't increase.</t>
  </si>
  <si>
    <t>Spells of 3rd level or lower that provide resistance to cold and are cast, centered on a point, or being concentrated on by a creature within [#] ft of the [MON] immediately end.</t>
  </si>
  <si>
    <t>Six Random Target Effects</t>
  </si>
  <si>
    <t>suffers a random effect [DURATION]. Roll a d6 to determine the effect: (1) [TGT_EFFECT]. (2) [TGT_EFFECT]. (3) [TGT_EFFECT]. (4) [TGT_EFFECT]. (5) [TGT_EFFECT]. (6) [TGT_EFFECT].</t>
  </si>
  <si>
    <t>The [MON] has advantage on saving throws made to resist spells and effects that would banish it from its current plane or that would bind it to a particular location or creature.</t>
  </si>
  <si>
    <t>Mark Quarry</t>
  </si>
  <si>
    <t>Extra Damage, Marking</t>
  </si>
  <si>
    <t>The [MON] marks a creature within [#] ft of it as its quarry [DURATION]. Whenever the [MON] hits the marked creature with a weapon attack, the target takes an extra [#dX] damage.</t>
  </si>
  <si>
    <t>Snow Step</t>
  </si>
  <si>
    <t>The [MON] teleports, along with any equipment it is wearing or carrying, up to [#] ft to an unoccupied space it can see. The origin and destination spaces must both contain snow.</t>
  </si>
  <si>
    <t>Psychic Tower</t>
  </si>
  <si>
    <t>When an attack that causes psychic damage is directed against the [MON], the attack rebounds against the attacker. Resolve the attack as if the attacker were the original target.</t>
  </si>
  <si>
    <t>Burning Rage</t>
  </si>
  <si>
    <t>When the [MON] takes [DMG_TYPE] damage, it has advantage on attack rolls [DURATION]. If it takes more than [#] [DMG_TYPE] damage, it has advantage on its attack rolls [DURATION].</t>
  </si>
  <si>
    <t>Aura of Starvation</t>
  </si>
  <si>
    <t>Aura, Paralyzing</t>
  </si>
  <si>
    <t>Weeping Acid</t>
  </si>
  <si>
    <t>Impregnable Counter</t>
  </si>
  <si>
    <t>Self-Sacrifice</t>
  </si>
  <si>
    <t>As a reaction when a creature within [#] ft of the [MON] that the [MON] can see hits the [MON]'s master with an attack, the [MON] can make itself the target of the attack instead.</t>
  </si>
  <si>
    <t>Hard Carapace</t>
  </si>
  <si>
    <t>As a reaction when it takes damage, the [MON] lies down and closes its eyes, protecting all vulnerable spots. [DURATION], its AC becomes [#] and it has advantage on saving throws.</t>
  </si>
  <si>
    <t>Sleep After Charm</t>
  </si>
  <si>
    <t>Charm Ending, Knockout</t>
  </si>
  <si>
    <t>At the beginning of the [MON]'s next turn, a charmed creature can repeat this saving throw. On a success, the effect ends. On a failure, the creature falls unconscious [DURATION].</t>
  </si>
  <si>
    <t>Black Iron Blade</t>
  </si>
  <si>
    <t>takes [#dX] [DMG_TYPE] damage at the start of each of its turns. A creature can end the ongoing damage by bandaging the wound as an action or by giving the target magical healing.</t>
  </si>
  <si>
    <t>Slashing (d10)</t>
  </si>
  <si>
    <t>Life Sense</t>
  </si>
  <si>
    <t>The [MON] automatically detects all living creatures within [#] ft of it. This sense is blocked by 3 ft of wood, 1 ft of earth or stone, an inch of metal, or a thin sheet of lead.</t>
  </si>
  <si>
    <t>The [MON] can pinpoint, by scent, the location of precious metals within [#] ft of it and can sense the general direction to Small or larger deposits of such metals within 1 mile.</t>
  </si>
  <si>
    <t>Detect Sentience</t>
  </si>
  <si>
    <t>The [MON] can sense the presence of creatures with an Intelligence of 5 or higher up to 1 mile away. It knows the general direction to the creatures but not their exact locations.</t>
  </si>
  <si>
    <t>Horde</t>
  </si>
  <si>
    <t>The [MON] is composed of [#] or more creatures. If it is subjected to a spell, attack, or other effect that affects only one target, it takes any damage but ignores other effects.</t>
  </si>
  <si>
    <t>Blinking Blades</t>
  </si>
  <si>
    <t>The [MON] teleports multiple times within a few seconds. The [MON] may make one melee attack against each creature of its choice within [#] ft of it, up to a maximum of 6 attacks.</t>
  </si>
  <si>
    <t>When it takes fire damage, the [MON] catches fire and takes [#dX] [DMG_TYPE] damage at the start of each of its turns until it uses an action or bonus action to extinguish itself.</t>
  </si>
  <si>
    <t>Fleeing Fear</t>
  </si>
  <si>
    <t>While frightened in this way, a creature must take the Dash action and move away from the [MON] by the safest available route on each of its turns unless there is nowhere to move.</t>
  </si>
  <si>
    <t>While in the form of the creature it most recently killed, creatures that knew the mimicked creature have disadvantage on their Wisdom saving throws against its Horrifying Visage.</t>
  </si>
  <si>
    <t>Bludgeoning (d6), Lightning (d6)</t>
  </si>
  <si>
    <t>Vulnerable to Magical Darkness</t>
  </si>
  <si>
    <t>Discharging, Light, Weakness</t>
  </si>
  <si>
    <t>If the [MON] is in an area of magical darkness, it loses its lantern belly ability and its ability to fly. It also suffers [#dX] [DMG_TYPE] damage for every [DURATION] of exposure.</t>
  </si>
  <si>
    <t>Sticky Pine Tar</t>
  </si>
  <si>
    <t>A creature that touches the [MON] is grappled (escape DC [SAVE_DC]). Splashing the [MON] with a gallon of alcohol suppresses this trait [DURATION] and frees all grappled creatures.</t>
  </si>
  <si>
    <t>Talons</t>
  </si>
  <si>
    <t>Extra Damage, Grappling, Movement</t>
  </si>
  <si>
    <t>If the [MON] started its turn at least [#] ft above a creature before hitting it with a melee attack, the target takes an extra die of damage and is grappled (escape DC [SAVE_DC]).</t>
  </si>
  <si>
    <t>Arboreal Tactician</t>
  </si>
  <si>
    <t>The [MON] doesn't provoke opportunity attacks when it climbs out of a hostile creature's reach, and it has advantage on attack rolls against a creature if the creature is climbing.</t>
  </si>
  <si>
    <t>Draining Tongue</t>
  </si>
  <si>
    <t>The [MON]'s limb can be attacked and severed (AC [#]; hit points [#]). The [MON] regrows a severed limb when it completes a long rest or when it reduces a creature to 0 hit points.</t>
  </si>
  <si>
    <t>Gold Fever</t>
  </si>
  <si>
    <t>When in a beast form, the [MON] retains its alignment, hit points, Hit Dice, ability to speak, proficiencies, and Intelligence, Wisdom, and Charisma scores, as well as this action.</t>
  </si>
  <si>
    <t>Healing Tides</t>
  </si>
  <si>
    <t>Whenever the [MON] casts a spell of 1st level or higher that affects a nonhostile creature, that creature regains [#] hit points (in addition to any healing the spell may provide).</t>
  </si>
  <si>
    <t>While [MON] curse remains on a victim a slain [MON] returns to life in [DURATION] regaining all its hit points and becoming active again. The [MON] appears within [#] ft of victim.</t>
  </si>
  <si>
    <t>While cursed in this way, a creature automatically fails saving throws against the [MON]'s scrying and geas spells, and the [MON] can cast control weather centered on the creature.</t>
  </si>
  <si>
    <t>Scare</t>
  </si>
  <si>
    <t>A frightened creature can repeat this saving throw at the end of each of its turns, with disadvantage if the [MON] is within line of sight, ending the effect on itself on a success.</t>
  </si>
  <si>
    <t>Guard the Big Cheese</t>
  </si>
  <si>
    <t>As a reaction when a creature makes an attack against the [MON]'s current employer, the [MON] grants a +[#] bonus to the employer's AC if the [MON] is within [#] ft of the employer.</t>
  </si>
  <si>
    <t>Shield Amulet</t>
  </si>
  <si>
    <t>As a reaction when a creature makes an attack against the wearer of the [MON]'s amulet, the [MON] grants a +[#] bonus to the wearer's AC if the [MON] is within [#] ft of the wearer.</t>
  </si>
  <si>
    <t>Interpose</t>
  </si>
  <si>
    <t>As a reaction when a creature within [#] ft of the [MON] is targeted by a ranged attack or spell the [MON] steps in the way and the ranged attack or spell targets the [MON] instead.</t>
  </si>
  <si>
    <t>Gauntleted Backhand</t>
  </si>
  <si>
    <t>Its Crown Runs Red</t>
  </si>
  <si>
    <t>Damage Reduction, Self Healing</t>
  </si>
  <si>
    <t>As a reaction when it is hit by an attack, the [MON] regains [#dX] hit points and has resistance to that damage type [DURATION] as life-giving blood pours from the top of its skull.</t>
  </si>
  <si>
    <t>Leech Luck</t>
  </si>
  <si>
    <t>If a creature within [#] ft of the [MON] rolls a 20 on an ability check, attack roll, or saving throw, the [MON] gains 1 luck point. It can't have more than 4 luck points at a time.</t>
  </si>
  <si>
    <t>Too Aggressive</t>
  </si>
  <si>
    <t>The [MON] attacks anything it thinks is threatening, even inanimate objects or illusions. It automatically fails ability checks and saving throws to detect or see through illusions.</t>
  </si>
  <si>
    <t>Mountain Master</t>
  </si>
  <si>
    <t>The [MON] can move and shape the terrain around it. This trait works like the move earth spell, except it has no duration, and the [MON] can manipulate any stone, natural or worked.</t>
  </si>
  <si>
    <t>Bloody Arms</t>
  </si>
  <si>
    <t>The [MON] saturates itself in its own blood, causing [#] poison damage to itself. [DURATION], its AC increases to [#] and its melee attacks do an additional [#dX] [DMG_TYPE] damage.</t>
  </si>
  <si>
    <t>Infest Corpse</t>
  </si>
  <si>
    <t>The [MON] targets one dead humanoid in its space. The body is destroyed, and a new [MON] rises from the corpse. The newly created [MON] is free-willed but usually joins its creator.</t>
  </si>
  <si>
    <t>Shapechanging, Silencing</t>
  </si>
  <si>
    <t>The targets head takes on the appearance of a beasts head (doney, wolf, etc.) The target's statistics dont change but the target can no longer speak; it can only make animal noises.</t>
  </si>
  <si>
    <t>Turn Undead</t>
  </si>
  <si>
    <t>Death Swarms</t>
  </si>
  <si>
    <t>When the [MON] dies, the insects crawling across and within it burst from its body forming 2d4 swarms of insects that appear in unoccupied spaces within [#] ft of the [MON]'s space.</t>
  </si>
  <si>
    <t>Dreaming Venom</t>
  </si>
  <si>
    <t>HP Max Reducing, Poison Ending</t>
  </si>
  <si>
    <t>Resize</t>
  </si>
  <si>
    <t>Extra Damage, Shapechanging</t>
  </si>
  <si>
    <t>As a bonus action, the [MON] can change its size. This trait works like the enlarge/reduce spell, except it deals [#dX] extra damage when enlarged and [#dX] less damage when reduced.</t>
  </si>
  <si>
    <t>Root</t>
  </si>
  <si>
    <t>As a bonus action, the [MON] sends its roots deep into the ground. [DURATION], the [MON]'s speed is halved, it is immune to effects that would move it, and it can't be knocked prone.</t>
  </si>
  <si>
    <t>Quick Study</t>
  </si>
  <si>
    <t>As a reaction when a creature hits the [MON] with attack, the [MON] makes DC [SAVE_DC] Intelligence check. On a success, it gains resistance to the damage type of attack that hit it.</t>
  </si>
  <si>
    <t>Aklys Thrower</t>
  </si>
  <si>
    <t>If the [MON] hits a target within [#] ft of it with a ranged attack with its aklys, it can use its bonus action to retrieve the aklys and make another attack against the same target.</t>
  </si>
  <si>
    <t>Slowing Mud</t>
  </si>
  <si>
    <t>Coating, Speed Change</t>
  </si>
  <si>
    <t>Its speed is reduced by [#] ft as mud and muck coat it. A coated target or a creature within [#] ft of it can use an action to wipe off the mud and restore the target's normal speed.</t>
  </si>
  <si>
    <t>Dust Burst</t>
  </si>
  <si>
    <t>Nonmagical metal armor worn by the target is damaged, taking a permanent and cumulative -[#] penalty to the AC it offers. The armor is destroyed if this penalty reduces its AC to 10.</t>
  </si>
  <si>
    <t>Martial Advantage</t>
  </si>
  <si>
    <t>Once per turn, the [MON] can deal an extra [#dX] damage when it hits a target with a weapon attack if that creature is within [#] ft of an ally of the [MON] that isn't incapacitated.</t>
  </si>
  <si>
    <t>The [MON] can mimic the sounds and voice of its assumed form. A creature that hears these sounds must succeed on a DC [SAVE_DC] Wisdom (Insight) check to identify them as imitations.</t>
  </si>
  <si>
    <t>The [MON] can pinpoint, by scent, the location of precious metals, gemstones, and jewelry within [#] ft of it and can sense the general direction to such objects within 1 mile of it.</t>
  </si>
  <si>
    <t>Blinding Veil</t>
  </si>
  <si>
    <t>The [MON] expels a cloud of intensified mist, heavily obscuring everything within [#] ft of it. The mist thins back to lightly obscuring the area at the end of the [MON]'s next turn.</t>
  </si>
  <si>
    <t>Strong Winds</t>
  </si>
  <si>
    <t>The [MON] has advantage on attack rolls against a creature if a friendly air elemental, wind demon, or similar creature of air is within [#] ft of the target and isn't incapacitated.</t>
  </si>
  <si>
    <t>Feybane Weapons</t>
  </si>
  <si>
    <t>The [MON]'s weapons are cold iron and are magical when used against fey. When it hits a fey with any weapon, the weapon's damage type is [DMG_TYPE] instead of its normal damage type.</t>
  </si>
  <si>
    <t>Force (Other)</t>
  </si>
  <si>
    <t>Rampage</t>
  </si>
  <si>
    <t>When the [MON] reduces a creature to 0 hit points with a melee attack on its turn, the [MON] can take a bonus action to move up to half its speed and make an additional melee attack.</t>
  </si>
  <si>
    <t>Mental Disadvantage and Nonreactive Charm</t>
  </si>
  <si>
    <t>Charm Effect, Disadvantage, Nonreactive</t>
  </si>
  <si>
    <t>While charmed in this way, a creature can't take bonus actions or reactions, and it must make all Intelligence, Wisdom, and Charisma skill checks and saving throws with disadvantage.</t>
  </si>
  <si>
    <t>Removing Adhered Creatures</t>
  </si>
  <si>
    <t>A creature can take its action to remove one creature from the [MON] by succeeding on a DC [SAVE_DC] Strength check. As a bonus action, the [MON] can release one creature stuck to it.</t>
  </si>
  <si>
    <t>Reality Adjacent</t>
  </si>
  <si>
    <t>Roiling Elements</t>
  </si>
  <si>
    <t>At the start of each of the [MON]'s turns, it chooses one of the following damage types: acid, cold, fire, lightning, or thunder. It has immunity to the chosen damage type [DURATION].</t>
  </si>
  <si>
    <t>Resave if Harm is Witnessed</t>
  </si>
  <si>
    <t>Each time a charmed creature witnesses the [MON] or its allies do something harmful to it or its companions, it can repeat this saving throw, ending the effect on itself on a success.</t>
  </si>
  <si>
    <t>First Roar: A creature that fails the saving throw is frightened [DURATION]. It can repeat this saving throw at the end of each of its turns, ending the effect on itself on a success.</t>
  </si>
  <si>
    <t>Six Random Outcomes</t>
  </si>
  <si>
    <t>suffers a random effect [DURATION]. Roll a d6 to determine the effect: (1) It [OUTCOME].; (2) It [OUTCOME].; (3) It [OUTCOME].; (4) It [OUTCOME].; (5) It [OUTCOME].; (6) It [OUTCOME].</t>
  </si>
  <si>
    <t>Vaulting Leap</t>
  </si>
  <si>
    <t>The [MON] jumps up to [#] ft horizontally and [#] ft vertically. If it ends this movement within [#] ft of a creature, it may make a melee attack against that creature with advantage.</t>
  </si>
  <si>
    <t>Multi Grapple Damage Transfer</t>
  </si>
  <si>
    <t>While grappling one or more creatures, the [MON] takes only half the damage dealt to it (rounded down), and the other half is split evenly between all creatures grappled by the [MON].</t>
  </si>
  <si>
    <t>Concealing Snow</t>
  </si>
  <si>
    <t>As a bonus action, the [MON] sheathes itself in blowing ice and snow, causing attack rolls against it to have disadvantage. The [MON] can use this trait only if it is in snowy terrain.</t>
  </si>
  <si>
    <t>Telekinetic Shield</t>
  </si>
  <si>
    <t>As a reaction when the [MON] is hit by an attack made by a creature that it can see or sense with its Detect Alignment trait, it gains a +[#] bonus to AC against the triggering attack.</t>
  </si>
  <si>
    <t>Nonreactive, Speed Change</t>
  </si>
  <si>
    <t>can't use reactions, its speed is halved, and it can't make more than one attack on its turn. In addition, the target can take either an action or a bonus action on its turn, not both.</t>
  </si>
  <si>
    <t>Binding Witness</t>
  </si>
  <si>
    <t>Creatures that make a pact or agree to terms while the [MON] witnesses the agreement are bound by the [MON]'s magic and have disadvantage on saving throws against scrying by the [MON].</t>
  </si>
  <si>
    <t>If a consumed creature deals [#] or more damage to the [MON] in a single turn, the [MON] expels that creature, which is knocked prone in an unoccupied space within [#] ft of the [MON].</t>
  </si>
  <si>
    <t>If the [MON] takes fire damage, it catches fire, taking [#dX] [DMG_TYPE] damage at the start of each of its turns. It can use an action to extinguish itself, ending the ongoing damage.</t>
  </si>
  <si>
    <t>Telepathy</t>
  </si>
  <si>
    <t>The [MON] gains telepathy with a range of [#] ft. It can telepathically communicate with the [MON] that trained it over any distance as long as they are on the same plane of existence.</t>
  </si>
  <si>
    <t>Create Potion of Healing</t>
  </si>
  <si>
    <t>The [MON] touches a container containing 1 pint of alcohol and turns it into a potion of healing. If the potion is not consumed within [DURATION], it reverts back to its original form.</t>
  </si>
  <si>
    <t>When the [MON] uses this ability, the faint glow cast by its shell winks out. When the [MON] uses Retract, it gains one more use of this ability and its shell regains its luminescence.</t>
  </si>
  <si>
    <t>While charmed in this way, a creature can repeat this saving throw at the end of each of its turns or whenever it takes damage from the [MON], ending the effect on itself on a success.</t>
  </si>
  <si>
    <t>Thorn Vine</t>
  </si>
  <si>
    <t>Advantage, Grapple Effect, Ongoing Damage</t>
  </si>
  <si>
    <t>While grappled in this way, a creature takes [#dX] [DMG_TYPE] damage at the start of each of the [MON]'s turns, and the [MON] has advantage on attack rolls against the grappled target.</t>
  </si>
  <si>
    <t>A destroyed [MON] gains a new body in [DURATION] if its heart is intact, regaining all its hit points and becoming active again. The new body appears within [#] ft of the [MON]'s heart.</t>
  </si>
  <si>
    <t>If a berserk [MON] can see and hear its creator, the creator can use an action to try to calm it by making a DC [SAVE_DC] Persuasion check. On a success, the [MON] is no longer berserk.</t>
  </si>
  <si>
    <t>Come Together</t>
  </si>
  <si>
    <t>If the [MON] has at least 1 hit point and all of its pieces are within [#] ft of each other, the pieces can re-form as a bonus action in any space containing at least one of its pieces.</t>
  </si>
  <si>
    <t>Ice Petrification</t>
  </si>
  <si>
    <t>Petrifying, Restraining</t>
  </si>
  <si>
    <t>is restrained as it begins to turn to ice. At the end of its next turn, it can repeat this saving throw. On a success, the effect ends. On a failure, the creature is petrified into ice.</t>
  </si>
  <si>
    <t>Immolating Gaze</t>
  </si>
  <si>
    <t>takes [#dX] [DMG_TYPE] damage and catches on fire. Until a creature uses an action to smother the fire, a burning target takes [#dX] [DMG_TYPE] damage at the start of each of its turns.</t>
  </si>
  <si>
    <t>Poisoned Gifts</t>
  </si>
  <si>
    <t>Imbue Luck</t>
  </si>
  <si>
    <t>The [MON] can enchant a small gem or stone to bring good luck. If the [MON] gives this lucky stone to another creature, the bearer receives a +[#] bonus to all saving throws [DURATION].</t>
  </si>
  <si>
    <t>Movement, Obscuring</t>
  </si>
  <si>
    <t>The [MON] emits a [#] ft radius cloud of darkness. The area is heavily obscured [DURATION]. If underwater, the [MON] can use the Dash action as a bonus action after releasing the cloud.</t>
  </si>
  <si>
    <t>Brainless</t>
  </si>
  <si>
    <t>The [MON] is immune to any spell or effect that allows an Intelligence, Wisdom, or Charisma saving throw. Trying to contact or read its mind confuses the caster as the spell [DURATION].</t>
  </si>
  <si>
    <t>Distracting Flicker</t>
  </si>
  <si>
    <t>Silent Entry</t>
  </si>
  <si>
    <t>As a bonus action, the [MON] can silently unlock a door within [#] ft of it that is held shut by a mundane lock. If a door has multiple locks, only one is unlocked per use of this trait.</t>
  </si>
  <si>
    <t>Enlarged by Damage</t>
  </si>
  <si>
    <t>Each time a creature takes [#] or more [DMG_TYPE] damage from this ability, the [MON] grows in size as though affected by an enlarge/reduce spell. This increase in size lasts [DURATION].</t>
  </si>
  <si>
    <t>Denizens of the Deep</t>
  </si>
  <si>
    <t>The [MON] calls 4 reef sharks 2 swarms of quippers or 1 beast of up to CR 2 with swim speed. Arrive in [DURATION] act as [MON] allies obeying its spoken commands. Beasts stay [DURATION].</t>
  </si>
  <si>
    <t>Thunder (d6)</t>
  </si>
  <si>
    <t>Stuff of Dreams</t>
  </si>
  <si>
    <t>The [MON] is resistant to damage resulting from effects, abilities, or spells that allow an attacker to roll extra damage dice (such as a critical hit, brutal critical, or sneak attack).</t>
  </si>
  <si>
    <t>Gain the Upper Hand</t>
  </si>
  <si>
    <t>The [MON] studies one creature it can see within [#] ft of it, granting the [MON] advantage on the next attack roll it makes against the target before the start of the [MON]'s next turn.</t>
  </si>
  <si>
    <t>Boulder Spray</t>
  </si>
  <si>
    <t>A target, including the restrained creature can use an action to attempt a DC [SAVE_DC] Strength (Athletics) or Dexterity (Acrobatics) check, freeing the restrained creature on a success.</t>
  </si>
  <si>
    <t>As a reaction when a creature hits the [MON] with attack, the [MON] makes a DC [SAVE_DC] Intelligence check. On a success, the attacker has disadvantage on attack rolls against the [MON].</t>
  </si>
  <si>
    <t>Shielding Riposte</t>
  </si>
  <si>
    <t>As a reaction when a creature within the [MON]'s reach misses with a melee attack against the [MON] or a creature within [#] ft of it, the [MON] makes a melee attack against the attacker.</t>
  </si>
  <si>
    <t>Genie Lord's Favor</t>
  </si>
  <si>
    <t>As a reaction when the [MON] takes elemental damage, the [MON] can grant itself advantage on the next melee attack it makes before the end of its next turn that deals that type of damage.</t>
  </si>
  <si>
    <t>Each creature within [#] ft of the [MON] that is suffering from a disease or that has the poisoned condition has disadvantage on saving throws against the disease or poison afflicting it.</t>
  </si>
  <si>
    <t>Lesser Dispel Magic Susceptibility</t>
  </si>
  <si>
    <t>If the [MON] is targeted by dispel magic, it must succeed on a Constitution saving throw (which it makes with advantage) against the caster's spell save DC or fall unconscious [DURATION].</t>
  </si>
  <si>
    <t>Shadow Regeneration</t>
  </si>
  <si>
    <t>The [MON] regains [#] hit points at the start of its turn if it is in an area of dim light or darkness. The [MON] only dies if it starts its turn with 0 hit points and doesn't regenerate.</t>
  </si>
  <si>
    <t>While charmed in this way, a creature can repeat this saving throw at the end of any turn during which the [MON] or its allies harmed the target, ending the effect on itself on a success.</t>
  </si>
  <si>
    <t>While charmed in this way, a creature must take Dash action and move toward the [MON] by safest available route on each of its turns, trying to get within [#] ft of the [MON] to mount it.</t>
  </si>
  <si>
    <t>Grand Composition</t>
  </si>
  <si>
    <t>Disadvantage, Silencing</t>
  </si>
  <si>
    <t>While the [MON] occupies another creature's space, that creature has disadvantage on Constitution saving throws to maintain concentration, and it can't cast spells with verbal components.</t>
  </si>
  <si>
    <t>Quadrupedal Dash</t>
  </si>
  <si>
    <t>As a bonus action, the [MON] can move up to [#] ft without provoking opportunity attacks. It can't use this trait if it is wielding a weapon or holding an object weighing more than 10 lbs.</t>
  </si>
  <si>
    <t>Hesitation</t>
  </si>
  <si>
    <t>As a reaction when a creature the [MON] can see attacks it [MON] can force creature to roll d6 subtracting result from attack. If this causes attack to miss attacker is stunned [DURATION].</t>
  </si>
  <si>
    <t>Bonded Savior</t>
  </si>
  <si>
    <t>As a reaction when the [MON]'s bonded ward takes damage, the [MON] can transfer the damage to itself instead. The [MON] can't benefit from resistance or immunity to the transferred damage.</t>
  </si>
  <si>
    <t>Distending Maw</t>
  </si>
  <si>
    <t>Like snakes, the [MON]s can open their mouths far wider than other creatures of similar size. This ability grants it a formidable bite and allows it to swallow creatures up to Medium size.</t>
  </si>
  <si>
    <t>Discordant Drone</t>
  </si>
  <si>
    <t>The [MON] emits a constant hum that disrupts other sounds around it. Creatures within [#] ft of the [MON] can't hear each other's spoken words and can't cast spells with verbal components.</t>
  </si>
  <si>
    <t>Speed Time</t>
  </si>
  <si>
    <t>The [MON]'s speed and flying speed are doubled, opportunity attacks against it are made with disadvantage, and it can make one additional attack when it takes the Attack action [DURATION].</t>
  </si>
  <si>
    <t>Curse of the Grave</t>
  </si>
  <si>
    <t>While cursed in this way, a creature has disadvantage on the next two death saves it makes in the next [DURATION]. Curse lasts until cursed creature has made two death saves or [DURATION].</t>
  </si>
  <si>
    <t>Wish</t>
  </si>
  <si>
    <t>Once per [DURATION] the [MON] can cast wish for a mortal using no material components. Before doing so it will demand that the mortal commit a terribly evil act or make a painful sacrifice.</t>
  </si>
  <si>
    <t>Stitch</t>
  </si>
  <si>
    <t>The [MON] repairs a single break or tear in an object it touches, leaving no trace of the former damage. If the [MON] uses this feature on a creature, the creature regains [#dX] hit points.</t>
  </si>
  <si>
    <t>Blood Reservoir</t>
  </si>
  <si>
    <t>The [MON] stores drained blood within itself. Each time it causes blood loss to a creature its Blood Reservoir increases by amount equal to hit points of blood it drained from the creature.</t>
  </si>
  <si>
    <t>Blood Spurt</t>
  </si>
  <si>
    <t>Piercing (Other), Slashing (Other), Acid (d6)</t>
  </si>
  <si>
    <t>While shapeshifted its statistics are the same except that it can't use Constrict and Shielding Wing and it may gain a swim speed of 60 or lose its fly speed if appropriate to its new form.</t>
  </si>
  <si>
    <t>Corral</t>
  </si>
  <si>
    <t>Tusk Swipe</t>
  </si>
  <si>
    <t>As a reaction when a creature hits the [MON] with a melee weapon attack, the [MON] can make one melee attack against the creature. The [MON] must see the attacker and be within [#] ft of it.</t>
  </si>
  <si>
    <t>Frosty Aid</t>
  </si>
  <si>
    <t>As a reaction when an allied [MON] within [#] ft of it is reduced to 0 hit points, the [MON] can choose to reduce its hit points by [#dX], and the ally regains an equal number of hit points.</t>
  </si>
  <si>
    <t>Healing Leech</t>
  </si>
  <si>
    <t>If a creature within [#] ft of the [MON] regains hit points from a spell or a magical effect, the creature gains only half the normal number of hit points and the [MON] gains the other half.</t>
  </si>
  <si>
    <t>If the [MON] has a phylactery, a destroyed [MON] gains a new body in [DURATION], regaining all its hit points and becoming active again. The new body appears within [#] ft of the phylactery.</t>
  </si>
  <si>
    <t>Superior Evasion</t>
  </si>
  <si>
    <t>If the [MON] is subjected to an effect that allows it to make a saving throw to take only half damage, it instead takes no damage if it succeeds on the save and only half damage if it fails.</t>
  </si>
  <si>
    <t>Hallucinate Enemies</t>
  </si>
  <si>
    <t>sees enemies everywhere [DURATION]. On its turn, the target must use its action to make a melee attack against the closest creature other than the [MON], moving up to its speed if necessary.</t>
  </si>
  <si>
    <t>Darkness</t>
  </si>
  <si>
    <t>Ill Fortune Hex</t>
  </si>
  <si>
    <t>The [MON] is able to divine a cursed creature's activities. Whenever the target attempts a long-duration task, such as a craft or downtime activity, the [MON] can cause the activity to fail.</t>
  </si>
  <si>
    <t>Sense Destroyer</t>
  </si>
  <si>
    <t>The [MON] knows the direction and distance to the creature that performed the killing blow on the [MON] that created the [MON], as long as the two of them are on the same plane of existence.</t>
  </si>
  <si>
    <t>Bonus Action Attack, Pulling</t>
  </si>
  <si>
    <t>The [MON] pulls one creature caught in its web up to [#] ft straight toward it. If the target is within [#] ft of the [MON], the [MON] can make one melee attack against it as a bonus action.</t>
  </si>
  <si>
    <t>The first time the [MON] enters a creature's space on a turn, that creature takes [#dX] [DMG_TYPE] damage, cold damage, fire damage, lightning damage, or thunder damage (the [MON]'s choice).</t>
  </si>
  <si>
    <t>Distracting Cacophony</t>
  </si>
  <si>
    <t>Rebirth</t>
  </si>
  <si>
    <t>If a [MON] is slain, a new patch of the [MON]s will grow in the same spot starting within a week of its death. Charring or salting the ground where a [MON] was slain prevents this resurgence.</t>
  </si>
  <si>
    <t>Surprise Bite</t>
  </si>
  <si>
    <t>If the [MON] surprises a creature and hits it with a bite attack during the first round of combat, the target has disadvantage on its saving throw against the rage caused by the [MON]'s bite.</t>
  </si>
  <si>
    <t>Fire Weakness</t>
  </si>
  <si>
    <t>If the [MON] takes fire damage, it can't use Yeast Slurry on its next turn. In addition if [MON] fails a save against a spell or magical effect that deals fire it becomes poisoned [DURATION].</t>
  </si>
  <si>
    <t>Absorb Shattered Potion</t>
  </si>
  <si>
    <t>If the target is holding or carrying one or more healing potions, there is a 25 percent chance one potion shatters, allowing the [MON] to absorb it and be healed for the corresponding amount.</t>
  </si>
  <si>
    <t>Divine Command</t>
  </si>
  <si>
    <t>The [MON] chooses a creature it can see within its Aura of Draconic Virtue and directs a [MON] within aura to attack target. The [MON] can make one weapon attack against target as a reaction.</t>
  </si>
  <si>
    <t>Aligned Telepathy</t>
  </si>
  <si>
    <t>Using telepathy, a [MON] can communicate with any creature within [#] ft of it that shares its alignment. This communication is primarily through images and emotions rather than actual words.</t>
  </si>
  <si>
    <t>Supernova</t>
  </si>
  <si>
    <t>Point Blank Hunter</t>
  </si>
  <si>
    <t>When the [MON] makes a ranged attack, it doesn't have disadvantage on the attack roll from being within [#] ft of a hostile creature, though it may still have disadvantage from other sources.</t>
  </si>
  <si>
    <t>Attachment Effect, Ongoing Damage, Suffocating</t>
  </si>
  <si>
    <t>While attached to a creature, at the start of each of the [MON]'s turns, that creature takes [#dX] [DMG_TYPE] damage and is suffocating as it breathes in the poisonous gases within the [MON].</t>
  </si>
  <si>
    <t>A creature that casts a spell while it is within [#] ft of the [MON] must make a DC [SAVE_DC] spellcasting ability check. On a failure, the spell isn't cast, and the spell slot isn't expended.</t>
  </si>
  <si>
    <t>Save at End of Turn or Damage</t>
  </si>
  <si>
    <t>Chilling Howl</t>
  </si>
  <si>
    <t>As a bonus action on its first turn of combat, the [MON] howls, emitting an unnatural and eerie cacophony that chills the blood. All creatures within [#] ft of it that hear the howl [OUTCOME].</t>
  </si>
  <si>
    <t>Between the Lines</t>
  </si>
  <si>
    <t>Shapechanging, Speed Change</t>
  </si>
  <si>
    <t>As a bonus action while within [#] ft of its book, the [MON] can hop inside its book. While inside its book, the [MON] has a flying speed of [#] ft and is indistinguishable from ink on a page.</t>
  </si>
  <si>
    <t>Quick Switch</t>
  </si>
  <si>
    <t>As a reaction when the [MON] is hit by an attack, it teleports, switching places with a goblin ally within [#] ft of it. The [MON] ally is hit by the triggering attack and suffers its effects.</t>
  </si>
  <si>
    <t>Shapechanger Sensitivity</t>
  </si>
  <si>
    <t>The [MON] has advantage on Intelligence (Investigation) and Wisdom (Insight) checks to determine if a creature is a shapechanger. It automatically succeeds when the shapechanger is a werewolf.</t>
  </si>
  <si>
    <t>The [MON] must drink at least 1 pint of fresh blood or milk every [DURATION] or it suffers one level of exhaustion. Each pint of blood or milk the [MON] drinks removes one level of exhaustion.</t>
  </si>
  <si>
    <t>While poisoned in this way, a creature must repeat this saving throw at the end of each of its turns, taking [#dX] [DMG_TYPE] damage on a failure, and ending the effect on itself on a success.</t>
  </si>
  <si>
    <t>Pridelord's Roar</t>
  </si>
  <si>
    <t>Each [MON] of the [MON]'s choice that is within [#] ft of it and can hear it can immediately use its reaction to make a melee attack. The [MON] can then make one melee attack as a bonus action.</t>
  </si>
  <si>
    <t>Master of Undeath</t>
  </si>
  <si>
    <t>humanoid it kills or undead it controls rises in [DURATION] as skeleton/zombie (the [MON]'s choice) unless humanoid restored to life or body destroyed. Max 20 total under its control at a time.</t>
  </si>
  <si>
    <t>Familiar</t>
  </si>
  <si>
    <t>The [MON] can communicate telepathically with its master while they are within 1 mile of each other. When the [MON] is within [#] ft of its master, its master shares its Magic Resistance trait.</t>
  </si>
  <si>
    <t>Protective Frenzy</t>
  </si>
  <si>
    <t>The [MON] has advantage on attack rolls against any creature that damaged its tree [DURATION] after the tree takes damage, and when it hits such a creature with an attack, the target [OUTCOME].</t>
  </si>
  <si>
    <t>Poisonous Vapors</t>
  </si>
  <si>
    <t>Poison (d12)</t>
  </si>
  <si>
    <t>Zombie Keeper</t>
  </si>
  <si>
    <t>Communication, Summoning</t>
  </si>
  <si>
    <t>Zombies created by a [MON]'s Flesh Wound and Hurl Flesh share a telepathic link with it, are under its control, are immune to necrotic damage, and act immediately and on the [MON]'s initiative.</t>
  </si>
  <si>
    <t>Save at Start of Turn or Damage</t>
  </si>
  <si>
    <t>Bog Rot</t>
  </si>
  <si>
    <t>Advantage, Infection Effect</t>
  </si>
  <si>
    <t>After [DURATION], an infected creature's skin starts to smell like rot, and creatures have advantage on Wisdom (Perception) and Wisdom (Survival) checks to find the infected creature [DURATION].</t>
  </si>
  <si>
    <t>Season's Change</t>
  </si>
  <si>
    <t>If a [MON] (or its host) takes at least 10 fire damage, it also gains the effect of a haste spell [DURATION]. If it takes at least 10 cold damage, it gains the effect of a slow spell [DURATION].</t>
  </si>
  <si>
    <t>The [MON] can choose to transform only part of its body with this action, allowing it to sprout rabbit-like ears or a humanoid head. These changes are purely cosmetic and don't alter statistics.</t>
  </si>
  <si>
    <t>Scholar of the Ages</t>
  </si>
  <si>
    <t>The [MON] has a [#dX] expertise die that it adds to Intelligence checks made to recall lore. If it fails such a roll, it can expend one use of its Legendary Resistance to treat the roll as a 20.</t>
  </si>
  <si>
    <t>One with Wind</t>
  </si>
  <si>
    <t>The [MON] is immune to the effects of magical and natural wind, including effects that would force it to move, impose disadvantage on Wisdom (Perception) checks, or force it to land when flying.</t>
  </si>
  <si>
    <t>Recall Harpoon</t>
  </si>
  <si>
    <t>Betraying Carbuncle</t>
  </si>
  <si>
    <t>The [MON] transforms into a gemstone worth 500 gp, or back into its true form. It radiates magic in this form, but it can't be destroyed. It is fully aware and can see and hear its surroundings.</t>
  </si>
  <si>
    <t>As a reaction when a creature attacks the [MON] or a target within [#] ft of it, the [MON] imposes disadvantage on that attack. To do so, the [MON] must see the attacker and be wielding a shield.</t>
  </si>
  <si>
    <t>Stench Spray</t>
  </si>
  <si>
    <t>Area, Coating, Poisoning</t>
  </si>
  <si>
    <t>exudes a horrible stench [DURATION]. While a creature exudes this stench it and any creature within [#] ft of it are poisoned. A creature can remove the stench on itself by bathing during a rest.</t>
  </si>
  <si>
    <t>Consume Heart</t>
  </si>
  <si>
    <t>The [MON] consumes the heart of a dead humanoid or giant within [#] ft of it. If the creature died less than [DURATION] ago, the [MON]'s maximum and current hit points increase by [#] [DURATION].</t>
  </si>
  <si>
    <t>Not One Step Back!</t>
  </si>
  <si>
    <t>The [MON] grants one ally within [#] ft of it the Bring It Down reaction [DURATION], allowing the target to make an opportunity attack if a [MON] deals damage to a creature in the target's reach.</t>
  </si>
  <si>
    <t>Spawn Headling</t>
  </si>
  <si>
    <t>The severed head of a [MON] grows into a [MON] headling [DURATION] after being separated from the body. Smearing at least a pound of salt on the severed head's stump prevents this transformation.</t>
  </si>
  <si>
    <t>While cursed in this way, a creature automatically fails saving throws against the [MON]'s charm person, geas, and scrying spells, and the [MON] can cast control weather centered on the creature.</t>
  </si>
  <si>
    <t>A creature that touches the [MON], starts its turn in the [MON]'s space, or hits the [MON] with a melee attack while within [#] ft of it takes [#dX] [DMG_TYPE] damage plus [#dX] [DMG_TYPE] damage.</t>
  </si>
  <si>
    <t>Fire (d4), Radiant (d4)</t>
  </si>
  <si>
    <t>Oracle of the Coast</t>
  </si>
  <si>
    <t>By submerging itself in a body of water and spending [DURATION] in concentration, the [MON] can cast scrying, requiring no components. The scrying orb appears in a space in the same body of water.</t>
  </si>
  <si>
    <t>Midas Breath</t>
  </si>
  <si>
    <t>Area, Coating, Speed Change</t>
  </si>
  <si>
    <t>has its speed halved by gold that coats its body [DURATION]. The gold produced by this ability can be collected once it has cooled, providing roughly [#] gp worth of gold dust per coated creature.</t>
  </si>
  <si>
    <t>Diving Head Slam</t>
  </si>
  <si>
    <t>If the [MON] is flying and moves at least [#] ft straight toward a target and then hits it with a head slam attack on the same turn, the [MON] can use Tremor as a bonus action, if it is available.</t>
  </si>
  <si>
    <t>Softened Earth</t>
  </si>
  <si>
    <t>Disarm Instead of Damage</t>
  </si>
  <si>
    <t>Slowing Breath</t>
  </si>
  <si>
    <t>is unable to use reactions, its speed is halved, and it can't make more than one attack on its turn. In addition, the creature can use either an action or a bonus action on its turn, but not both.</t>
  </si>
  <si>
    <t>Resave if Lucid</t>
  </si>
  <si>
    <t>Confusion Ending</t>
  </si>
  <si>
    <t>On turns when a confused creature can act normally (rolls 9 or 10 for the confusion effect), it can repeat this saving throw at the end of its turn, and the effect ends early on a successful save.</t>
  </si>
  <si>
    <t>Acid Sacs</t>
  </si>
  <si>
    <t>Bludgeoning (Other), Piercing (Other), Slashing (Other), Acid (d4)</t>
  </si>
  <si>
    <t>Rock Catching</t>
  </si>
  <si>
    <t>Blur</t>
  </si>
  <si>
    <t>Creatures have disadvantage on attack rolls against the [MON]. An attacker is immune to this effect if it doesn't rely on sight, as with blindsight, or can see through illusions, as with truesight.</t>
  </si>
  <si>
    <t>Overeager Trainee</t>
  </si>
  <si>
    <t>If the [MON] starts its turn within [#] ft of another [MON], it has advantage on all melee weapon attack rolls it makes during that turn, but attack rolls against it also have advantage [DURATION].</t>
  </si>
  <si>
    <t>Etherealize</t>
  </si>
  <si>
    <t>is shifted to the Ethereal Plane [DURATION]. A creature shifted to the Ethereal Plane can repeat this saving throw at the end of each of its turns, shifting back to the Material Plane on a success.</t>
  </si>
  <si>
    <t>Death Strike</t>
  </si>
  <si>
    <t>Mount, Toppling</t>
  </si>
  <si>
    <t>Strike from Shadow</t>
  </si>
  <si>
    <t>Extra Damage, Light</t>
  </si>
  <si>
    <t>The reach of this attack increases by [#] ft and its damage increases by [#dX] when both the [MON] and the target of the attack are in dim light or darkness and the [MON] is hidden from its target.</t>
  </si>
  <si>
    <t>Disappearing Grapple</t>
  </si>
  <si>
    <t>Grapple Effect, Invisible, Silencing</t>
  </si>
  <si>
    <t>Grapple Ending, Limbs</t>
  </si>
  <si>
    <t>A limb can be targeted individually by an attack, although it shares the [MON]'s hit points. If [#] damage is dealt to the limb in one hit while it is grappling a creature, it releases the creature.</t>
  </si>
  <si>
    <t>Traveler</t>
  </si>
  <si>
    <t>As a bonus action, the [MON] folds the fabric of reality to teleport itself to an unoccupied space it can see within [#] ft of it. A brief shimmer of starlight appears at the origin and destination.</t>
  </si>
  <si>
    <t>Aching Venom</t>
  </si>
  <si>
    <t>Flying Charge</t>
  </si>
  <si>
    <t>Emergency Flare</t>
  </si>
  <si>
    <t>Beasts of the Forest</t>
  </si>
  <si>
    <t>The [MON] calls 2d4 hawks or ravens or it calls 1 black bear or wolf. Called creatures arrive in [DURATION] acting as allies of brownie and obeying its spoken commands. The beasts remain [DURATION].</t>
  </si>
  <si>
    <t>If the [MON] isn't blinded, creatures attacking it can't benefit from traits and features that rely on a creature's allies distracting or surrounding the [MON], such as Pack Tactics or Sneak Attack.</t>
  </si>
  <si>
    <t>Thief's Tools</t>
  </si>
  <si>
    <t>The [MON] has proficiency with thief's tools and is seldom without them. If its tools are taken away or lost, it can cobble together a new set from wire, bits of metal, and other junk in [DURATION].</t>
  </si>
  <si>
    <t>Aura of Distrust</t>
  </si>
  <si>
    <t>The [MON] radiates a psychic aura that causes creatures to doubt intentions of their friends. Each creature within [#] ft of the [MON] that isn't a fiend has disadvantage on Wisdom (Insight) checks.</t>
  </si>
  <si>
    <t>Curse of the Wanderer</t>
  </si>
  <si>
    <t>Curse Effect, Speed Change, Unhealable</t>
  </si>
  <si>
    <t>While cursed in this way, a creature's speed is halved and it can't regain hit points. For every [DURATION] it goes without discovering or learning new information, it takes [#dX] [DMG_TYPE] damage.</t>
  </si>
  <si>
    <t>A creature that touches the [MON] or hits it with melee attack while within [#] ft of it takes [#dX] [DMG_TYPE] damage, cold damage, fire damage, lightning damage, or thunder damage ([MON]'s choice).</t>
  </si>
  <si>
    <t>Praising Brays</t>
  </si>
  <si>
    <t>As a bonus action, the [MON] shouts praise to three [MON]s within [#] ft of it. Each target has advantage on the first ability check or attack roll it makes before the start of the [MON]'s next turn.</t>
  </si>
  <si>
    <t>Chuckle</t>
  </si>
  <si>
    <t>Disadvantage, Magic Disrupting, Silencing</t>
  </si>
  <si>
    <t>begins chuckling [DURATION]. While chuckling, a creature can't speak coherently, can't cast spells with verbal components, and has disadvantage on attacks with weapons that use Strength or Dexterity.</t>
  </si>
  <si>
    <t>Strike with Awe</t>
  </si>
  <si>
    <t>Creatures within [#] ft of an immobile the [MON] suffer disadvantage on Wisdom (Perception) checks. A creature's sheer glee on discovering a vast hoard of treasure distracts it from its surroundings.</t>
  </si>
  <si>
    <t>Master Tactician</t>
  </si>
  <si>
    <t>The [MON] and any allies within [#] ft of it have advantage on attack rolls against a creature if at least one of the [MON]'s allies is within [#] ft of the creature and the ally isn't incapacitated.</t>
  </si>
  <si>
    <t>The [MON] can mimic animal sounds, humanoid voices, and even environmental sounds. A creature that hears the sounds can tell they are imitations with a successful DC [SAVE_DC] Wisdom (Insight) check.</t>
  </si>
  <si>
    <t>Produce Potion</t>
  </si>
  <si>
    <t>The [MON] can produce one common potion, oil, tincture, or alchemical draught each day. If no creature is there to bottle or collect the substance when it is produced, it trickles away and is wasted.</t>
  </si>
  <si>
    <t>Major Surface Curse</t>
  </si>
  <si>
    <t>The [MON] takes [#dX] [DMG_TYPE] damage at the beginning of its turn if it is exposed to direct moonlight or sunlight. If this damage reduces the [MON] to 0 hit points, it dies and turns to moondust.</t>
  </si>
  <si>
    <t>Reality Inversion</t>
  </si>
  <si>
    <t>When a creature starts its turn in the [MON]'s space or within [#] ft of it, any circumstance, trait, or feature that would grant it advantage instead grants disadvantage, and vice versa, [DURATION].</t>
  </si>
  <si>
    <t>Disadvantage, Infection Effect, Magic Disrupting</t>
  </si>
  <si>
    <t>While infected in this way, a creature has disadvantage on Constitution saving throws to maintain concentration on a spell and disadvantage on Dexterity and Charisma ability checks and saving throws.</t>
  </si>
  <si>
    <t>Command Bodyguard</t>
  </si>
  <si>
    <t>As a reaction when the [MON] would be hit by an attack, it commands an ally within [#] ft of it to use its reaction to switch places with the [MON]. The ally is hit by the attack instead of the [MON].</t>
  </si>
  <si>
    <t>False Death</t>
  </si>
  <si>
    <t>If the [MON] is reduced to 0 hit points by damage that isn't [DMG_TYPE] or from a critical hit, it is instead reduced to 1 hit point, is knocked prone, and is stunned [DURATION], appearing to be dead.</t>
  </si>
  <si>
    <t>Cavalry Charge</t>
  </si>
  <si>
    <t>Bonus Action Attack, Mount, Movement</t>
  </si>
  <si>
    <t>If the [MON] moves at least [#] ft straight toward a target while mounted and then hits with a melee attack on the same turn, its mount can make a melee attack against that creature as a bonus action.</t>
  </si>
  <si>
    <t>Rushing Slam</t>
  </si>
  <si>
    <t>If the [MON] moves at least [#] ft straight toward the target before making this attack, it can make an additional attack against a second creature within [#] ft of the first target as a bonus action.</t>
  </si>
  <si>
    <t>Shadow Jump</t>
  </si>
  <si>
    <t>The [MON] travels between shadows as if by means of a dimension door spell. This magical transport must begin and end in an area of dim light or darkness, and the distance must be no more than [#] ft.</t>
  </si>
  <si>
    <t>Charming Touch</t>
  </si>
  <si>
    <t>The effect ends if the charmed creature takes damage. The [MON] can have only one creature at a time charmed with this ability. If it charms a new creature, the previous charm effect ends immediately.</t>
  </si>
  <si>
    <t>Slick Spittle</t>
  </si>
  <si>
    <t>By spending [DURATION] dribbling spittle on an area, a [MON] can cover a [#] ft square with its slippery saliva. This area is treated as if under the effects of a grease spell, but it lasts [DURATION].</t>
  </si>
  <si>
    <t>If the [MON] is reduced to 0 hit points, it erupts in a burst of flame. Each creature within [#] ft of it takes [#dX] [DMG_TYPE] damage and the [MON] regains hit points equal to the total damage taken.</t>
  </si>
  <si>
    <t>Banded Claw</t>
  </si>
  <si>
    <t>Incinerating Knockout</t>
  </si>
  <si>
    <t>The body of a creature slain by this attack turns to ash, along with any nonmagical items it was wearing or carrying. The creature can be restored to life only by means of a resurrection or wish spell.</t>
  </si>
  <si>
    <t>Blood Toxicity</t>
  </si>
  <si>
    <t>Unsettling Drone</t>
  </si>
  <si>
    <t>Aura, Incapacitating</t>
  </si>
  <si>
    <t>Planar Commander</t>
  </si>
  <si>
    <t>As a bonus action, the [MON] commands an angel, elemental, or fiend ally within [#] ft of it to use a reaction to make one attack against a creature that dealt damage to the [MON] in the previous round.</t>
  </si>
  <si>
    <t>Unquiet Spirit</t>
  </si>
  <si>
    <t>If defeated in combat, the [MON] returns on the anniversary of its death. It can be put to rest permanently by finding and casting remove curse on its grave or by righting whatever wrong was done to it.</t>
  </si>
  <si>
    <t>The [MON] can change between winged celestial form, its original mortal form, and that of a Medium-sized eagle. Its statistics are the same in each form, with the exception of its attacks in eagle form.</t>
  </si>
  <si>
    <t>Seal the Doom</t>
  </si>
  <si>
    <t>Void Regeneration</t>
  </si>
  <si>
    <t>If a [MON] is reduced to 0 hit points while it is still capable of regenerating, its body dissipates into vapor and reforms [DURATION] later somewhere in the Void. Otherwise, it is permanently destroyed.</t>
  </si>
  <si>
    <t>Eternal Unlife</t>
  </si>
  <si>
    <t>If the [MON] dies, the [MON] reverts into a pile of necrotic-tainted ooze and is reborn in [DURATION] with all of its hit points. Only killing it with radiant damage prevents this trait from functioning.</t>
  </si>
  <si>
    <t>If the [MON] spends at least [DURATION] conversing with a humanoid, that creature has disadvantage on saving throws against the [MON]'s enchantment spells and other abilities that would charm the target.</t>
  </si>
  <si>
    <t>Winter Form</t>
  </si>
  <si>
    <t>In this form, it has a flying speed of [#] ft, immunity to the grappled, petrified, prone, and restrained conditions, and resistance to bludgeoning, piercing, and slashing damage from nonmagical attacks.</t>
  </si>
  <si>
    <t>Steal or Disarm Instead of Damage</t>
  </si>
  <si>
    <t>Instead of dealing damage, the [MON] can steal one item the target is wearing or carrying, provided that the item weighs no more than [#] pounds and isn't wrapped around or firmly attached to the target.</t>
  </si>
  <si>
    <t>Call the Dead</t>
  </si>
  <si>
    <t>The [MON] animates one humanoid corpse within [#] ft of it. This works like the animate dead spell, except it only creates zombies and the zombies. The [MON] can control up to twenty zombies at one time.</t>
  </si>
  <si>
    <t>The [MON] can't move more than [#] ft away from the creature that it is psychically linked to. It begins existence bound to its creator, but a free [MON] can bind itself to another creature as an action.</t>
  </si>
  <si>
    <t>Boggy Presence</t>
  </si>
  <si>
    <t>The [MON] transmutes ground in [#] ft radius centered on it into a muddy soup [DURATION]. For the duration any creature other than [MON] moving through area must spend 4 ft of movement per 1 ft it moves.</t>
  </si>
  <si>
    <t>Cloaked Mind</t>
  </si>
  <si>
    <t>Shrinking Fear</t>
  </si>
  <si>
    <t>While frightened in this way, a creature believes it has shrunk to half its normal size. All attacks against the creature deal an extra [#dX] [DMG_TYPE] damage, and the creature's attacks do half damage.</t>
  </si>
  <si>
    <t>Rat Absorption</t>
  </si>
  <si>
    <t>As a reaction when the [MON] does damage to a rat or rat swarm, it can absorb the rat, or part of the swarm, into its own mass. The [MON] regains hit points equal to the damage it did to the rat or swarm.</t>
  </si>
  <si>
    <t>Planar Attunement</t>
  </si>
  <si>
    <t>At the start of each of the [MON]'s turns, it chooses one of the following damage types: acid, cold, fire, lightning, necrotic, radiant, or thunder. It has resistance to the chosen damage type [DURATION].</t>
  </si>
  <si>
    <t>Shadow Spawning Curse</t>
  </si>
  <si>
    <t>If a cursed creature dies, an undead shadow rises from the corpse in [DURATION], the corpse no longer casts a natural shadow, and the target can't be raised from the dead until the new [MON] is destroyed.</t>
  </si>
  <si>
    <t>Molten Spit</t>
  </si>
  <si>
    <t>Molten gold pools in a [#] ft square occupied by the target and remains hot [DURATION]. A creature that starts its turn in the gold or enters it for the first time on a turn takes [#dX] [DMG_TYPE] damage.</t>
  </si>
  <si>
    <t>The [MON] can transmit simple messages and images to any creature within [#] ft of it that can understand a language. This form of telepathy doesn't allow the receiving creature to telepathically respond.</t>
  </si>
  <si>
    <t>Obscuring Smoke</t>
  </si>
  <si>
    <t>After doing so, the [MON] is surrounded by a [#] ft radius sphere of smoke, which heavily obscures the area [DURATION]. A wind of moderate or greater speed (at least 10 miles per hour) disperses the smoke.</t>
  </si>
  <si>
    <t>Befouling Presence</t>
  </si>
  <si>
    <t>All normal plant life and liquid in the same space as a [MON] at the end of the [MON]'s turn is blighted and cursed. Normal vegetation dies in [DURATION]. Unattended liquids become noxious and undrinkable.</t>
  </si>
  <si>
    <t>Sacrifice Replica</t>
  </si>
  <si>
    <t>As a reaction when a creature the [MON] can see targets it with an attack, the [MON] can force a replica within [#] ft of it to jump in the way. The chosen replica becomes the target of the attack instead.</t>
  </si>
  <si>
    <t>Redirect Attack</t>
  </si>
  <si>
    <t>As a reaction when a creature the [MON] can see targets it with an attack, the [MON] chooses an ally within [#] ft of it. The [MON] and the ally swap places, and the chosen ally becomes the target instead.</t>
  </si>
  <si>
    <t>Retreat</t>
  </si>
  <si>
    <t>As a reaction when the [MON] would be hit by a melee attack, the [MON] can move 5 ft away from the attacker. If this moves the [MON] out of the attackers reach, the attacker has disadvantage on its attack.</t>
  </si>
  <si>
    <t>Poisoned if Charmed</t>
  </si>
  <si>
    <t>Charm Effect, Poisoning</t>
  </si>
  <si>
    <t>If a creature casts a spell that targets the [MON] or includes the [MON] in its area of effect, the caster must succeed on a DC [SAVE_DC] spellcasting ability check or the [MON] is unaffected by the spell.</t>
  </si>
  <si>
    <t>Blood-Curdling Scream</t>
  </si>
  <si>
    <t>Self Healing, Resurrection</t>
  </si>
  <si>
    <t>If damage reduces the [MON] to 0 hit points, it becomes an inanimate tumbleweed and travels via the wind. It regains [#] hit points every [DURATION], regaining consciousness once it reaches [#] hit points.</t>
  </si>
  <si>
    <t>The [MON] can climb difficult surfaces, including upside down on ceilings and along its snare lines, without needing an ability check. The [MON] is never restrained by its own or other [MON]s' snare lines.</t>
  </si>
  <si>
    <t>The [MON] drains blood from the creature it is attached to. The creature loses [#dX] hit points. If the result of the die roll is an 8, the [MON] detaches itself and can't use this ability again [DURATION].</t>
  </si>
  <si>
    <t>Command</t>
  </si>
  <si>
    <t>The [MON] gives an order to an ally within [#] ft of it that can hear it. If the ally has a reaction available, it can use it to follow the [MON]'s order, either taking an action or moving up to its speed.</t>
  </si>
  <si>
    <t>Shoot Spines</t>
  </si>
  <si>
    <t>Area, Paralyzing</t>
  </si>
  <si>
    <t>Toxic Skin</t>
  </si>
  <si>
    <t>Spiny Defense</t>
  </si>
  <si>
    <t>Demon Food</t>
  </si>
  <si>
    <t>A demon within [#] ft of it and that isn't another the [MON] can use a bonus action to reduce the Blood Reservoir by up to 10 regaining hit points equal to that amount as it drinks blood from the reservoir.</t>
  </si>
  <si>
    <t>Vermin Breath</t>
  </si>
  <si>
    <t>Area, Summoning</t>
  </si>
  <si>
    <t>A swarm of insects (of any type) in any space appears in that area. The swarm remains [DURATION] or until it is destroyed, or [DURATION]. No more than [#] swarms of insects can be summoned at the same time.</t>
  </si>
  <si>
    <t>Cocoon Prey</t>
  </si>
  <si>
    <t>As a bonus action, a [MON] can cocoon a creature within [#] ft of it that is currently restrained by webbing. A cocooned creature has disadvantage on ability checks and saving throws made to escape the web.</t>
  </si>
  <si>
    <t>Pluck</t>
  </si>
  <si>
    <t>Hoot</t>
  </si>
  <si>
    <t>calls out to the [MON], if it can make noise. The [MON] is able to unerringly track a creature that responds to its call [DURATION], even if the creature is hidden by magic or on another plane of existence.</t>
  </si>
  <si>
    <t>Glitter Dust</t>
  </si>
  <si>
    <t>Spirit Spores</t>
  </si>
  <si>
    <t>Area, Confusing</t>
  </si>
  <si>
    <t>Touch of Forgetfulness</t>
  </si>
  <si>
    <t>Enhanced Evasion</t>
  </si>
  <si>
    <t>If the [MON] is subjected to an effect that allows it to make a saving throw to take only half damage, it instead takes no damage if it succeeds on the saving throw, and only half as much damage if it fails.</t>
  </si>
  <si>
    <t>Corpse Stride</t>
  </si>
  <si>
    <t>Once on its turn, the [MON] can use [#] ft of its movement to step into a corpse within reach and emerge from a second corpse within [#] ft of the first, appearing in an unoccupied space within [#] ft of it.</t>
  </si>
  <si>
    <t>Call Serpents</t>
  </si>
  <si>
    <t>The [MON] calls 1d6 poisonous snakes or flying snakes ([MON]'s choice). The called creatures arrive in [DURATION], acting as allies of the [MON] and obeying its spoken commands. The snakes remain [DURATION].</t>
  </si>
  <si>
    <t>The [MON] can use any piece of its mechanical body to pick locks and disarm traps, as if its entire body was made up of several sets of thieves' tools. It is proficient in using pieces of itself in this way.</t>
  </si>
  <si>
    <t>Hideous Feast</t>
  </si>
  <si>
    <t>The [MON] feeds on a corpse within [#] ft of it that is less than 1 week old. It regains [#dX] hit points per size category of the creature it consumes. This ability can't be used on a corpse more than once.</t>
  </si>
  <si>
    <t>Blindness</t>
  </si>
  <si>
    <t>Single-Minded Purpose</t>
  </si>
  <si>
    <t>The [MON] has advantage on attack rolls against followers of the [MON] it is tasked to destroy and those in its target's employ (whether or not they are aware of their employer), as well as the [MON] itself.</t>
  </si>
  <si>
    <t>Knows the Ropes</t>
  </si>
  <si>
    <t>The [MON] has proficiency with airships, sandships, or waterborne ships. It adds its proficiency bonus to any check it makes to control the chosen type of ship as well as all saving throws while on the ship.</t>
  </si>
  <si>
    <t>Flawed Spellcasting</t>
  </si>
  <si>
    <t>Whenever the [MON] tries to cast a spell, roll 1d6. On a 1, 2, or 3 on the die, the spell visibly fails and has no effect. The [MON]'s action for the turn is not wasted, but it can't be used to cast a spell.</t>
  </si>
  <si>
    <t>Spiky Hide</t>
  </si>
  <si>
    <t>Piercing (d8), Poison (d6)</t>
  </si>
  <si>
    <t>Necrophage Stench</t>
  </si>
  <si>
    <t>Divine Protection</t>
  </si>
  <si>
    <t>As a reaction when a creature makes an attack against [MON] or one of his allies within [#] ft of it, [MON] grants the target of the attack a bonus to its AC equal to the [MON]'s Charisma modifier [DURATION].</t>
  </si>
  <si>
    <t>As a reaction when an ally within [#] ft of the [MON] casts a spell that deals thunder damage, the [MON] chooses one of the spell's targets. That target has disadvantage on the saving throw against the spell.</t>
  </si>
  <si>
    <t>Weakened Regeneration</t>
  </si>
  <si>
    <t>Limitation, Self Healing</t>
  </si>
  <si>
    <t>If the [MON] has taken [DMG_TYPE] or [DMG_TYPE] damage since the start of its last turn, it regains half as many hit points; if it has taken both [DMG_TYPE] and [DMG_TYPE] damage, this trait doesn't function.</t>
  </si>
  <si>
    <t>Cold (Other), Fire (Other)</t>
  </si>
  <si>
    <t>Steal</t>
  </si>
  <si>
    <t>Study Adversary</t>
  </si>
  <si>
    <t>The [MON] studies the defenses of a creature engaged in combat. The [MON] gains advantage on all attacks and contested ability checks against that creature [DURATION] or until it studies a different creature.</t>
  </si>
  <si>
    <t>Tusk Sweep</t>
  </si>
  <si>
    <t>The [MON] teleports itself and up to three willing creatures it can see within [#] ft of it, along with any equipment they are wearing or carrying, to a location the [MON] is familiar with, up to 1 mile away.</t>
  </si>
  <si>
    <t>Ruinous Detonation</t>
  </si>
  <si>
    <t>Multiplying</t>
  </si>
  <si>
    <t>As a reaction when a [MON] is hit but not reduced to 0 hit points, it splits into two new [MON]s. Each new [MON] has [#] hit points, doesn't have this reaction, and is one size smaller than the original [MON].</t>
  </si>
  <si>
    <t>Fiendish Cunning</t>
  </si>
  <si>
    <t>As a reaction when a creature within [#] ft of it casts a spell from the cleric or paladin spell lists, the [MON] can counter the spell by succeeding on a Charisma check against a DC of 10 + the spell's level.</t>
  </si>
  <si>
    <t>Crystalize</t>
  </si>
  <si>
    <t>begins to turn to crystal and is restrained. The restrained creature must repeat this saving throw at the end of its next turn, becoming petrified on a failed save, or ending the effect on itself on a success.</t>
  </si>
  <si>
    <t>In a new form, the [MON] retains its alignment, hit points, Hit Dice, ability to speak, proficiencies, Legendary Resistance, lair actions, and Intelligence, Wisdom, and Charisma scores, as well as this action.</t>
  </si>
  <si>
    <t>Silent Glide</t>
  </si>
  <si>
    <t>The [MON] can glide [DURATION], making almost no sound. It gains a fly speed of [#] ft, and it must move at least [#] ft on its turn to keep flying. A gliding [MON] has advantage on Dexterity (Stealth) checks.</t>
  </si>
  <si>
    <t>Summon Rum Gremlins</t>
  </si>
  <si>
    <t>The [MON] lets out a thunderous belch, calling 1d4 rum gremlins. The called rum gremlins arrive in [DURATION], acting as allies of the [MON] and obeying its spoken commands. The rum gremlins remain [DURATION].</t>
  </si>
  <si>
    <t>Vicious Teleport</t>
  </si>
  <si>
    <t>The [MON] teleports, along with any equipment it is wearing or carrying, up to [#] ft to an unoccupied space it can see. Before or after teleporting, the [MON] can make one melee attack as part of this action.</t>
  </si>
  <si>
    <t>Luring Scent</t>
  </si>
  <si>
    <t>Approaching, Aura</t>
  </si>
  <si>
    <t>Beloved by the Gods</t>
  </si>
  <si>
    <t>When the [MON] dies, the deity that created it curses the creature that dealt the killing blow. This curse lasts [DURATION] or after the cursed creature completes a task of penance for the deity or its temple.</t>
  </si>
  <si>
    <t>Bloodied Rage</t>
  </si>
  <si>
    <t>While it has half its hit points or fewer, the [MON] can attack four times with its greatsword or twice with its javelin when it uses Multiattack but no longer gains the benefit of its Military Training trait.</t>
  </si>
  <si>
    <t>Ingest Magic</t>
  </si>
  <si>
    <t>Movement, Pushing, Toppling</t>
  </si>
  <si>
    <t>Damaging Desparation Topple</t>
  </si>
  <si>
    <t>Summon Storm</t>
  </si>
  <si>
    <t>If the [MON] is outside, it summons a storm. Over the next [DURATION], dark clouds gather, causing the area to be illuminated by dim light. At the end of [DURATION], a storm rages [DURATION] in a 5-mile radius.</t>
  </si>
  <si>
    <t>Brazen Bull</t>
  </si>
  <si>
    <t>To escape, a consumed creature or another creature must succeed on a DC [SAVE_DC] Strength (Athletics) check to open the boiler, freeing the target, which is knocked prone in a space within [#] ft of the [MON].</t>
  </si>
  <si>
    <t>Relentless Undeath</t>
  </si>
  <si>
    <t>When the [MON] is reduced to 0 hit points, its body turns to dust. [DURATION] later, its spirit inhabits a recently-dead humanoid corpse of its choice on the same plane of existence, awakening with 1 hit point.</t>
  </si>
  <si>
    <t>When the [MON] uses this ability, its eyes dull as it briefly loses its connection to the future. [DURATION], it can't use Foretell, Prognosticate, or Prophesy Doom, and it loses its Predictive Harmonics trait.</t>
  </si>
  <si>
    <t>Seeping Death</t>
  </si>
  <si>
    <t>Sudden Separation</t>
  </si>
  <si>
    <t>As a reaction when the [MON] takes [#] or more damage from a single attack, it can choose to immediately use Separate Malleables. If it does so, the damage is divided evenly among the separate [MON]s it becomes.</t>
  </si>
  <si>
    <t>Reflux</t>
  </si>
  <si>
    <t>Bludgeoning (Other), Acid (d6)</t>
  </si>
  <si>
    <t>Share the Pain</t>
  </si>
  <si>
    <t>As a reaction when the [MON]'s partner is hit with an attack, the [MON] can teleport to an unoccupied space within [#] ft of its partner. The damage caused by the attack is divided evenly between the two [MON]s.</t>
  </si>
  <si>
    <t>Aura, Zero Speed</t>
  </si>
  <si>
    <t>Visionary Flesh</t>
  </si>
  <si>
    <t>Petrifying Breath</t>
  </si>
  <si>
    <t>is restrained as it begins to turn to stone. At the beginning of the [MON]'s next turn, a restrained creature can repeat this saving throw. On a success, the effect ends. On a failure, the creature is petrified.</t>
  </si>
  <si>
    <t>Strength of Character</t>
  </si>
  <si>
    <t>Share Smite</t>
  </si>
  <si>
    <t>The [MON] empowers the weapon of one creature within [#] ft of it that can hear and see it [DURATION]. The first time the target hits with the weapon on a turn, the attack deals an extra [#dX] [DMG_TYPE] damage.</t>
  </si>
  <si>
    <t>Cooperative Earth Split</t>
  </si>
  <si>
    <t>Two [MON]s within [#] ft of each other can combine their actions to slam their weapons into the ground and split the earth in a [#] ft long line that is [#] ft wide, extending from one of the pair. [TGT_EFFECT].</t>
  </si>
  <si>
    <t>Frozen Aura</t>
  </si>
  <si>
    <t>Spore Release</t>
  </si>
  <si>
    <t>Ravening Hunger</t>
  </si>
  <si>
    <t>Lethal, Self Healing</t>
  </si>
  <si>
    <t>When the [MON] reduces a creature to 0 hit points with melee attack on its turn can take a bonus action to consume creature's heart. Its hit point max increases by 5 for every ten hearts it consumes in this way.</t>
  </si>
  <si>
    <t>If it has a creature grappled, the [MON] can use its movement to enter and remain in the target's space. If the grappled creature escapes, the [MON] immediately moves into an unoccupied space within [#] ft of it.</t>
  </si>
  <si>
    <t>Rollover</t>
  </si>
  <si>
    <t>Bludgeoning (d10)</t>
  </si>
  <si>
    <t>Gust</t>
  </si>
  <si>
    <t>The [MON] briefly turns into a gust of wind and moves up to its speed without provoking opportunity attacks. During this movement, it is able to pass through an opening as narrow as 1 inch wide without squeezing.</t>
  </si>
  <si>
    <t>Mountain's Awe</t>
  </si>
  <si>
    <t>Aura, Charming, Incapacitating</t>
  </si>
  <si>
    <t>Blinding Salt Spray</t>
  </si>
  <si>
    <t>The [MON] has advantage on its first attack roll each turn against a creature with the Shapechanger trait or Change Shape action, regardless of whether the [MON] was previously aware of the shapechanger's nature.</t>
  </si>
  <si>
    <t>Creatures without resistance or immunity to poison damage or the poisoned condition within [#] ft of the [MON] have disadvantage on saving throws against effects that cause poison damage or the poisoned condition.</t>
  </si>
  <si>
    <t>Infecting, Infection Effect</t>
  </si>
  <si>
    <t>Bleeding Wound</t>
  </si>
  <si>
    <t>loses [#] hit points from bleeding at the start of each of its turns [DURATION]. Bleeding damage is cumulative; the target loses [#] hit points per round for each bleeding wound it has taken from a [MON]'s attack.</t>
  </si>
  <si>
    <t>Summon Mephits</t>
  </si>
  <si>
    <t>The [MON] has a 25 percent chance of summoning 1d4 [MON]s of its kind. A summoned [MON] appears in an unoccupied space within [#] ft of its summoner, acts as an ally of its summoner, and can't summon other [MON]s.</t>
  </si>
  <si>
    <t>The [MON] psychically makes a prediction of an event up to [#] years in the future. This prediction has a [#] percent chance of being perfectly accurate and a [#] percent chance of being partially or wholly wrong.</t>
  </si>
  <si>
    <t>Steam Cloud</t>
  </si>
  <si>
    <t>When the [MON] takes [DMG_TYPE] damage, it creates a cloud of steam centered on a point it can see within [#] ft of it. This cloud works like the fog cloud spell, except the [MON] can dismiss it as a bonus action.</t>
  </si>
  <si>
    <t>Wave of Seawater</t>
  </si>
  <si>
    <t>If a consumed creature deals [#] or more damage to the [MON] in a single turn, or if the [MON] dies, the [MON] expels all consumed creatures, which are knocked prone in unoccupied spaces within [#] ft of the [MON].</t>
  </si>
  <si>
    <t>Fear Effect, Restraining</t>
  </si>
  <si>
    <t>While frightened in this way, a creature must move away from the [MON], and can only use its action to Dash. If the creature is affected by the [MON]'s Deathly Doom trait, it is restrained while frightened instead.</t>
  </si>
  <si>
    <t>Reach of the Fey</t>
  </si>
  <si>
    <t>When the [MON] casts an enchantment spell of level [#] or higher that targets only one creature, the [MON] can choose to target all creatures in a [#] ft radius centered on a point within the spell's range instead.</t>
  </si>
  <si>
    <t>Enervating Maelstrom</t>
  </si>
  <si>
    <t>A creature can enter and move through the [MON]'s space, but it must succeed on a DC [SAVE_DC] Strength (Athletics) check after each [#] ft of movement or be knocked prone and be unable to continue moving this turn.</t>
  </si>
  <si>
    <t>Rotting Breath</t>
  </si>
  <si>
    <t>A humanoid reduced to 0 hit points by this damage dies, and it rises as a [MON] and acts immediately after the [MON] in the initiative count. The new [MON] is under the control of the creature controlling the [MON].</t>
  </si>
  <si>
    <t>Unclean</t>
  </si>
  <si>
    <t>If a creature targets the [MON] with the lesser restoration spell, requiring a successful melee spell attack roll, the [MON] takes [#dX] [DMG_TYPE] damage, and can't infect targets with parasitic amoebas [DURATION].</t>
  </si>
  <si>
    <t>The [MON] can pinpoint, by scent, the location of any Small or larger ferrous metal, such as an iron deposit or steel armor, within [#] ft of it and can sense the general direction to such metal within 1 mile of it.</t>
  </si>
  <si>
    <t>The [MON] is given a quarry by its summoner. The [MON] knows the direction and distance to its quarry as long as the two of them are on the same plane of existence. The [MON] also knows the location of its summoner.</t>
  </si>
  <si>
    <t>Summon Swarm</t>
  </si>
  <si>
    <t>The [MON] summons three swarms of rats. The swarms appear immediately within [#] ft of the [MON]. They can appear in spaces occupied by other creatures. The swarms act as allies of the [MON]. They remain [DURATION].</t>
  </si>
  <si>
    <t>Crown of Water</t>
  </si>
  <si>
    <t>On the Hunt</t>
  </si>
  <si>
    <t>As a reaction when a creature the [MON] can see moves, the [MON] can move up to [#] ft toward the moving creature. If the [MON] moves within [#] ft of that creature, it can make one melee attack against the creature.</t>
  </si>
  <si>
    <t>Grapple Shield</t>
  </si>
  <si>
    <t>As a reaction when the [MON] is targeted by an attacker it can see while it is grappling a creature, the [MON] can hold the grappled creature in the way, and the grappled creature becomes the attack's target instead.</t>
  </si>
  <si>
    <t>Wind Tracker</t>
  </si>
  <si>
    <t>If given a quarry by a summoner, the [MON] knows the direction and distance to the quarry as long as they are on the same plane of existence and not sealed from each other by a barrier that doesn't allow air to pass.</t>
  </si>
  <si>
    <t>Evasion</t>
  </si>
  <si>
    <t>If the [MON] is subjected to an effect that allows it to make a Dexterity saving throw to take only half damage, the [MON] instead takes no damage if it succeeds on the saving throw, and only half damage if it fails.</t>
  </si>
  <si>
    <t>Light of the World</t>
  </si>
  <si>
    <t>The [MON]'s feathers glow with a warm light. The creature sheds light as dim as a candle or as bright as a lantern. It always sheds light, and any feathers plucked from the creature continue to shed light as a torch.</t>
  </si>
  <si>
    <t>When the [MON] takes damage from a ranged attack emits a burst of thick yellow spores that surround infested [MON] and heavily obscure area within [#] ft of it. Spores dissipate at the start of the [MON]'s next turn.</t>
  </si>
  <si>
    <t>Cursed Strike</t>
  </si>
  <si>
    <t>While cursed in this way, a creature has disadvantage on ability checks, attack rolls, or saving throws (the [MON]'s choice). Alternatively, the [MON] can choose for attack rolls against the target to have advantage.</t>
  </si>
  <si>
    <t>Aura of Draconic Virtue</t>
  </si>
  <si>
    <t>All [MON]s within [#] ft of the [MON] have advantage on attack rolls and ability checks. At the start of each of its turns, the [MON] can choose to exclude any number of the [MON]s from this aura (no action required).</t>
  </si>
  <si>
    <t>Back Spikes</t>
  </si>
  <si>
    <t>Plaintive Melody</t>
  </si>
  <si>
    <t>Death Sense</t>
  </si>
  <si>
    <t>The [MON] can pinpoint, by scent, the location of undead creatures and creatures that have been dead no longer than 1 week within [#] ft of it and can sense the general direction to such creatures within 1 mile of it.</t>
  </si>
  <si>
    <t>Toxic Secretions</t>
  </si>
  <si>
    <t>Lair, Poisoning</t>
  </si>
  <si>
    <t>Draw In</t>
  </si>
  <si>
    <t>The [MON] pulls all creatures grappled by its webbing up to [#] ft toward it. If this movement pulls the creature within [#] ft of the [MON], the [MON] can make one melee attack against the creature as a bonus action.</t>
  </si>
  <si>
    <t>Tentacle Slam</t>
  </si>
  <si>
    <t>Darken Light</t>
  </si>
  <si>
    <t>Light, Magic Disrupting</t>
  </si>
  <si>
    <t>The [MON] targets a nonmagical flame or an area of magical light created by a 2nd-level or lower spell slot within [#] ft of it. Any area of bright light created by the light source instead casts dim light [DURATION].</t>
  </si>
  <si>
    <t>Broken Silence</t>
  </si>
  <si>
    <t>The [MON]'s bell is infused with ancient and powerful magic, ensuring that all creatures know its significance. Its Bell Toll action affects even creatures that are deafened or can't otherwise hear the bell's ringing.</t>
  </si>
  <si>
    <t>Distracting Rattle</t>
  </si>
  <si>
    <t>All creatures within [#] ft of the [MON] are deafened and immune to thunder damage. This trait works like the silence spell, except the effect moves with the [MON] and persists unless it is incapacitated or [DURATION].</t>
  </si>
  <si>
    <t>Gasp to Survive</t>
  </si>
  <si>
    <t>Effect Ending, Knockout</t>
  </si>
  <si>
    <t>Aura of Pain</t>
  </si>
  <si>
    <t>If the [MON] kills a humanoid creature, the [MON] is destroyed and the humanoid it killed rises as a [MON] in [DURATION]. If remove curse is cast upon the cursed humanoid before it becomes a [MON], the curse is broken.</t>
  </si>
  <si>
    <t>Ride the Bolt</t>
  </si>
  <si>
    <t>The [MON] can travel instantly along any bolt of lightning. As a reaction when it is within [#] ft of a lightning effect, the [MON] can teleport to any unoccupied space inside or within [#] ft of that lightning effect.</t>
  </si>
  <si>
    <t>Reptilian Passivism</t>
  </si>
  <si>
    <t>The [MON] never willingly attacks any reptilian humanoid, and if forced or compelled to do so it suffers disadvantage on attack rolls. This trait disappears if the [MON] spends a month away from any reptilian humanoid.</t>
  </si>
  <si>
    <t>The [MON] pulls one creature restrained by its net up to [#] ft straight toward it. If the target is within [#] ft of the [MON] at the end of this pull, the [MON] can make one melee attack against it as a bonus action.</t>
  </si>
  <si>
    <t>Strengthened by Magic</t>
  </si>
  <si>
    <t>Whenever the [MON] successfully saves against a spell or magical effect, it gains [#dX] temporary hit points. While these temporary hit points last, the [MON]'s melee attacks deal an additional [#dX] [DMG_TYPE] damage.</t>
  </si>
  <si>
    <t>Ability Score Damage, Infection Effect</t>
  </si>
  <si>
    <t>Corrupting Visions</t>
  </si>
  <si>
    <t>Disadvantage, Knockout, Nonlethal</t>
  </si>
  <si>
    <t>A creature that is reduced to 0 hit points by this damage falls unconscious and is stable. When that creature regains consciousness, it suffers permanent hallucinations and has disadvantage on ability checks [DURATION].</t>
  </si>
  <si>
    <t>A creature that touches the [MON] or hits it with a melee attack while within [#] ft of it takes [#dX] [DMG_TYPE] damage, and the [MON] gains temporary hit points equal to that amount as it drains blood from the victim.</t>
  </si>
  <si>
    <t>Bonus Action Attack, Pulling, Toppling</t>
  </si>
  <si>
    <t>Each creature restrained by the [MON] is knocked prone and dragged up to [#] ft toward the [MON]. If a creature is dragged within [#] ft of the [MON], it can make one melee attack against the creature as a bonus action.</t>
  </si>
  <si>
    <t>Subservient Charm</t>
  </si>
  <si>
    <t>Advantage, Charm Ending</t>
  </si>
  <si>
    <t>If the [MON] requests that a charmed creature do more than tend to the creature's own needs, pay devotion to the [MON], or bring the [MON] food and gifts, the charmed creature can make a new saving throw with advantage.</t>
  </si>
  <si>
    <t>Poison Breath</t>
  </si>
  <si>
    <t>Obscuring, Toppling</t>
  </si>
  <si>
    <t>Hallucinations</t>
  </si>
  <si>
    <t>Blinding, Deafening, Stunning</t>
  </si>
  <si>
    <t>has vivid hallucinations [DURATION]. During this time, the target is blinded, stunned, and deafened, sensing only the hallucinatory terrain and events. The hallucinations play on aspects of the creature's deepest fears.</t>
  </si>
  <si>
    <t>Limited Invisibility</t>
  </si>
  <si>
    <t>When the [MON] is on an icy surface or underwater, it is invisible. In all other terrain, the [MON] has advantage on Dexterity (Stealth) checks. The [MON]s, other pinnipeds, and creatures chosen by the [MON] can see it.</t>
  </si>
  <si>
    <t>Call of the Void</t>
  </si>
  <si>
    <t>Taunting Cackle</t>
  </si>
  <si>
    <t>Elemental Adaptation</t>
  </si>
  <si>
    <t>As a reaction when the [MON] would take [DMG_TYPE], [DMG_TYPE], [DMG_TYPE], [DMG_TYPE], or [DMG_TYPE] damage, it grants itself immunity to that damage type [DURATION]. This immunity also applies to the triggering damage.</t>
  </si>
  <si>
    <t>Acid (Other), Cold (Other), Fire (Other), Lightning (Other), Thunder (Other)</t>
  </si>
  <si>
    <t>Essence of Lightning</t>
  </si>
  <si>
    <t>If a creature is reduced to 0 hit points by this attack, it dies and rises the following night as a [MON] under the [MON]'s control. A bless, gentle repose, or similar spell cast on the body prevents this transformation.</t>
  </si>
  <si>
    <t>Other (d12)</t>
  </si>
  <si>
    <t>Steal Instead of Damage</t>
  </si>
  <si>
    <t>Instead of dealing damage, the [MON] can steal one item the target is wearing or carrying, provided that the item weighs no more than [#] pounds, isn't a weapon, and isn't wrapped around or firmly attached to the target.</t>
  </si>
  <si>
    <t>Assisted Leaping</t>
  </si>
  <si>
    <t>The [MON] can fly up to [#] ft on its turn, but it must start and end its movement on a solid surface such as a roof or the ground. If it is flying at the end of its turn, it falls to the ground and takes falling damage.</t>
  </si>
  <si>
    <t>While the [MON] has more than one head, it has advantage on Wisdom (Perception) checks and on saving throws against being blinded, charmed, deafened, frightened, stunned, and knocked unconscious, and it can't be flanked.</t>
  </si>
  <si>
    <t>Empty Keg</t>
  </si>
  <si>
    <t>Discharging, Weakness, Zero Speed</t>
  </si>
  <si>
    <t>The [MON] holds 20 gallons of ale. If it runs out of ale or empties itself from ale blast, the [MON]'s speed is reduced to 0 and it has disadvantage on all attack rolls until it is refilled with at least 1 gallon of ale.</t>
  </si>
  <si>
    <t>Necrotic Burst</t>
  </si>
  <si>
    <t>Lightning Dart</t>
  </si>
  <si>
    <t>Lightning (d8)</t>
  </si>
  <si>
    <t>Devouring Embrace</t>
  </si>
  <si>
    <t>A creature, including a consumed creature, can try to free a consumed creature by using its action attempt a DC [SAVE_DC] Strength check. On a success, the creature enters a space of its choice within [#] ft of the [MON].</t>
  </si>
  <si>
    <t>Ironhide</t>
  </si>
  <si>
    <t>As a reaction when the [MON] is hit by a metal weapon, fur-like metal spikes grow out of its hide [DURATION]. While the spikes remain, the [MON]'s AC increases by [#], and any critical hit against it becomes a normal hit.</t>
  </si>
  <si>
    <t>Ongoing Damage and Infected if Grappled</t>
  </si>
  <si>
    <t>Infecting, Grapple Effect, Ongoing Damage</t>
  </si>
  <si>
    <t>Bludgeoning (d6), Necrotic (d6)</t>
  </si>
  <si>
    <t>If the [MON]'s birth site hasn't been purified by holy rites, a destroyed [MON] gains a new body in [DURATION], regaining all its hit points and becoming active again. The new body appears within [#] ft of its birth site.</t>
  </si>
  <si>
    <t>If the [MON]'s mount is subjected to an effect that allows it to take half damage with a successful Dexterity saving throw, the mount instead takes no damage if it succeeds on the saving throw and half damage if it fails.</t>
  </si>
  <si>
    <t>Shadow Door</t>
  </si>
  <si>
    <t>The [MON] has the ability to travel between shadows as if by means of a dimension door spell. The magical transport must begin and end in an area with at least some dim light. The shadow door can span a maximum of [#] ft.</t>
  </si>
  <si>
    <t>Amulet</t>
  </si>
  <si>
    <t>The [MON] is bound to an amulet. It knows the distance and direction to the amulet while it is on the same plane of existence. Whoever wears the amulet becomes the [MON]'s master and can command the [MON] to travel to it.</t>
  </si>
  <si>
    <t>Luminance</t>
  </si>
  <si>
    <t>The [MON] normally glows as brightly as a torch. The creature can dim itself to the luminosity of a candle, but it can't extinguish its light. Because of its glow, the [MON] has disadvantage on Dexterity (Stealth) checks.</t>
  </si>
  <si>
    <t>Inspire Artistry</t>
  </si>
  <si>
    <t>The [MON] selects up to 6 creatures within [#] ft of it and grants them advantage on Dexterity (Acrobatics), Dexterity (Sleight of Hand), or Charisma (Performance) checks. The [MON] chooses which skill for each recipient.</t>
  </si>
  <si>
    <t>Cruel Tyranny</t>
  </si>
  <si>
    <t>The [MON] snarls and threatens its minions, driving them to immediate action. The [MON] chooses one creature it can see and that can hear the [MON]. The creature uses its reaction to make one weapon attack with advantage.</t>
  </si>
  <si>
    <t>Exhausting, Infection Ending</t>
  </si>
  <si>
    <t>Catastrophic Rejuvenation</t>
  </si>
  <si>
    <t>If the [MON] dies within its bound region before the catastrophe it heralds happens, the [MON] returns to life in [DURATION] and regains all its hit points. The [MON] dies after the catastrophe ends and doesn't rejuvenate.</t>
  </si>
  <si>
    <t>Sanguine Feast</t>
  </si>
  <si>
    <t>Whenever the [MON] deals [DMG_TYPE] damage to a living creature with blood in its body, the creature's hit point max is reduced by the same amount and the [MON] regains hit points equal to half the [DMG_TYPE] damage dealt.</t>
  </si>
  <si>
    <t>Consume the Spark</t>
  </si>
  <si>
    <t>A humanoid slain in this way rises [DURATION] later as a zombie or skeleton under the [MON]'s control, unless the humanoid is restored to life or its body is destroyed. The [MON] can control up to twelve undead at one time.</t>
  </si>
  <si>
    <t>Interpose Ally</t>
  </si>
  <si>
    <t>As a reaction when a creature the [MON] can see targets it with an attack, the [MON] can force a charmed ally within [#] ft of it to move between it and the attack. The charmed ally becomes the target of the attack instead.</t>
  </si>
  <si>
    <t>Defensive Counter</t>
  </si>
  <si>
    <t>As a reaction when a creature within [#] ft of the [MON] makes an attack against a creature other than the [MON], the [MON] can make a melee attack against the attacker. To do so, the [MON] must be able to see the attacker.</t>
  </si>
  <si>
    <t>Diabolical Countersong</t>
  </si>
  <si>
    <t>As a reaction when a spell is cast within [#] ft of it, the [MON] plays a single, infernal note, interrupting the spell. This reaction works like the counterspell spell, except it only works on spells of 3rd level or lower.</t>
  </si>
  <si>
    <t>Area, Poisoning</t>
  </si>
  <si>
    <t>Gluttonous Attraction</t>
  </si>
  <si>
    <t>Vulnerable Legs</t>
  </si>
  <si>
    <t>The [MON] is composed of 5 or more [MON]. If it is subjected to a spell, attack, or other effect that affects only one target, it takes any damage but ignores other effects. It can share its space with creatures or objects.</t>
  </si>
  <si>
    <t>While charmed in this way, a creature can repeat this saving throw at the end of each of its turns and at the end of any turn during which the [MON] or its allies harmed the target, ending the effect on itself on a success.</t>
  </si>
  <si>
    <t>Charm Description</t>
  </si>
  <si>
    <t>While charmed in this way, a creature regards the [MON] as a trusted friend to be heeded and protected. Although it isn't under the [MON]'s control, it takes the [MON]'s requests or actions in the most favorable way it can.</t>
  </si>
  <si>
    <t>Withering Miasma</t>
  </si>
  <si>
    <t>Area, Infecting</t>
  </si>
  <si>
    <t>On its next turn after a [MON] takes [#] or more damage from a single attack, it has advantage on attack rolls, it adds its proficiency bonus to damage rolls, and it can make one extra attack when it takes the attack action.</t>
  </si>
  <si>
    <t>Gibbering Mouths</t>
  </si>
  <si>
    <t>Flaming Seedpod Regrowth</t>
  </si>
  <si>
    <t>The [MON] ha sfour Flaming Seedpods. Used Flaming Seedpods may regrow each turn. If the [MON] starts its turn with less than four Flaming Seedpods roll a d6. On a roll of 5 or 6 it regrows 1d4 Flaming Seedpods to a max of 4.</t>
  </si>
  <si>
    <t>Hypnotic Secretion</t>
  </si>
  <si>
    <t>Aura, Charming, Infecting</t>
  </si>
  <si>
    <t>Vaporize</t>
  </si>
  <si>
    <t>A red mist surrounds the [MON] in a [#] ft radius sphere. The mist spreads around corners, and its area is heavily obscured. It moves with the [MON] and doesn't impede the [MON]'s vision. The mist dissipates after [DURATION].</t>
  </si>
  <si>
    <t>Tail Whip</t>
  </si>
  <si>
    <t>As a reaction when a creature the [MON] can see hits it with a melee attack, the [MON] attacks the attacker with its tail. On a hit, it can fly up to half its fly speed without provoking opportunity attacks from the attacker.</t>
  </si>
  <si>
    <t>As a reaction when a creature the [MON] can see targets it with a weapon attack, the [MON] can redirect the attack to another creature within [#] ft of it, then move up to half its speed without provoking opportunity attacks.</t>
  </si>
  <si>
    <t>Headsman's Woe</t>
  </si>
  <si>
    <t>If the [MON]'s head is severed by a vorpal weapon or by other means, magical vines sprout from its neck and the head reattaches by the start of the [MON]'s next turn, preventing the [MON] from dying from the loss of its head.</t>
  </si>
  <si>
    <t>Insect Affinity</t>
  </si>
  <si>
    <t>Insects understand the [MON] and view it favorably. The [MON] can communicate simple ideas through words and gestures with insectoid beasts and has advantage on Wisdom (Animal Handling) made when interacting with such beasts.</t>
  </si>
  <si>
    <t>Infernal Power Source</t>
  </si>
  <si>
    <t>A creature, object, or weapon that touches the [MON] is stuck to the [MON] [DURATION]. A creature can also use an action to make a DC [SAVE_DC] Strength check, freeing itself or an object or creature within reach on a success.</t>
  </si>
  <si>
    <t>Consumption</t>
  </si>
  <si>
    <t>As a bonus action, a [MON] can consume one potion within [#] ft of it that is not being worn or carried. Along with the potion's effect, the [MON]'s hit point max increases by [#dX], and it gains the same number of hit points.</t>
  </si>
  <si>
    <t>Shepherd's Safeguard</t>
  </si>
  <si>
    <t>As a reaction when a beast within [#] ft of the [MON] would be hit by an attack, the [MON] can add 3 to the beast's AC against the attack. To do so, the [MON] must be able to see both the attacker and the beast being targeted.</t>
  </si>
  <si>
    <t>Burning Belly</t>
  </si>
  <si>
    <t>Creatures inside a [MON]'s burning core take [#dX] [DMG_TYPE] damage at the start of each of the [MON]'s turns. Escaping from a [MON]'s belly takes [#] ft of movement and a successful DC [SAVE_DC] Dexterity (Acrobatics) check.</t>
  </si>
  <si>
    <t>Flight of the Fey</t>
  </si>
  <si>
    <t>is lifted directly upward to a height up to the [MON]'s flying speed. When the [MON] moves, the lifted creature moves with it. At the end of the [MON]'s turn, the [MON] drops the creature, which takes falling damage as normal.</t>
  </si>
  <si>
    <t>Spirit Conduit</t>
  </si>
  <si>
    <t>When a creature dies within [#] ft of the [MON], its spirit can possess the [MON], incapacitating the [MON] [DURATION]. During this time, the spirit is affected by the speak with dead spell, speaking through the [MON]'s mouth.</t>
  </si>
  <si>
    <t>Appeal to the Fervent</t>
  </si>
  <si>
    <t>As a reaction when a creature the [MON] can see targets it with an attack, the [MON] can call for aid from its followers, switching places with a ally within [#] ft of it. That creature becomes the target of the attack instead.</t>
  </si>
  <si>
    <t>Flood Fever</t>
  </si>
  <si>
    <t>During flood season, the [MON] is overcome with bloodthirsty malice. Its alignment shifts to chaotic evil, it gains the Blood Frenzy trait, and it loses the capacity to speak Common and its bonuses to History and Investigation.</t>
  </si>
  <si>
    <t>Possessed</t>
  </si>
  <si>
    <t>If the [MON] is turned or affected by dispel evil and good or a similar effect, it transforms into an ordinary gnoll. Any damage it has taken carries over to its new form. If this damage exceeds its maximum hit points, it dies.</t>
  </si>
  <si>
    <t>Haphazard Charge</t>
  </si>
  <si>
    <t>If the [MON] moves at least [#] ft straight toward a creature before hitting it with a melee attack, the attack is treated as though the [MON] scored a critical hit, but attack rolls against the [MON] have advantage [DURATION].</t>
  </si>
  <si>
    <t>The [MON] can pinpoint, by scent, the location of creatures that aren't constructs or undead and that don't have all of their hit points within [#] ft of it and can sense general direction to such creatures within 1 mile of it.</t>
  </si>
  <si>
    <t>Reel Anchor</t>
  </si>
  <si>
    <t>Ice Whirlwind</t>
  </si>
  <si>
    <t>The [MON] travels between shadows as if by means of a dimension door spell. This magical transport must begin and end in an area of dim light or darkness. The [MON] can jump up to a total of [#] ft per day in [#] ft increments.</t>
  </si>
  <si>
    <t>The target's weapon (if any) gains a permanent and cumulative -1 penalty to damage rolls. If the penalty reaches -5, the weapon is destroyed. A damaged weapon can be repaired with appropriate artisan's tools during a long rest.</t>
  </si>
  <si>
    <t>Stellar Burst</t>
  </si>
  <si>
    <t>xx RESUME xx</t>
  </si>
  <si>
    <t>Hatred</t>
  </si>
  <si>
    <t>Deprived of parental bonds, the [MON] despise those who nurture and heal others. The [MON] has advantage on attacks against a creature whose most recent action was to heal, restore, strengthen, or otherwise aid another creature.</t>
  </si>
  <si>
    <t>If the [MON] is on fire, it takes 1 cold damage for every 5 ft it moves in water or for every gallon of water splashed on it. If the [MON] takes at least 100 points of cold damage within a [DURATION] period, its flame is doused.</t>
  </si>
  <si>
    <t>Planar Traveler</t>
  </si>
  <si>
    <t>The [MON] teleports itself to a different plane of existence. This works like the plane shift spell, except the [MON] can only affect itself and a willing rider, and can't use it to banish an unwilling creature to another plane.</t>
  </si>
  <si>
    <t>Terrifying</t>
  </si>
  <si>
    <t>Dexterity (d4), Intelligence (d4)</t>
  </si>
  <si>
    <t>Redirect Spell</t>
  </si>
  <si>
    <t>Constitution saving throw or gain one level of exhaustion. If an infected creature succeeds on the saving throw, it no longer gains exhaustion levels each day. A second successful save at the end of a long rest cures the disease.</t>
  </si>
  <si>
    <t>If the [MON] is targeted by dispel magic, the caster must make a DC [SAVE_DC] spellcasting check. On a success, the [MON] is incapacitated [DURATION]. After [DURATION], it becomes animate again unless its body has been destroyed.</t>
  </si>
  <si>
    <t>Horns</t>
  </si>
  <si>
    <t>Bury</t>
  </si>
  <si>
    <t>Restraining, Suffocating, Toppling</t>
  </si>
  <si>
    <t>Tiny Spies</t>
  </si>
  <si>
    <t>The [MON] can communicate with mosquitos as if they shared a language. The mosquitos alert the [MON] to the presence of intruders, and the [MON] has advantage on Wisdom (Perception) checks to notice creatures within [#] ft of it.</t>
  </si>
  <si>
    <t>Cause Row</t>
  </si>
  <si>
    <t>The [MON] stirs humanoids it can see within [#] ft of it into a frenzy. The frenzied patrons use the statistics of 4d4 commoners or 1 bar brawl. The frenzied patrons don't attack the [MON]. The patrons remain frenzied [DURATION].</t>
  </si>
  <si>
    <t>Sweeping Blow</t>
  </si>
  <si>
    <t>Otherworldly Hunter</t>
  </si>
  <si>
    <t>The [MON] teleports itself to a different plane of existence. This works like the plane shift spell, except the [MON] can only affect itself, not other creatures, and can't use it to banish an unwilling creature to another plane.</t>
  </si>
  <si>
    <t>Self-Destruct</t>
  </si>
  <si>
    <t>Psychic (d6), Slashing (d6)</t>
  </si>
  <si>
    <t>Overrun</t>
  </si>
  <si>
    <t>When the [MON] takes the Dash action, it can move through the space of a creature, treating the creature's space as difficult terrain. As it moves through the creature's space, the [MON] can make a melee attack as a bonus action.</t>
  </si>
  <si>
    <t>Disruptive Gaze</t>
  </si>
  <si>
    <t>As a bonus action, the [MON] directs its gaze at any single creature it can see and afflicts it with a temporary bout of bad luck. The targeted creature has disadvantage on attack rolls, saving throws, and skill checks [DURATION].</t>
  </si>
  <si>
    <t>Darakhul Fever</t>
  </si>
  <si>
    <t>If an infected creature dies, roll 1d20 and add the character's current Constitution modifier, to determine what undead form the victim's body rises in: (1-9) None; victim is simply dead; (10-16) Ghoul; (17-20) Ghast; (21+) [MON].</t>
  </si>
  <si>
    <t>Hellish Rejuvenation</t>
  </si>
  <si>
    <t>If the [MON] dies in the Nine Hells, it comes back to life with all its hit points in [DURATION] unless it is killed by a good-aligned creature with a bless spell cast on that creature or its remains are sprinkled with holy water.</t>
  </si>
  <si>
    <t>The [MON] alters the radius of its glow (shedding bright light in a [#] to [#] ft radius and dim light for the same number of feet beyond that radius), changes the color of its glow, or extinguishes its glow (making it invisible).</t>
  </si>
  <si>
    <t>Supernatural Rebuke</t>
  </si>
  <si>
    <t>Fire (d10), Radiant (d10)</t>
  </si>
  <si>
    <t>Fiery Charge</t>
  </si>
  <si>
    <t>Thunder Charge</t>
  </si>
  <si>
    <t>Inscrutable</t>
  </si>
  <si>
    <t>The [MON] is immune to any effect that would sense its emotions or read its thoughts, as well as any divination spell that it refuses. Wisdom (Insight) checks made to ascertain the [MON]'s intentions or sincerity have disadvantage.</t>
  </si>
  <si>
    <t>Gaseous Ascension</t>
  </si>
  <si>
    <t>Recharging, Speed Change</t>
  </si>
  <si>
    <t>The [MON] must regularly inhale swamp gases to maintain its flight. If it can't breathe or isn't in swampy terrain, it loses its fly speed. Also when it uses Poisonous Breath it loses its fly speed until Poisonous Breath recharges.</t>
  </si>
  <si>
    <t>Rewind</t>
  </si>
  <si>
    <t>As a reaction when the [MON] takes damage or when it starts its turn afflicted with a condition, it can rewind time around it, preventing the damage or undoing the condition. It can use this reaction even while paralyzed or stunned.</t>
  </si>
  <si>
    <t>Undead Fortitude</t>
  </si>
  <si>
    <t>Displace</t>
  </si>
  <si>
    <t>is shunted outside of time. The creature disappears [DURATION]. As an action, the displaced creature can repeat this saving throw. On a success, the creature returns to its previously occupied space, or the nearest unoccupied space.</t>
  </si>
  <si>
    <t>Tuck In</t>
  </si>
  <si>
    <t>The [MON] tucks its entire body into its shell, forming an armored ball. While in this form, it moves by rolling around, it has resistance to bludgeoning, piercing, and slashing damage, and it can't take the Attack action or burrow.</t>
  </si>
  <si>
    <t>Locking Bite</t>
  </si>
  <si>
    <t>Taskmaster</t>
  </si>
  <si>
    <t>As a reaction when a creature within [#] ft of it fails an ability check or saving throw, the [MON] roars a command to it. The creature can roll a d10 and add it to the result of the roll, possibly turning the failure into a success.</t>
  </si>
  <si>
    <t>As a reaction when missed by a ranged attack by a creature the [MON] can see, the [MON] redirects the attack against a creature within [#] ft of it that it can see. The original attacker must reroll the attack against the new target.</t>
  </si>
  <si>
    <t>Deadfall Shield</t>
  </si>
  <si>
    <t>As a reaction when the [MON] or one ally within [#] ft of it is hit by an attack, the [MON] can create a magical, wooden barrier that interrupts the attack. The attack causes no damage. The shield splinters and disappears afterwards.</t>
  </si>
  <si>
    <t>As long as at least one of its bones remains, a destroyed [MON] gathers a new body in [DURATION], regaining all its hit points and becoming active again. Its new body appears within [#] ft of the largest remaining bone from its body.</t>
  </si>
  <si>
    <t>If defeated in combat, the [MON] returns in [DURATION]. It can be put to rest permanently only by finding and casting remove curse on its remains or by resolving the unfinished business that keeps it from journeying to the afterlife.</t>
  </si>
  <si>
    <t>Tippable</t>
  </si>
  <si>
    <t>Elusive</t>
  </si>
  <si>
    <t>The [MON] has advantage on ability checks and saving throws made to avoid or escape effect that would reduce its speed. Also, nonmagical difficult terrain composed of natural rocks or cavernous terrain doesn't cost it extra movement.</t>
  </si>
  <si>
    <t>Ancestral Wrath</t>
  </si>
  <si>
    <t>The [MON] immediately recognizes any individual that is descended from its tribe. It has advantage on attack rolls against such creatures, and those creatures have disadvantage on saving throws against the [MON]'s traits and attacks.</t>
  </si>
  <si>
    <t>While charmed in this way, a creature regards the [MON] as its one true love, to be heeded and protected. Although the target isn't under the [MON]'s control, it takes the [MON]'s requests or actions in the most favorable way it can.</t>
  </si>
  <si>
    <t>A consumed creature or a creature within [#] ft of [MON] can take its action to remove consumed creature from [MON] via DC [SAVE_DC] Strength check putting consumed creature in an unoccupied space of its choice within [#] ft of [MON].</t>
  </si>
  <si>
    <t>Blacklight Strobe</t>
  </si>
  <si>
    <t>Aura, Nonreactive</t>
  </si>
  <si>
    <t>A humanoid slain by this attack rises [DURATION] later as a zombie under the [MON]'s control, unless the humanoid is restored to life or its body is destroyed. The [MON] can have no more than [#] zombies under its control at one time.</t>
  </si>
  <si>
    <t>Flesh Wound</t>
  </si>
  <si>
    <t>At the end of any turn in which the [MON] took at least [#] damage, roll a d8. On a 1, it loses an arm. On a 2, it loses a leg. In addition, [#dX] prone zombies in unoccupied spaces within [#] ft of the [MON], spilling from the wound.</t>
  </si>
  <si>
    <t>Creatures that travel with the [MON] can't retrace their steps and become hopelessly lost after [DURATION] of travel. Creatures led astray by the [MON] have disadvantage on attempts to discern their location or to navigate [DURATION].</t>
  </si>
  <si>
    <t>Attack Nearest Creature</t>
  </si>
  <si>
    <t>is unable to distinguish friend from foe and must attack the nearest creature other than the [MON]. If no other creature is near enough to move to and attack, the victim stalks off in a random direction, seeking a target for its rage.</t>
  </si>
  <si>
    <t>Concerted Effort</t>
  </si>
  <si>
    <t>The [MON] inspires itself or one ally it can see within [#] ft of it [DURATION]. When target makes an attack roll or a Constitution saving throw to maintain concentration on a spell target can roll d4 and add result to attack or save.</t>
  </si>
  <si>
    <t>Delay</t>
  </si>
  <si>
    <t>When damage is dealt to the [MON], the [MON] doesn't take the damage until its next turn. The [MON] must still make the appropriate saving throws, and it immediately suffers any extra effects of the damage; only the damage is delayed.</t>
  </si>
  <si>
    <t>Vengeful Reaction</t>
  </si>
  <si>
    <t>When the [MON] uses this ability, its eyes flash red as it goes into a fit of rage. [DURATION], it makes melee attacks against the creature that triggered this reaction with advantage and with disadvantage against all other creatures.</t>
  </si>
  <si>
    <t>Peerless Rider</t>
  </si>
  <si>
    <t>Any attacks directed at the [MON]'s mount targets the [MON] instead. Its mount gains the benefit of the rider's damage, and condition immunities, and if the [MON] passes a saving throw against an area effect, the mount takes no damage.</t>
  </si>
  <si>
    <t>Big Windup</t>
  </si>
  <si>
    <t>As a reaction when a creature hits the [MON] with a melee attack, the [MON] readies a powerful strike against its attacker. The [MON] has advantage on the next melee attack it makes against the attacker before the end of its next turn.</t>
  </si>
  <si>
    <t>Hidden Stench</t>
  </si>
  <si>
    <t>Shriek</t>
  </si>
  <si>
    <t>When bright light or a creature comes within [#] ft of the [MON], it emits a shriek that can be heard up to [#] ft away. The [MON] continues to shriek until the disturbance moves out of range and for 1d4 of the [MON]'s turns afterward.</t>
  </si>
  <si>
    <t>Merge</t>
  </si>
  <si>
    <t>A [MON] who has less than half its maximum hit points can merge with any other [MON] within [#] ft of it, adding its remaining hit points to that creature's. The hit points gained this way can exceed the normal maximum of that creature.</t>
  </si>
  <si>
    <t>Eye Vulnerability</t>
  </si>
  <si>
    <t>Effect Ending, Gaze, Weakness</t>
  </si>
  <si>
    <t>A creature can target the [MON]'s eye with an attack. This attack is made with disadvantage. If the attack hits and deals at least [#] damage, creatures affected by the [MON]'s Charming and Mesmerizing Gaze are freed from those effects.</t>
  </si>
  <si>
    <t>Consume Soul</t>
  </si>
  <si>
    <t>A creature slain by the [MON] can't be restored to life unless the [MON] is killed within [DURATION] of slaying the creature. After [DURATION], the soul becomes part of the [MON], and the creature can be restored only with a wish spell.</t>
  </si>
  <si>
    <t>Acid (d6), Cold (d6), Fire (d6), Lightning (d6), Poison (d6)</t>
  </si>
  <si>
    <t>The [MON]'s particular madness grants it immunity to psychic effects. It can't be restored to sanity by any means short of a wish spell or similar magic. A [MON] brought to sanity gains 4 points of Wisdom and loses 6 points of Charisma.</t>
  </si>
  <si>
    <t>Absorbing Knockout</t>
  </si>
  <si>
    <t>The body of a creature that dies while grappled by a [MON] is completely absorbed into the [MON]'s mass. No portion of it remains to be used in raise dead, reincarnate, and comparable spells that require touching the dead person's body.</t>
  </si>
  <si>
    <t>Churn Water</t>
  </si>
  <si>
    <t>Difficult Terrain, Toppling</t>
  </si>
  <si>
    <t>Movement, Restraint Effect</t>
  </si>
  <si>
    <t>Rise Again</t>
  </si>
  <si>
    <t>Within [DURATION] of being slain, the [MON] reforms within [#] ft of its creator. It doesn't reform if its creator is slain, or if the creator's mental disturbance is healed. The [MON] is immune to all damage dealt to it by its creator.</t>
  </si>
  <si>
    <t>Disrupt Concentration</t>
  </si>
  <si>
    <t>Shadow Leap</t>
  </si>
  <si>
    <t>As a reaction when a creature moves into a space within [#] ft of the [MON] while [MON] is in dim light or darkness [MON] can teleport to unoccupied space it can see within [#] ft of it. Destination must also be in dim light or darkness.</t>
  </si>
  <si>
    <t>Protection</t>
  </si>
  <si>
    <t>As a reaction when a creature the [MON] can see attacks a target that is within [#] ft of it, including a creature it is riding, the [MON] can use a reaction to impose disadvantage on the attack roll. The [MON] must be wielding a shield.</t>
  </si>
  <si>
    <t>Consumption Ending, Shapechanging, Toppling</t>
  </si>
  <si>
    <t>If the [MON] dies, its soul reforms on the Astral Plane. After [DURATION], it is reborn into the body of another elephantine creature on the Material Plane. Only killing every elephantine creature on the Material Plane will prevent this.</t>
  </si>
  <si>
    <t>Ghostly Slip</t>
  </si>
  <si>
    <t>As a reaction when it is targeted by an attack or spell or is grappled or restrained, the [MON] becomes momentarily incorporeal. It gains resistance to any damage that isn't force and ends any grappled or restrained conditions on itself.</t>
  </si>
  <si>
    <t>Death Throes</t>
  </si>
  <si>
    <t>Frightening, Ongoing Damage</t>
  </si>
  <si>
    <t>When the [MON] dies, it releases all the fear it consumed in its lifetime in a single, soul-rending wave. All creatures within [#] ft of it [OUTCOME]. A frightened creature takes [#dX] [DMG_TYPE] damage at the start of each of its turns.</t>
  </si>
  <si>
    <t>Psychic (d12)</t>
  </si>
  <si>
    <t>Step Between Seconds</t>
  </si>
  <si>
    <t>As a reaction when a creature the [MON] can see moves within [#] ft of it, the [MON] can shift itself to a place it occupied in the past, teleporting up to [#] ft to an unoccupied space, along with any equipment it is wearing or carrying.</t>
  </si>
  <si>
    <t>Gas Nozzles</t>
  </si>
  <si>
    <t>As a reaction when the [MON] takes damage, it expels a cloud of poisonous gas. Each creature within [#] ft of it takes [#dX] [DMG_TYPE] damage. If the damage taken was fire, the gas ignites and deals an additional [#dX] [DMG_TYPE] damage.</t>
  </si>
  <si>
    <t>Fire (d10), Poison (d10)</t>
  </si>
  <si>
    <t>Falcon Dive</t>
  </si>
  <si>
    <t>If the [MON] is flying and dives at least [#] ft straight toward a target, it has advantage on the next attack roll it makes against that target before the end of its turn. If the attack hits, it deals an extra [#dX] damage to the target.</t>
  </si>
  <si>
    <t>Frozen Citizenry</t>
  </si>
  <si>
    <t>The [MON] calls 2d4 skeletons or zombies ([MON]'s choice) or two glacial corruptors (see Tome of beasts 2). Called creatures arrive in [DURATION] acting as allies of the [MON] and obeying its spoken commands. The undead remain [DURATION].</t>
  </si>
  <si>
    <t>Phantasms</t>
  </si>
  <si>
    <t>The [MON] creates flickering illusions of itself in its space, causing attacks against it to have disadvantage. This effect ends after [DURATION], when the [MON] enters an area of bright light, or when it successfully grapples a creature.</t>
  </si>
  <si>
    <t>Wilting Passage</t>
  </si>
  <si>
    <t>The first time the [MON] enters or moves through a creature's space on a turn, that creature takes [#dX] [DMG_TYPE] damage. When the [MON] moves through an object that isn't being worn or carried, the object takes [#dX] [DMG_TYPE] damage.</t>
  </si>
  <si>
    <t>Esoteric Vengeance</t>
  </si>
  <si>
    <t>As a reaction when struck by a melee attack, the [MON] can expend a spell slot to do [#dX] [DMG_TYPE] damage to the attacker. If the [MON] expends a spell slot of 2nd level or higher, the damage increases by [#dX] for each level above 1st.</t>
  </si>
  <si>
    <t>Bind</t>
  </si>
  <si>
    <t>Refold</t>
  </si>
  <si>
    <t>The [MON] can fold its body into different sizes and shapes. The [MON] can adjust its size by one step in either direction, but can't be smaller than Tiny or larger than Medium size. Changes in size or shape don't affect the [MON]'s stats.</t>
  </si>
  <si>
    <t>Chaos Pheromones</t>
  </si>
  <si>
    <t>Warp Space</t>
  </si>
  <si>
    <t>The [MON] folds in on itself to travel to a different plane. This works like the plane shift spell, except the [MON] can only affect itself, not other creatures, and it can't use the effect to banish an unwilling creature to another plane.</t>
  </si>
  <si>
    <t>The [MON] is psychically bound to its creator and can communicate telepathically with its creator as long as neither is incapacitated. The [MON] and its creator don't have to be on the same plane of existence to communicate telepathically.</t>
  </si>
  <si>
    <t>Sundering Quake</t>
  </si>
  <si>
    <t>Infection Effect, Infecting</t>
  </si>
  <si>
    <t>Easier Free My Friend</t>
  </si>
  <si>
    <t>A creature within reach of the [MON] can attempt a DC [SAVE_DC] Strength check as an action. Doing so inflicts [#dX] [DMG_TYPE] damage to it. On a success, it frees one consumed creature, which escapes to a space within [#] ft of the [MON].</t>
  </si>
  <si>
    <t>A Thirst for Knowledge</t>
  </si>
  <si>
    <t>If a [MON] spends [DURATION] with a spellbook or a spell scroll, it can learn the magic of one 2nd level or lower spell, erasing and absorbing all the ink and magic used to inscribe the spell. The [MON] can then cast the spell once per day.</t>
  </si>
  <si>
    <t>Divine Sense</t>
  </si>
  <si>
    <t>The [MON] can pinpoint the location of celestials, fiends, divine avatars, and deities within [#] ft of it and can sense the general direction to to such creatures within 1 mile of it. This sense extends into the Ethereal and Shadow Planes.</t>
  </si>
  <si>
    <t>Ionic Form</t>
  </si>
  <si>
    <t>Whenever subjected to lightning it takes no damage, and instead regains hit points equal to lightning dealt. Its Supercharge then recharges. If it takes cold while supercharged it must roll a d6. On a 1 or 2 it loses the supercharged state.</t>
  </si>
  <si>
    <t>Grant Blood Rage</t>
  </si>
  <si>
    <t>As a bonus action, the [MON] can bestow a blood rage on a single living creature, giving it advantage on attacks [DURATION]. At the end of this time, the target gains one level of exhaustion and gains [#dX] [DMG_TYPE] damage from blood loss.</t>
  </si>
  <si>
    <t>Necrotic (d12)</t>
  </si>
  <si>
    <t>Arcasynthesis</t>
  </si>
  <si>
    <t>As a reaction when a spell of level [#] or lower is cast within [#] ft of the [MON], it attempts to synthesize the magic. The spell resolves as normal, but the [MON] has a 50% chance of regaining [#dX] hit points per level of the spell cast.</t>
  </si>
  <si>
    <t>Look Upon My Works</t>
  </si>
  <si>
    <t>Each creature that makes this saving throw sees a brief fragment of the [MON]'s memories. If a creature fails this saving throw by 5 or more, it forgets the vision after taking damage; otherwise, it learns a piece of lore known by the [MON].</t>
  </si>
  <si>
    <t>Spirited Charge</t>
  </si>
  <si>
    <t>Mount, Movement</t>
  </si>
  <si>
    <t>If the [MON] moves at least [#] ft straight toward a target while mounted and then hits with a melee attack on the same turn, the [MON] can use a bonus action to command its mount to make one melee attack against that creature as a reaction.</t>
  </si>
  <si>
    <t>Swallow Whole</t>
  </si>
  <si>
    <t>The [MON] constantly rattles its tail when in combat. Each creature that starts its turn within [#] ft of the [MON] and that can hear it [OUTCOME]. A creature that succeeds on two saving throws is unaffected by the [MON]'s rattle [DURATION].</t>
  </si>
  <si>
    <t>Filthy</t>
  </si>
  <si>
    <t>Soggy Relocation</t>
  </si>
  <si>
    <t>Sleeper's Slap</t>
  </si>
  <si>
    <t>Frightening, Restraining, Unconsciousness Effect</t>
  </si>
  <si>
    <t>is frightened and restrained [DURATION]. An affected creature can repeat this saving throw at the end of each of its turns. The first time it succeeds, the restrained condition ends. The second time it succeeds, the frightened condition ends.</t>
  </si>
  <si>
    <t>Thirst</t>
  </si>
  <si>
    <t>Bonus Action Attack, Toppling</t>
  </si>
  <si>
    <t>Entanglement</t>
  </si>
  <si>
    <t>Damaging and Toppling Charge</t>
  </si>
  <si>
    <t>Movement, Toppling, Extra Damage</t>
  </si>
  <si>
    <t>Corrupting Touch</t>
  </si>
  <si>
    <t>The disease has no effect [DURATION]; during that time, it can be removed by lesser restoration or similar magic. After that time, the infected creature begins experiencing symptoms and the disease can only be removed by heal or similar magic.</t>
  </si>
  <si>
    <t>The host can use its action to detach the [MON] only after the host has expended all of its spell slots for the day, including the extra cantrips and spell slots gained from having the [MON] attached. Doing so doesn't require a Strength check.</t>
  </si>
  <si>
    <t>Infecting Telepathy</t>
  </si>
  <si>
    <t>Withering Turban</t>
  </si>
  <si>
    <t>If the target failed a saving throw against the Thirst trait at any point in this encounter, its hit point max is reduced by an amount equal to the damage it took from this attack. This reduction lasts until the target has no exhaustion levels.</t>
  </si>
  <si>
    <t>Fog</t>
  </si>
  <si>
    <t>The [MON] emits a cloud of fog creating a [#] ft radius sphere of fog centered on the [MON]. The fog is heavily obscured to non-[MON]s. The fog cloud is immobile spreads around corners and remains [DURATION] or until dispersed by a strong wind.</t>
  </si>
  <si>
    <t>Poisonous Aura</t>
  </si>
  <si>
    <t>None May Stop Death</t>
  </si>
  <si>
    <t>Magic Absorption</t>
  </si>
  <si>
    <t>When the [MON] is hit by a spell or is in the area of a spell, it regains hit points equal to the spell's level. This trait doesn't counter the spell or negate its damage or effects. The [MON] regains the hit points after the spell is resolved.</t>
  </si>
  <si>
    <t>Imperious Command</t>
  </si>
  <si>
    <t>Absorb Channeled Energy</t>
  </si>
  <si>
    <t>If a [MON] is in the area of effect of a turn undead attempt, it gains temporary hit points. For each mordant puppet that would have been affected by the turning if it were a zombie, the [MON] gains [#] temporary hit points, to a maximum of [#].</t>
  </si>
  <si>
    <t>Eat Gold</t>
  </si>
  <si>
    <t>The [MON] absorbs [#dX] gp worth of nonmagical items and coins made of precious metals, ignoring copper, worn or carried by one creature grappled by it, and the [MON] regains hit points equal to half that amount. The absorbed metal is destroyed.</t>
  </si>
  <si>
    <t>Rooted</t>
  </si>
  <si>
    <t>The [MON] can use a bonus action to anchor itself to or detach itself from a surface. While anchored, the [MON]'s speed is 0, and a DC [SAVE_DC] Strength check is required to detach it. A [MON] can't use its heavy crossbow unless it is anchored.</t>
  </si>
  <si>
    <t>Consume Muscles</t>
  </si>
  <si>
    <t>The [MON] consumes the flesh of a dead humanoid or giant within [#] ft of it. If the creature died less than [DURATION] ago, the [MON] gains advantage on Strength-based attack rolls and ability checks, as well as on all saving throws [DURATION].</t>
  </si>
  <si>
    <t>Skin of the Forge</t>
  </si>
  <si>
    <t>Aura, Discharging, Equipment Damage</t>
  </si>
  <si>
    <t>Nonmagical weapons and objects with AC [#] or lower are immediately destroyed after coming into contact with the [MON]'s skin. Weapons that hit the [MON] deal their damage before being destroyed. This trait is suppressed if the [MON] is starving.</t>
  </si>
  <si>
    <t>Malodorous Stench</t>
  </si>
  <si>
    <t>Hunger</t>
  </si>
  <si>
    <t>Each time it feeds in combat, it regains hit points equal to twice the level of the spell it ate and increases its Feed score by 1. The [MON] can't have a Feed score higher than 8, and its Feed score reduces by 1 each time it finishes a long rest.</t>
  </si>
  <si>
    <t>Object Mimicry</t>
  </si>
  <si>
    <t>Shape minor pseudopods into Medium or smaller objects. Creature that sees one can tell it is an imitation with DC [SAVE_DC] Wisdom (Insight) check. Creature with half its body in contact with object (ex: sitting on "chair") is subject to Adhesive.</t>
  </si>
  <si>
    <t>Item Unmaking</t>
  </si>
  <si>
    <t>Some cherished material thing disappears from the universe, and only the target retains any memory of it. This item can be as large as a building, but it can't be a living entity and it can't be on the target's person or within the target's sight.</t>
  </si>
  <si>
    <t>Psychic Pool</t>
  </si>
  <si>
    <t>The [MON] absorbs psychic energy from creatures in its nightmare holding up to four Psychic Points. As a bonus action while casting a spell within [#] ft of the [MON] owner can expend points equal to spell's level to cast without using spell slot.</t>
  </si>
  <si>
    <t>Slime Trail</t>
  </si>
  <si>
    <t>The [MON] leaves a slime trail behind it as it moves. The slime creates difficult terrain, and any creature walking through it must succeed on a DC [SAVE_DC] Dexterity (Acrobatics) check or be knocked prone. The slime remains effective [DURATION].</t>
  </si>
  <si>
    <t>Ink Blot</t>
  </si>
  <si>
    <t>If the [MON] attaches to a creature that can breathe air, the creature continues to breathe normally as the air-filled [MON] provides breathable air for the creature. If the creature can't breathe air, it must hold its breath or begin to suffocate.</t>
  </si>
  <si>
    <t>Damage to Un-Consume</t>
  </si>
  <si>
    <t>Anesthetizing Bite</t>
  </si>
  <si>
    <t>When the [MON] successfully bites a creature, the creature must succeed on a DC [SAVE_DC] Wisdom (Perception) check to notice the bite. If the [MON] remains attached to the target, the target can repeat this check at the start of each of its turns.</t>
  </si>
  <si>
    <t>Gullylung Fever</t>
  </si>
  <si>
    <t>Ability Score Damage, Infection Ending</t>
  </si>
  <si>
    <t>Look Between</t>
  </si>
  <si>
    <t>As a bonus action, the [MON] can see [#] ft into any of the Lower Planes when it is on the Material Plane, and vice versa. This sight lasts [DURATION]. During this time, the [MON] is deaf and blind with regard to its own senses in its current plane.</t>
  </si>
  <si>
    <t>Winged Charge</t>
  </si>
  <si>
    <t>As a reaction when a creature the [MON] can see hits it with a ranged attack, the [MON] leaps off the ground and moves up to its fly speed toward the attacker. If this brings it within range, the [MON] then makes a melee attack against the attacker.</t>
  </si>
  <si>
    <t>Nature's Shield</t>
  </si>
  <si>
    <t>As a reaction when the [MON] would be hit by an attack while the [MON] is within [#] ft of a tree or other large plant, the [MON]'s AC increases by [#] against that attack as the plant interposes branches or vines between the [MON] and the attacker.</t>
  </si>
  <si>
    <t>Packing Heat</t>
  </si>
  <si>
    <t>If the [MON] moves at least [#] ft straight toward the target before making this attack, the [MON] can make one ranged attack against a second target within [#] ft of the first as a bonus action. The [MON] doesn't have advantage on this attack roll.</t>
  </si>
  <si>
    <t>The [MON] can communicate simple ideas, emotions, and images telepathically with any creature inside the magical dome that surrounds its shell. Similarly, it can hear and understand any creature inside the dome, regardless of the language it speaks.</t>
  </si>
  <si>
    <t>Unholy Stench</t>
  </si>
  <si>
    <t>A [#] ft radius cloud of ink extends all around the [MON] if it is underwater. The area is heavily obscured [DURATION], although a significant current can disperse the ink. After releasing the ink, the [MON] can use the Dash action as a bonus action.</t>
  </si>
  <si>
    <t>As a reaction when a creature hits [MON] with attack, the [MON] makes DC [SAVE_DC] Intelligence check. On a success, it has advantage on melee attack rolls against the attacker [DURATION] a different creature or uses this ability on another creature.</t>
  </si>
  <si>
    <t>Grappling Hook</t>
  </si>
  <si>
    <t>The [MON] launches its grappling hook at a Large or larger object or structure or at a Huge or larger creature it can see within [#] ft of it and is pulled to an unoccupied space within [#] ft of the target. This does not provoke opportunity attacks.</t>
  </si>
  <si>
    <t>Scorn Base Metals</t>
  </si>
  <si>
    <t>The [MON]'s attacks ignore any protection provided by nonmagical armor made of bronze, iron, steel, or similar metals. Protection provided by valuable metals such as adamantine, mithral, and gold apply, as do bonuses provided by non-metallic objects.</t>
  </si>
  <si>
    <t>Fire Form</t>
  </si>
  <si>
    <t>The first time the [MON] enters a creature's space on a turn, that creature takes [#dX] [DMG_TYPE] damage, and catches fire. Until someone uses an action to douse the fire, the creature takes [#dX] [DMG_TYPE] damage at the start of each of its turns.</t>
  </si>
  <si>
    <t>Muster the Legions</t>
  </si>
  <si>
    <t>When the [MON] is reduced to half its hit points or lower it calls 1d4 swarms of penguins. The penguins arrive on initiative count 20 of the next round acting as allies of the [MON] and obeying its telepathic commands. The penguins remain [DURATION].</t>
  </si>
  <si>
    <t>Poison Expulsion</t>
  </si>
  <si>
    <t>Difficult Terrain, Poisoning</t>
  </si>
  <si>
    <t>Necrotic Wound</t>
  </si>
  <si>
    <t>Grapplevine Escape</t>
  </si>
  <si>
    <t>As a reaction when a creature the [MON] can see hits it with melee attack, the [MON] can use its whip to swing up to [#] ft away from the attacker, provided that the terrain includes a feature it can use to swing, such as a branch, ledge, or building.</t>
  </si>
  <si>
    <t>Free Bleeding Cuts</t>
  </si>
  <si>
    <t>loses [#dX] hit points at the start of each of its turns due to a bleeding wound. Any creature can use an action to bandage the wound with a successful DC [SAVE_DC] Wisdom (Medicine) check. The wound also closes if the target receives magical healing.</t>
  </si>
  <si>
    <t>Other (d6), Force (d6)</t>
  </si>
  <si>
    <t>Ethereal Step</t>
  </si>
  <si>
    <t>shifts from Material Plane to [MON] or vice versa. The [MON] can bring creatures grappled by it into the [MON] Plane with it. A creature not native to [MON] Plane returns to Material Plane in [DURATION] if brought to the plane while grappled by [MON].</t>
  </si>
  <si>
    <t>Animate Plants</t>
  </si>
  <si>
    <t>Spawning, Summoning</t>
  </si>
  <si>
    <t>The [MON] animates 1d4 plants within [#] ft of it, turning them into awakened shrubs under its control. These plants' attacks deal an additional [#dX] [DMG_TYPE] damage. If the shrubs are not destroyed before [DURATION] passes, they become new [MON]s.</t>
  </si>
  <si>
    <t>Mirthful Regeneration</t>
  </si>
  <si>
    <t>Self Healing, Temporary Self Healing</t>
  </si>
  <si>
    <t>The [MON] regains [#] hit points at the start of its turn for each creature within [#] ft of it that is incapacitated with laughter from its Tickle action. If a creature dies while suffering from the laughter, the [MON] gains [#] temporary hit points.</t>
  </si>
  <si>
    <t>The disease has no effect [DURATION]; during that time, it can be removed by bless, lesser restoration, or similar magic. After that time, the infected creature begins experiencing symptoms and the disease can only be removed by heal or similar magic.</t>
  </si>
  <si>
    <t>Persistent Burning Form</t>
  </si>
  <si>
    <t>The first time the [MON] enters a creature's space on a turn, that creature takes [#dX] [DMG_TYPE] damage, and catches fire; until a creature uses an action to douse the fire, the target takes [#dX] [DMG_TYPE] damage at the start of each of its turns.</t>
  </si>
  <si>
    <t>Immortal Form</t>
  </si>
  <si>
    <t>Lair, Shapechanging</t>
  </si>
  <si>
    <t>While in its lair, the [MON] changes into a specific Medium humanoid resembling a human or back to its true form. Apart from its size, its statistics are unchanged. The [MON] reverts to its true form when it dies, is incapacitated, or leaves its lair.</t>
  </si>
  <si>
    <t>Virulence</t>
  </si>
  <si>
    <t>Levitate</t>
  </si>
  <si>
    <t>As a bonus action, the [MON] can rise or descend vertically up to [#] ft and can remain suspended there. This trait works like the levitate spell, except there is no duration, and the [MON] doesn't need to concentrate to continue levitating each round.</t>
  </si>
  <si>
    <t>Secrete Oil</t>
  </si>
  <si>
    <t>The [MON] secretes an oil that makes it slippery [DURATION]. It has advantage on ability checks and saving throws made to escape a grapple. If it is grappled when it takes this action, it can use a bonus action to make a new roll to escape the grapple.</t>
  </si>
  <si>
    <t>Extra Damage, Ongoing Damage</t>
  </si>
  <si>
    <t>The target takes an extra [#dX] [DMG_TYPE] damage and catches on fire, taking [#dX] [DMG_TYPE] damage at the start of each of its turns. The target can end this damage by using its action to make a DC [SAVE_DC] Dexterity check to extinguish the flames.</t>
  </si>
  <si>
    <t>Decrepit Mist</t>
  </si>
  <si>
    <t>Aging, Aura</t>
  </si>
  <si>
    <t>Consume Life</t>
  </si>
  <si>
    <t>Draconic Ascension</t>
  </si>
  <si>
    <t>As a reaction when a [MON] it can see is reduced to 0 hit points [MON] can reincarnate the [MON] as a wyrmling dragon of a type befitting that [MON] and its virtues. The [MON] can provide ascension to up to two [MON]s each [DURATION] with this reaction.</t>
  </si>
  <si>
    <t>Icy Spit</t>
  </si>
  <si>
    <t>Coating, Disadvantage, Speed Change</t>
  </si>
  <si>
    <t>is coated in freezing viscous slime. A coated target's speed is reduced by [#] ft and it has disadvantage on the first attack roll it makes on each of its turns. A coated target or a creature within [#] ft of it can use an action to clean off the slime.</t>
  </si>
  <si>
    <t>Summon Hunting Companions</t>
  </si>
  <si>
    <t>The [MON] calls 4d6 hunting hounds (use mastiff statistics) to its side. While outdoors, the [MON] can call 4d6 hunting raptors (use blood hawk statistics) instead. These creatures arrive in [DURATION], helping the [MON] and obeying its spoken commands.</t>
  </si>
  <si>
    <t>Drawn from Beyond</t>
  </si>
  <si>
    <t>The [MON] conjures up to 3 ghasts. The ghasts appear in unoccupied spaces within [#] ft of the [MON] that the [MON] can see. The ghasts follow the [MON]'s commands, and it is immune to their Stench. It can't have more than 3 ghasts conjured at one time.</t>
  </si>
  <si>
    <t>Explosive Flask</t>
  </si>
  <si>
    <t>Shadow Traveler</t>
  </si>
  <si>
    <t>As a bonus action while in shadows, dim light, or darkness, the [MON] disappears into the darkness and reappears in an unoccupied space it can see within [#] ft of it. A tendril of inky smoke appears at the origin and destination when it uses this trait.</t>
  </si>
  <si>
    <t>Wall Hop</t>
  </si>
  <si>
    <t>As a bonus action, the [MON] can disappear into a wall and reappear on a 10 ft by-10 ft stone wall or panel of wood that it can see within [#] ft of it. Claw marks briefly appear on the surface of the origin and destination walls when it uses this trait.</t>
  </si>
  <si>
    <t>Unnerving Mask</t>
  </si>
  <si>
    <t>As a reaction when a creature the [MON] can see starts its turn within [#] ft of the [MON], the [MON] can create the illusion that it looks like one of the creature's departed loved ones or bitter enemies. If the creature can see the [MON], it [OUTCOME].</t>
  </si>
  <si>
    <t>Rend</t>
  </si>
  <si>
    <t>Grapple Ending, Lethal, Limbs</t>
  </si>
  <si>
    <t>it loses one non-weapon, non-armor object that is small enough to fit in one hand. The object is teleported to a random unoccupied space within [#] ft of the [MON]. The target feels a mental tug in the general direction to the item until it is recovered.</t>
  </si>
  <si>
    <t>Healing Lotuscraft</t>
  </si>
  <si>
    <t>Healing, Restoring</t>
  </si>
  <si>
    <t>The [MON] can spend [DURATION] crafting a poultice that lasts [DURATION]. When a creature uses an action to apply this poultice to a wound or skin of a creature, the target regains [#dX] hit points and is cured of any diseases or conditions affecting it.</t>
  </si>
  <si>
    <t>Heart Sight</t>
  </si>
  <si>
    <t>Smoky Haze</t>
  </si>
  <si>
    <t>When the [MON] is targeted by a ranged weapon attack or a spell that requires a ranged attack roll, roll a d6. On a 4 or 5, the attacker has disadvantage on the attack roll. On a 6, the attack misses the [MON], disappearing into the smoke surrounding it.</t>
  </si>
  <si>
    <t>Fiery Trail</t>
  </si>
  <si>
    <t>When the [MON] moves along the ground, it can choose to leave behind a trail of fire [#] ft wide and [#] ft tall, which lasts [DURATION]. A creature that begins its turn in the fire or enters it for the first time on a turn takes [#dX] [DMG_TYPE] damage.</t>
  </si>
  <si>
    <t>Darkness Vulnerability</t>
  </si>
  <si>
    <t>Summon Fiendish Steed</t>
  </si>
  <si>
    <t>A fell nightmare or wyvern appears in an empty space within [#] ft of it. The steed follows the [MON]'s commands and acts on its turn. It may attack on the turn on which it is summoned. It remains until the [MON] dismisses it as an action or it is killed.</t>
  </si>
  <si>
    <t>Rust Metal</t>
  </si>
  <si>
    <t>A nonmagical weapon made of metal that hits the [MON] corrodes after dealing damage, taking a permanent -1 penalty to damage rolls per hit. If this penalty reaches -5, the weapon is destroyed. Metal nonmagical ammunition is destroyed after dealing damage.</t>
  </si>
  <si>
    <t>Detach Tongue</t>
  </si>
  <si>
    <t>Disengaging, Grapple Ending, Limbs, Movement</t>
  </si>
  <si>
    <t>As a bonus action, the [MON] can detach its tongue and move up to half its speed without provoking opportunity attacks. If it was grappling a creature with its tongue, the creature is freed. Its tongue regrows by the time it finishes a short or long rest.</t>
  </si>
  <si>
    <t>Rally</t>
  </si>
  <si>
    <t>As a reaction when the [MON] takes damage, it shouts a rallying cry. All [MON]s within [#] ft of it that can hear it gain immunity to the frightened condition [DURATION], and their next attack roll made before this effect ends deals an extra [#dX] damage.</t>
  </si>
  <si>
    <t>Etheric Pulse</t>
  </si>
  <si>
    <t>Advantage, Damage Reduction, Sense</t>
  </si>
  <si>
    <t>becomes partially ethereal. An affected creature's nonmagical attacks deal half damage to creatures other than the [MON]. The [MON] can pinpoint the location of each partially ethereal creature, and it has advantage on attack rolls against such creatures.</t>
  </si>
  <si>
    <t>Even when the [MON] is in plain sight, it takes a successful DC [SAVE_DC] Wisdom (Perception) check to spot a [MON] that has neither moved nor attacked. A creature that tries to enter the [MON]'s space while unaware of the [MON] is surprised by the [MON].</t>
  </si>
  <si>
    <t>Imitative Liquid</t>
  </si>
  <si>
    <t>The [MON] imitates one common or uncommon potion, oil, or other alchemical substance [DURATION]. If it takes no acid, fire, or poison damage during the round it is slain, its remains can be collected and used as the liquid it was imitating before it died.</t>
  </si>
  <si>
    <t>Call Brood</t>
  </si>
  <si>
    <t>The broodmother spawns 2d4 swarms of spiderlings (treat as spiders of the [MON] (treat as giant wolf spider) instead. The creatures arrive in [DURATION], acting as allies of the broodmother and obeying its spoken commands. The creatures remain [DURATION].</t>
  </si>
  <si>
    <t>Blasphemous Counterspell</t>
  </si>
  <si>
    <t>Acid (d8), Cold (d8), Fire (d8), Lightning (d8), Poison (d8)</t>
  </si>
  <si>
    <t>Weight of Wings</t>
  </si>
  <si>
    <t>Blinding, Speed Change</t>
  </si>
  <si>
    <t>Ghost Breath</t>
  </si>
  <si>
    <t>The [MON] takes 1 point of Constitution damage for every hour it is exposed to sunlight, and it dies if its Constitution score reaches 0. Lost Constitution points are recovered at the rate of 1 per day spent underground or otherwise sheltered from the sun.</t>
  </si>
  <si>
    <t>Final Form</t>
  </si>
  <si>
    <t>When the [MON] dies, its corpse transforms into crystal and becomes a Large object that can be attacked and destroyed (AC [#]; [#] hit points; immunity to poison and psychic damage). It can no longer be affected by spells and effects that target creatures.</t>
  </si>
  <si>
    <t>Arcane Instability</t>
  </si>
  <si>
    <t>When the [MON] is reduced to half its maximum hit points or fewer, unstable arcane energy begins to pour from its metal body. A creature that touches the unstable [MON] or hits it with a melee attack while within [#] ft of it takes [#dX] [DMG_TYPE] damage.</t>
  </si>
  <si>
    <t>Painting Sensor</t>
  </si>
  <si>
    <t>While touching one artwork can see and hear through another it has previously touched as if it was in that artwork's space if within 1 mile of it. "Artwork" can mean any painting drawing or design on a flat surface including pattern on a wall or in a book.</t>
  </si>
  <si>
    <t>Hateful Scents</t>
  </si>
  <si>
    <t>Intimidating Legions</t>
  </si>
  <si>
    <t>A single [MON]'s rigid movements appear silly, but, when gathered in numbers, they become an inhuman terror. When the [MON] makes a Charisma (Intimidation) check, it gains a bonus on that check equal to the number of other [MON]s the target can see or hear.</t>
  </si>
  <si>
    <t>Change Scale</t>
  </si>
  <si>
    <t>As a bonus action, the [MON] can change its size to Tiny or Small [DURATION]. While its size is reduced, it can't use In One Bite, and it has advantage on stinger attacks made against creatures larger than it. It can end this effect early as a bonus action.</t>
  </si>
  <si>
    <t>Sound Alarm</t>
  </si>
  <si>
    <t>As a reaction when the [MON] detects a creature within [#] ft of it, the [MON] can emit a hoot or trumpet audible within [#] ft of it. The noise continues until the creature moves out of range, the [MON]'s handler uses an action to soothe it, or [DURATION].</t>
  </si>
  <si>
    <t>Devouring Swarm</t>
  </si>
  <si>
    <t>Constitution (d4)</t>
  </si>
  <si>
    <t>Bludgeoning (Other), Thunder (Other)</t>
  </si>
  <si>
    <t>Pitcher Swallow</t>
  </si>
  <si>
    <t>Beasts of the Sea</t>
  </si>
  <si>
    <t>The [MON] calls 2d4 giant crabs 2 giant sea horses or reef sharks or 1 swarm of quippers provided the [MON] is underwater. The called creatures arrive in [DURATION] acting as allies of the [MON] and obeying its telepathic commands. Beasts remain [DURATION].</t>
  </si>
  <si>
    <t>Summon Demon</t>
  </si>
  <si>
    <t>The [MON] can attempt a magical summoning. A [MON] has a 30 percent chance of summoning 2d4 dretches or one [MON]. A summoned demon appears in an unoccupied space within [#] ft of its summoner, acts as an ally of its summoner, and can't summon other demons.</t>
  </si>
  <si>
    <t>The [MON] can attempt a magical summoning. A [MON] has a 30 percent chance of summoning 2d6 dretches or one [MON]. A summoned demon appears in an unoccupied space within [#] ft of its summoner, acts as an ally of its summoner, and can't summon other demons.</t>
  </si>
  <si>
    <t>Unshakeable Fidelity</t>
  </si>
  <si>
    <t>The [MON] is never voluntarily without its partner. No magical effect or power can cause the [MON] to act against its mate, and no charm or domination effect can cause it to leave their side or to change their feelings of love and loyalty toward each other.</t>
  </si>
  <si>
    <t>Transmuting Gullet</t>
  </si>
  <si>
    <t>Any ongoing spell or magical effect of level [#] or lower in that area ends. For each spell or effect of level [#] or higher in that area, the [MON] must make a Constitution check. The DC equals 10 + the spell's level. On a success, the spell or effect ends.</t>
  </si>
  <si>
    <t>Rampaging</t>
  </si>
  <si>
    <t>As a bonus action, the [MON] can trigger a berserk frenzy that lasts [DURATION]. While in frenzy, it gains resistance to bludgeoning, piercing, and slashing damage, and has advantage on attack rolls. Attack rolls made against a frenzied [MON] have advantage.</t>
  </si>
  <si>
    <t>Zombie Drop</t>
  </si>
  <si>
    <t>At the start of the [MON]'s turn during combat, one corpse falls from the [MON] onto the ground and immediately rises as a zombie under its control. Up to 10 such zombies can be active at one time. Zombies take their turns immediately after the [MON]'s turn.</t>
  </si>
  <si>
    <t>Blinding Gaze</t>
  </si>
  <si>
    <t>Damaging and Poisoning Attachment</t>
  </si>
  <si>
    <t>Attachment Effect, Ongoing Damage, Poisoning</t>
  </si>
  <si>
    <t>Attachment Effect, HP Max Reducing, Ongoing Damage</t>
  </si>
  <si>
    <t>Spell-Deflecting Mirror</t>
  </si>
  <si>
    <t>Any time the [MON] is targeted by a ranged spell attack roll, roll a d6. On a 5, the [MON] is unaffected. On a 6, the [MON] is unaffected and the spell is reflected back at the caster as though it originated from the [MON], turning the caster into the target.</t>
  </si>
  <si>
    <t>Reassemble Bones</t>
  </si>
  <si>
    <t>As a bonus action, the [MON] can rearrange its bone structure to fit into a space as narrow as 1 ft wide without squeezing. It can use a bonus action to reassemble itself into its normal form. While in this compressed form, it can't make melee weapon attacks.</t>
  </si>
  <si>
    <t>Void Deflection</t>
  </si>
  <si>
    <t>As a reaction when a creature the [MON] can see targets it with a ranged spell attack, the [MON] can attempt to deflect the spell. The [MON] makes a Constitution saving throw. If the result is higher than the attack roll, the [MON] is unaffected by the spell.</t>
  </si>
  <si>
    <t>Epic Assassinate</t>
  </si>
  <si>
    <t>During the first turn of combat, the [MON] has advantage on attack rolls against any creature that hasn't acted. Any hit the [MON] scores against a surprised creature is a critical hit, and every creature that can see the [MON]'s attack is rattled [DURATION].</t>
  </si>
  <si>
    <t>Infection Ending, Ongoing Damage</t>
  </si>
  <si>
    <t>Calcify</t>
  </si>
  <si>
    <t>As a reaction when the [MON] takes [#] or more damage on a single turn, it can reduce its hit point max by an amount equal to the damage taken and gain a +[#] bonus to AC. The reduction and bonus last [DURATION]. It can't increase its AC above [#] in this way.</t>
  </si>
  <si>
    <t>Darkness Aura</t>
  </si>
  <si>
    <t>The [MON] can generate an aura of darkness that fills its space and the surrounding [#] ft. This darkness prevents normal vision and darkvision from functioning. Blindsight and truesight function normally. Activating or deactivating the aura is a bonus action.</t>
  </si>
  <si>
    <t>Searing Flare</t>
  </si>
  <si>
    <t>Advantage, Disengaging, Movement</t>
  </si>
  <si>
    <t>The [MON] jumps up to its speed horizontally and half its speed vertically without provoking opportunity attacks. If it ends this movement within [#] ft of a creature, it may make a melee attack against that creature with advantage as part of this same action.</t>
  </si>
  <si>
    <t>Forceful Parry</t>
  </si>
  <si>
    <t>Spiteful Retort</t>
  </si>
  <si>
    <t>Quick Dodge</t>
  </si>
  <si>
    <t>As a reaction when a creature the [MON] can see targets it with an attack, the [MON] can move to an unoccupied space within [#] ft of it without provoking opportunity attacks. If this movement would put the [MON] out of reach of the attacker, the attack misses.</t>
  </si>
  <si>
    <t>Curse Item</t>
  </si>
  <si>
    <t>Misty Veil</t>
  </si>
  <si>
    <t>The [MON] emits a light fog within [#] ft of itself. The mist moves with the [MON], lightly obscuring the area around it. If dispersed by a wind of moderate or greater speed (at least 10 miles per hour), the mist reappears at the start of the [MON]'s next turn.</t>
  </si>
  <si>
    <t>Read Thoughts</t>
  </si>
  <si>
    <t>The [MON] reads the surface thoughts of one creature within [#] ft of it that it can see. [DURATION], it has advantage on attack rolls and on Charisma (Deception), Wisdom (Insight), Charisma (Intimidation), and Charisma (Persuasion) checks against the creature.</t>
  </si>
  <si>
    <t>Central Stalk Weakness</t>
  </si>
  <si>
    <t>Discharging, Weakness</t>
  </si>
  <si>
    <t>When exposed central stalk can be attacked and destroyed (AC [#]; [#] hit points; vulnerability to acid cold and fire). If central stalk is destroyed [MON] has disadvantage on attacks and can't use Expose Stalk until it regrows one at the end of next long rest.</t>
  </si>
  <si>
    <t>Explosive Core</t>
  </si>
  <si>
    <t>Encase in Ice</t>
  </si>
  <si>
    <t>Petrifying, Restraint Effect</t>
  </si>
  <si>
    <t>A restrained creature must repeat this saving throw at the end of its next turn, becoming petrified in ice on a failed save, or ending the effect on itself on a success. The petrification lasts until the creature spends at least [DURATION] in a warm environment.</t>
  </si>
  <si>
    <t>Paint Splash</t>
  </si>
  <si>
    <t>is coated in paint. Roll a die. Even result: target is coated in a warm color paint such as red orange or yellow. Odd result: target is coated in a cool color paint such as blue green or purple. A creature including target can use its action to remove the paint.</t>
  </si>
  <si>
    <t>Bound in Jelly</t>
  </si>
  <si>
    <t>The [MON] and its jelly are wholly reliant on each other. If the [MON]'s jelly is somehow separated from its master, the jelly dies within [DURATION]. If the [MON] is separated from its jelly, it loses its blindsight, Acid Glob action, and Jelly Symbiosis trait.</t>
  </si>
  <si>
    <t>Vomit Swarm</t>
  </si>
  <si>
    <t>The [MON] parts its wrappings voluntarily and releases a swarm of scarab beetles that follow its mental commands. The statistics of this swarm are identical to a swarm of insects, but with the following attack instead of a swarm of insects' standard bite attack:</t>
  </si>
  <si>
    <t>Pulling, Stunning</t>
  </si>
  <si>
    <t>Share Senses</t>
  </si>
  <si>
    <t>While within [#] ft of an envenomed humanoid [MON] sees through target's eyes and hears what target hears [DURATION] gaining benefits of any special senses target has. On subsequent turns [MON] can use a bonus action to extend duration of this effect [DURATION].</t>
  </si>
  <si>
    <t>Ability Score Damage, Infection Effect, Spawning</t>
  </si>
  <si>
    <t>Dexterity (d4)</t>
  </si>
  <si>
    <t>Steal Luck</t>
  </si>
  <si>
    <t>gains disadvantage on the next ability check, attack roll, or saving throw it makes before the end of its next turn. If this causes the target to fail the roll, the [MON] has advantage on one attack roll or saving throw it makes before the start of its next turn.</t>
  </si>
  <si>
    <t>Lemure Poison</t>
  </si>
  <si>
    <t>If a creature dies while poisoned in this way, its body bursts open, spewing vile liquid and a newly-formed lemure devil. The lemure is under the command of any higher-order devil nearby. The deceased creature can't be restored to life until the lemure is killed.</t>
  </si>
  <si>
    <t>Water Vulnerability</t>
  </si>
  <si>
    <t>If completely immersed in water, a [MON]'s movement halves each round until it stops moving completely, becoming incapacitated, and contact with it no longer causes damage. As soon as any portion of it is exposed to the air again, it resumes moving at full speed.</t>
  </si>
  <si>
    <t>Amputating Strike</t>
  </si>
  <si>
    <t>Injury, Self Healing</t>
  </si>
  <si>
    <t>Slashing (d6, d10)</t>
  </si>
  <si>
    <t>The [MON] and any creatures within a [#] ft radius are immune to the effects of natural, environmental cold. If it is invited into a home or building, the [MON] can expand this warming presence to all of its inhabitants, no matter how close they are to the [MON].</t>
  </si>
  <si>
    <t>Deluge</t>
  </si>
  <si>
    <t>Tearful Stench</t>
  </si>
  <si>
    <t>Find Target</t>
  </si>
  <si>
    <t>When the [MON]'s conjurer orders it to find a creature, it can do so unerringly, despite the distance or intervening obstacles, provided the target is on the same plane of existence. The conjurer must have seen the desired target and must speak the target's name.</t>
  </si>
  <si>
    <t>Heavenly Inspiration</t>
  </si>
  <si>
    <t>As a reaction when a creature the [MON] can see fails an ability check or saving throw or misses with a weapon attack, the [MON] can sing a verse of divine music. If the creature hears this song, it can reroll the failed check, save, or attack roll with advantage.</t>
  </si>
  <si>
    <t>Necrotic Prison</t>
  </si>
  <si>
    <t>Creatures restrained by its Encage automatically stabilize at 0 hit points and take no further damage from Encage. If creature damaged from another source while restrained suffers death save failure as normal but immediately stabilizes if not its final death save.</t>
  </si>
  <si>
    <t>Charmed into Approaching and Jumping</t>
  </si>
  <si>
    <t>Approaching, Charm Effect, Toppling</t>
  </si>
  <si>
    <t>If a charmed creature moves within [#] ft of the [MON], it must climb the [MON], no check required. After climbing [#] ft, the charmed creature throws itself off the [MON], taking falling damage, and landing prone in an unoccupied space within [#] ft of the [MON].</t>
  </si>
  <si>
    <t>Charge</t>
  </si>
  <si>
    <t>Extra Damage, Movement, Pushing, Toppling</t>
  </si>
  <si>
    <t>Drag Through</t>
  </si>
  <si>
    <t>A creature that enters or starts its turn inside the [MON]'s whirlwind takes [#dX] [DMG_TYPE] damage. A creature can take this damage just once per round. In addition, ranged missile weapon attacks against the [MON] have disadvantage because of the high-speed wind.</t>
  </si>
  <si>
    <t>Entangle Weapon</t>
  </si>
  <si>
    <t>Mirror Dodge</t>
  </si>
  <si>
    <t>As a reaction when the [MON] would be hit by an attack or affected by a spell, the [MON] replaces itself with an illusory duplicate and teleports to any unoccupied space within [#] ft of it in sight. The [MON] isn't affected and the illusory duplicate is destroyed.</t>
  </si>
  <si>
    <t>Ravening Madness</t>
  </si>
  <si>
    <t>Disadvantage on Intelligence checks and saves. Considers every creature hostile and doesn't benefit from Help action or similar spells/effects that involve help to/from allies. Doesn't stop spellcaster from restoring hit points to it or curing the [MON] with magic.</t>
  </si>
  <si>
    <t>Damage Reduction, Movement</t>
  </si>
  <si>
    <t>The [MON] curls its entire body forming an armored ball. While an armored ball it moves by rolling has resistance to B/P/S damage is immune to the prone condition and it can't make Claw or Tail Slap attacks or climb. The [MON] can uncurl its body as a bonus action.</t>
  </si>
  <si>
    <t>Bone Shaping</t>
  </si>
  <si>
    <t>The [MON] shapes bones with its touch, altering the appearance, function, size, and density of bone to match its needs. It can't use this trait to alter the bones of a living creature, but it can otherwise alter any bone it touches that isn't being worn or carried.</t>
  </si>
  <si>
    <t>Fire Dancer</t>
  </si>
  <si>
    <t>Whenever the [MON] demon is subjected to fire or necrotic damage, it takes no damage, and instead is unaffected by spells and other magical effects that would impede its movement. This trait works like the freedom of movement spell, except it only lasts [DURATION].</t>
  </si>
  <si>
    <t>Soothing Aura</t>
  </si>
  <si>
    <t>Aura of Famine</t>
  </si>
  <si>
    <t>Distracting Swoop</t>
  </si>
  <si>
    <t>Beak</t>
  </si>
  <si>
    <t>Kaleidoscopic Breath</t>
  </si>
  <si>
    <t>Acid (d8), Cold (d8), Fire (d8), Lightning (d8), Necrotic (d8), Poison (d8), Radiant (d8), Thunder (d8)</t>
  </si>
  <si>
    <t>Children of the Night</t>
  </si>
  <si>
    <t>The [MON] calls 2d4 swarms of bats or rats, provided that the sun isn't up. While outdoors, the [MON] can call 3d6 wolves instead. The called creatures arrive in [DURATION], acting as allies of the [MON] and obeying its spoken commands. The beasts remain [DURATION].</t>
  </si>
  <si>
    <t>Strength in Numbers</t>
  </si>
  <si>
    <t>The [MON] grows more powerful when it has charmed allies. For each charmed ally within [#] ft of it, the [MON] gains [#] temporary hit points at the start of its turn, its AC increases by 1, and it deals an extra [#dX] [DMG_TYPE] damage when it hits with any attack.</t>
  </si>
  <si>
    <t>Swampbound</t>
  </si>
  <si>
    <t>The [MON] is bound to a region of swamp within 1 mile of its body. If the [MON] leaves region loses its Soul Drain action until it returns to the region. If it remains outside region automatically teleports back to its corpse after [DURATION] regardless of distance.</t>
  </si>
  <si>
    <t>Nauseous Gas</t>
  </si>
  <si>
    <t>Thunder Stomp</t>
  </si>
  <si>
    <t>Deafening, Pushing</t>
  </si>
  <si>
    <t>If a humanoid dies while consumed, it transforms into a ghast. At the start of its next turn, the [MON] expels the ghast into an unoccupied space within [#] ft of it. The ghast is under the [MON]'s control and acts immediately after the [MON] in the initiative count.</t>
  </si>
  <si>
    <t>is charmed until the song ends. The [MON] must take a bonus action on its subsequent turns to continue singing. It can stop singing at any time. The song ends if the [MON] is incapacitated. A creature can also repeat this saving throw at the end of each of its turns.</t>
  </si>
  <si>
    <t>Ballet of Quickening Steps</t>
  </si>
  <si>
    <t>The [MON] plays a lilting ballet that quickly increases in tempo, increasing the [MON]'s movement speed by [#] ft and allowing it to take the Dodge action as a bonus action on each of its turns. These effects last [DURATION] or until the [MON] plays a different song.</t>
  </si>
  <si>
    <t>Curative Saliva</t>
  </si>
  <si>
    <t>The [MON]'s saliva can be bottled, distilled, and used in 1-ounce doses. An afflicted lycanthrope that drinks this concoction is instantly cured of lycanthropy, requiring no saving throw. This draught can't cure a natural-born lycanthrope of the curse of lycanthropy.</t>
  </si>
  <si>
    <t>Silver Fountain</t>
  </si>
  <si>
    <t>Extra-Dimensional Book Repository</t>
  </si>
  <si>
    <t>A small door on the chest of the [MON] opens into an extra-dimensional bookcase. This bookcase functions exactly as a bag of holding except that it can store only written materials such as books, scrolls, tomes, parchment, folders, notebooks, spellbooks, and the like.</t>
  </si>
  <si>
    <t>Tail Lash</t>
  </si>
  <si>
    <t>Spell Eater</t>
  </si>
  <si>
    <t>If the [MON] is in an area targeted by a spell that enhances plants in that area, such as the entangle, plant growth, and spike growth spells, the [MON] absorbs the spell, ending it, and gains 10 temporary hit points for each level of the spell it absorbed [DURATION].</t>
  </si>
  <si>
    <t>I Work for the Boss</t>
  </si>
  <si>
    <t>If the [MON] is subjected to an effect that would force it to make an Intelligence, Wisdom, or Charisma saving throw while it is within [#] ft of its superior, the [MON] can use its superior's Intelligence, Wisdom, or Charisma modifier for the save instead of its own.</t>
  </si>
  <si>
    <t>Inexorable Charge</t>
  </si>
  <si>
    <t>Lightning Healing</t>
  </si>
  <si>
    <t>If the [MON] would take lightning damage, it dispells any slow effect on the [MON] and heals 1 hit point for each 3 damage the attack would otherwise deal. If this would cause the [MON] to exceed its full normal hit points, it gains any excess as temporary hit points.</t>
  </si>
  <si>
    <t>Tree Dependent</t>
  </si>
  <si>
    <t>The [MON] is mystically bonded to its duskthorn vines and must remain within [#] yards of them or be poisoned. For each [DURATION] it remains out of range of its vines, it takes [#dX] Constitution damage. A [MON] can bond with new vines by performing a 24-hour ritual.</t>
  </si>
  <si>
    <t>Constitution (d6)</t>
  </si>
  <si>
    <t>Reflective Scales</t>
  </si>
  <si>
    <t>When the [MON] is within [#] ft of a source of light, that source of light sheds bright light and dim light for an additional [#] ft. While the [MON] wears or carries an object that sheds light from the daylight spell, the light within [#] ft of the [MON] is sunlight.</t>
  </si>
  <si>
    <t>The [MON] can attempt a magical summoning. A [MON] has a 30 percent chance of summoning 1d3 vrocks, 1d2 hezrous, or one [MON]. A summoned demon appears in an unoccupied space within [#] ft of its summoner, acts as an ally of its summoner, and can't summon other demons.</t>
  </si>
  <si>
    <t>Hunter's Foresight</t>
  </si>
  <si>
    <t>The [MON] can see the immediate future of a creature affected by its hunter's mark spell. While hunter's mark is active on a creature, the [MON] has advantage on attack rolls against the creature and on saving throws against the creature's spells and special abilities.</t>
  </si>
  <si>
    <t>Drake Mount</t>
  </si>
  <si>
    <t>The [MON] has formed a bond with a Medium or larger drake mount. Regardless of the drake's intelligence, it acts as a controlled mount while carrying a [MON], obeying the [MON]'s spoken commands. Mounting and dismounting the drake costs the [MON] only 5 ft of movement.</t>
  </si>
  <si>
    <t>Shearing</t>
  </si>
  <si>
    <t>Whenever the [MON] suffers [#] or more damage from a single attack, a length of its vines breaks free. This animated tendril is under the [MON]'s control, moving and acting as an extension of the creature. Each tendril has AC [#], [#] hit points, and a speed of [#] ft.</t>
  </si>
  <si>
    <t>Flammable Fumes</t>
  </si>
  <si>
    <t>Fire (d6), Thunder (d4, d6)</t>
  </si>
  <si>
    <t>Painting Portal</t>
  </si>
  <si>
    <t>The [MON] uses [#] ft of movemenet to step into one artwork within reach and emerge from second artwork within [#] ft of the first, appearing in an unoccupied space within [#] ft of it. If both artworks are Large or larger, the [MON] can bring up to 3 willing creatures.</t>
  </si>
  <si>
    <t>Failsafe Equipment</t>
  </si>
  <si>
    <t>The [MON] wears wing-like arm and ft flaps folded on its back. If its mount dies or it is dismounted the [MON] descends [#] ft per round and takes no damage from falling if its mount was flying or it gains a swimming speed of [#] ft [DURATION] if its mount was swimming.</t>
  </si>
  <si>
    <t>Summon Bat Swarm</t>
  </si>
  <si>
    <t>Frigid Flare</t>
  </si>
  <si>
    <t>Swift Advance</t>
  </si>
  <si>
    <t>As a reaction when a creature in same space as the [MON] moves the [MON] can move up to its speed with the creature. this movement doesn't provoke opportunity attacks but the [MON] must move in same spaces creature moved ending in creature's space or space nearest to it.</t>
  </si>
  <si>
    <t>Bodyblock</t>
  </si>
  <si>
    <t>As a reaction when the [MON] is grappling a creature when it is hit with a weapon attack by a creature it can see, it uses the creature as a shield, adding [#] to its AC against the attack. If this causes the attack to miss, the attack hits the grappled creature instead.</t>
  </si>
  <si>
    <t>Fiery Death</t>
  </si>
  <si>
    <t>Finger Darts</t>
  </si>
  <si>
    <t>is surrounded by a shadowy aura [DURATION]. While surrounded by the aura, the target takes an extra [#dX] [DMG_TYPE] damage from the [MON]'s melee attacks. Any creature can use an action to extinguish the shadow with a successful DC [SAVE_DC] Intelligence (Arcana) check.</t>
  </si>
  <si>
    <t>Extinguish Light</t>
  </si>
  <si>
    <t>The [MON] creates a [#] ft radius sphere of magical darkness on a point it can see within [#] ft of it. This darkness works like the darkness spell, except creatures inside it have disadvantage on saving throws and the [MON] and its allies are unaffected by the darkness.</t>
  </si>
  <si>
    <t>Cryophobia</t>
  </si>
  <si>
    <t>Deflecting Leap</t>
  </si>
  <si>
    <t>As a reaction when the [MON]'s ward is the target of an attack the [MON] can see, the [MON] can move up to [#] ft toward its ward without provoking opportunity attacks. If it ends this movement within [#] ft of its ward, the [MON] becomes the target of the attack instead.</t>
  </si>
  <si>
    <t>Seaside Rejuvenation</t>
  </si>
  <si>
    <t>If at least one of the [MON]'s accusers is still alive, or if its name hasn't been cleared, a destroyed [MON] gains new body in [DURATION], regaining all hit points and becoming active again. Its new body appears on the beach or dock nearest to one of its living accusers.</t>
  </si>
  <si>
    <t>Mist form: can't take any actions speak or manipulate objects resistance to nonmagical damage. Weightless fly speed [#] ft can hover can enter hostile creature's space and stop there. If air can pass through a space mist can without squeezing but can't pass through water.</t>
  </si>
  <si>
    <t>Bludgeoning (d6), Piercing (d6)</t>
  </si>
  <si>
    <t>Noxious Smoke</t>
  </si>
  <si>
    <t>Dead Tree Stride</t>
  </si>
  <si>
    <t>Once on its turn, the [MON] can use [#] ft of its movement to step into one dead tree within its reach and emerge from a second dead tree within [#] ft of the first tree, appearing in an unoccupied space within [#] ft of the second tree. Both trees must be Large or bigger.</t>
  </si>
  <si>
    <t>Smoke Shroud</t>
  </si>
  <si>
    <t>Obscuring, Stunning</t>
  </si>
  <si>
    <t>One of the Herd</t>
  </si>
  <si>
    <t>A domesticated herd animal that can see the [MON] treats it as a member of the herd regardless of the [MON]'s present form. When such an animal sees a [MON] attack or feed, it becomes immune to this effect [DURATION], acting as it normally would when confronting a predator.</t>
  </si>
  <si>
    <t>Liar Liar</t>
  </si>
  <si>
    <t>Lantern Belly</t>
  </si>
  <si>
    <t>If the [MON] has eaten 8 ounces of candle wax in the last [DURATION], it can emit a continual flame [DURATION]. The continual flame can be dispelled, but the [MON] can resume it as a bonus action if it is not in an area of magical darkness and the time limit hasn't expired.</t>
  </si>
  <si>
    <t>Fling</t>
  </si>
  <si>
    <t>is thrown up to [#] ft away from the [MON] and knocked prone.  If a thrown target strikes a solid surface, it takes [#dX] [DMG_TYPE] damage for every [#] ft it was thrown. If the target is thrown at another creature, that creature takes the same damage and is knocked prone.</t>
  </si>
  <si>
    <t>suffers a burning lesion, taking [#dX] [DMG_TYPE] damage at the start of each of its turns. Any creature can use an action to soothe the burning lesion with a successful DC [SAVE_DC] Wisdom (Medicine) check. The lesion is also soothed if the target receives magical healing.</t>
  </si>
  <si>
    <t>Lesser Metal Corrosion</t>
  </si>
  <si>
    <t>Disadvantage, Infection Effect, Suffocating</t>
  </si>
  <si>
    <t>While infected in this way, a creature has disadvantage on Wisdom saving throws. After [DURATION], the target grows gills, it can breathe water, its skin becomes slimy, and it begins to suffocate if it goes [DURATION] without being immersed in water for at least [DURATION].</t>
  </si>
  <si>
    <t>Restrained by Great Failure</t>
  </si>
  <si>
    <t>is restrained as its limbs become encased in ice. A creature, including the restrained target, can take its action to destroy this ice by succeeding on a DC [SAVE_DC] Strength check as an action. A restrained creature is also freed if it takes at least [#] [DMG_TYPE] damage.</t>
  </si>
  <si>
    <t>Draining Regeneration</t>
  </si>
  <si>
    <t>The [MON] regains [#] hit points at the start of its turn if it has at least 1 hit points and there are living plants within [#] ft of it. When the [MON] regains hit points, all plant life within [#] ft of it dies, and it can't regain hit points from those same plants again.</t>
  </si>
  <si>
    <t>Corpulent Expulsion</t>
  </si>
  <si>
    <t>Bonerot Disease</t>
  </si>
  <si>
    <t>Ability Score Damage, Infection Effect, Speed Change</t>
  </si>
  <si>
    <t>Dexterity (d4), Strength (d4)</t>
  </si>
  <si>
    <t>Grinding Maws</t>
  </si>
  <si>
    <t>The [MON] can burrow through harder substances such as wood, stone, or even metal. While doing so its burrow speed is reduced to half, and it creates a cluster of bore holes that leaves the material porous and weak. The material has -5 to its AC and half the usual hit points.</t>
  </si>
  <si>
    <t>Consume Brain</t>
  </si>
  <si>
    <t>The [MON] consumes the brain of a dead humanoid or giant within [#] ft of it. If the creature died less than [DURATION] ago, the [MON] absorbs the dead creature's knowledge and asks two questions. If the dead creature knew the answers in life, the [MON] learns them instantly.</t>
  </si>
  <si>
    <t>Once on its turn, the [MON] can use [#] ft of its movement to step into one living tree within its reach and emerge from a second living tree within [#] ft of the first tree, appearing in an unoccupied space within [#] ft of the second tree. Both trees must be Large or bigger.</t>
  </si>
  <si>
    <t>Eye Remover</t>
  </si>
  <si>
    <t>Blinding, Disadvantage, Grapple Effect, Injury</t>
  </si>
  <si>
    <t>Stretch Body</t>
  </si>
  <si>
    <t>The [MON] stretches its body across the surface of an object or structure no larger than a [#] ft square within [#] ft of it, sharing the space of the object or structure. The [MON] can end this stretch as a bonus action, moving to the nearest unoccupied space when it does so.</t>
  </si>
  <si>
    <t>Sabotage Spell</t>
  </si>
  <si>
    <t>As a reaction when a creature within [#] ft of it casts a spell that targets the [MON], the [MON] attempts to interrupt it. The [MON] makes an Intelligence check against a DC of 10 + the spell's level. On a success, the spell fails, and the caster takes [#dX] [DMG_TYPE] damage.</t>
  </si>
  <si>
    <t>Leeches</t>
  </si>
  <si>
    <t>loses [#dX] hit points at the start of each of its turns as leeches attach to it and drain its blood. Any creature can use an action to find and remove the leeches with a successful DC [SAVE_DC] Wisdom (Perception) check. The leeches also detach if the target takes [DMG_TYPE] damage.</t>
  </si>
  <si>
    <t>Other (d4), Fire (Other)</t>
  </si>
  <si>
    <t>Elemental Expulsion</t>
  </si>
  <si>
    <t>Acid (Other), Cold (Other), Fire (Other), Lightning (Other)</t>
  </si>
  <si>
    <t>Deceptive Steps</t>
  </si>
  <si>
    <t>While traveling can perform a stomping dance that mimics thundering footsteps of giants. Any creature within half mile that hears it but can't see bearfolk must succeed on a DC [SAVE_DC] Wisdom (Perception) or believe sound comes from Giants (or other Huge or larger creatures).</t>
  </si>
  <si>
    <t>Dispersal</t>
  </si>
  <si>
    <t>As a bonus action, the [MON] can separate itself into a group of distinct vines. While separated in this way, the vines can move through spaces as narrow as 3 inches wide. The separated vines can't attack while in this state, but they can reform into the [MON] as a bonus action.</t>
  </si>
  <si>
    <t>The [MON]'s visual acuity is based on movement. A creature that didn't move between the end of the [MON]'s last turn and beginning of its current turn is invisible to the [MON]. The creature is not invisible to the [MON] if another [MON] within [#] ft of it notices the creature.</t>
  </si>
  <si>
    <t>Concentrated Acid</t>
  </si>
  <si>
    <t>When the [MON] is first brought below half of its maximum hit points, it immediately recharges its breath weapon, if it is not already available. The [MON]'s acid becomes immensely more corrosive, ignoring acid resistance and treating acid immunity as acid resistance [DURATION].</t>
  </si>
  <si>
    <t>Mirror Image</t>
  </si>
  <si>
    <t>A magical illusion cloaks the [MON], creating a reflection of the [MON] nearby and concealing its precise location. While the [MON] is not incapacitated, attack rolls against it have disadvantage. When a creature hits the [MON] with an attack, this trait stops working [DURATION].</t>
  </si>
  <si>
    <t>Hell Hound Affinity</t>
  </si>
  <si>
    <t>Hell hounds view [MON]s as leaders of their packs. A hell hound refuses to attack a [MON] unless the [MON] attacks it first. If coerced, the hell hound has disadvantage on attack rolls against the [MON]. The [MON] has advantage on Charisma (Persuasion) checks against hell hounds.</t>
  </si>
  <si>
    <t>Flaying Leaves</t>
  </si>
  <si>
    <t>Life From Death</t>
  </si>
  <si>
    <t>When the [MON] dies, it explodes in a [#] ft radius burst of raw creation. The area is blanketed in lush native flora, which provides enough food to feed 12 creatures [DURATION]. Corpses in that area that have been dead [DURATION] or less are returned to life with 1d8 hit points.</t>
  </si>
  <si>
    <t>Erratic Discharge</t>
  </si>
  <si>
    <t>Harder Free My Friend</t>
  </si>
  <si>
    <t>Deafening Boom</t>
  </si>
  <si>
    <t>Thunder (d4)</t>
  </si>
  <si>
    <t>Metal shields or armor the rust monster touches with its antennae corrode, taking a permanent -1 penalty to its AC protection per hit. If the penalty reduces the armor's AC protection to 10 the armor is destroyed. If a metal weapon is touched it is subject to the Rust Metal trait.</t>
  </si>
  <si>
    <t>Unstable Bulb</t>
  </si>
  <si>
    <t>Once per turn, the [MON] can deal an extra [#dX] damage when it hits a target with a weapon attack and has advantage on the attack roll, or when the target is within [#] ft of an ally of the [MON] that isn't incapacitated and the [MON] doesn't have disadvantage on the attack roll.</t>
  </si>
  <si>
    <t>The [MON] burrows under the ground without provoking opportunity attacks, moves up to its burrow speed, and then resurfaces in an unoccupied space. If it is within [#] ft of a creature when it emerges, it can make one melee attack against that creature as part of this same action.</t>
  </si>
  <si>
    <t>Shed Oozling</t>
  </si>
  <si>
    <t>As a reaction when it has more than 10 hit points and is subjected to acid cold lightning or slashing it can lose 10 hit points to create an oozling: same stats as [MON] except it is Tiny has 10 hit points can't make Weapon Thrashes and can't use this reaction or legendary actions.</t>
  </si>
  <si>
    <t>Trample</t>
  </si>
  <si>
    <t>Telepathic Sense</t>
  </si>
  <si>
    <t>The [MON] telepathically senses the presence of humanoids within [#] ft of it and gains a mental image of any inanimate object desired by any of the creatures it senses. This ability is blocked by 3 ft of wood or dirt, 1 ft of stone, 1 inch of common metal, or a thin sheet of lead.</t>
  </si>
  <si>
    <t>Gut Lassos</t>
  </si>
  <si>
    <t>The [MON]'s limbs can be attacked (AC [#]; [#] hit points; immunity to poison damage). Destroying a limb deals no damage to the [MON], which can create a replacement on its next turn. A limb can also be destroyed if a creature succeeds on a DC [SAVE_DC] Strength check as an action.</t>
  </si>
  <si>
    <t>Drinking Buddy</t>
  </si>
  <si>
    <t>A creature that shares a drink with a [MON] has advantage on saving throws against being charmed and poisoned [DURATION]. During this time, if the creature takes violent action against the [MON], the creature has disadvantage on these saving throws for the remainder of the duration.</t>
  </si>
  <si>
    <t>Freezing Blood</t>
  </si>
  <si>
    <t>Shell Protection</t>
  </si>
  <si>
    <t>AC Change, Zero Speed</t>
  </si>
  <si>
    <t>As a reaction, the [MON] adds [#] to its AC against one melee attack that would hit it as it withdraws into its shell. Until it emerges, it increases its AC by [#], has a speed of 0 ft, and can't use its claws or magnetic pulse. The [MON] can emerge from its shell as a bonus action.</t>
  </si>
  <si>
    <t>Unholy Aura</t>
  </si>
  <si>
    <t>Advantage, Aura, Disadvantage</t>
  </si>
  <si>
    <t>The [MON] and allies within [#] ft of it have advantage on saving throws against spells and other magic effects and against features that turn undead. Other creatures of the [MON]'s choice within [#] ft of it have disadvantage on saving throws against spells and other magic effects.</t>
  </si>
  <si>
    <t>Void Claw</t>
  </si>
  <si>
    <t>takes [#dX] [DMG_TYPE] damage at the start of each of its turns as wound burns with Void energy. Any creature can use action to purge energy from wound via DC [SAVE_DC] Intelligence (Arcana) check. Energy also leaves the wound if the target receives magical healing ending the effect.</t>
  </si>
  <si>
    <t>The [MON] can attempt a magical summoning. A [MON] has a 50 percent chance of summoning 1d4 vrocks, 1d3 hezrous, 1d2 glabrezus, or one [MON]. A summoned demon appears in an unoccupied space within [#] ft of its summoner, acts as an ally of its summoner, and can't summon other demons.</t>
  </si>
  <si>
    <t>Shatter Mind</t>
  </si>
  <si>
    <t>takes [#dX] [DMG_TYPE] damage at the start of each of its turns. An affected creature can repeat this saving throw at the end of each of its turns, ending the ongoing psychic damage on a success. A creature can also use an action to ground itself in reality, ending the ongoing damage.</t>
  </si>
  <si>
    <t>Rainbow Arch</t>
  </si>
  <si>
    <t>The [MON] instantaneously teleports between sources of fresh water within 1 mile as an action. It can't move normally or take any other action on the turn when it uses this power. When this power is activated, a rainbow manifests between the origin and destination, lasting [DURATION].</t>
  </si>
  <si>
    <t>Powerful Build</t>
  </si>
  <si>
    <t>The [MON] is treated as one size larger if doing so is advantageous to it (such as during grapple checks, pushing attempts, and tripping attempts, but not for the purposes of squeezing or AC). It gains advantage against magical pushing attempts such as gust of wind or Repelling Blast.</t>
  </si>
  <si>
    <t>While charmed in this way, a creature must move on its turn toward the [MON] by the most direct route if it is more than [#] ft away from the [MON]. It won't move into damaging terrain such as lava or a pit, taking whatever route it can to avoid this terrain and still reach the [MON].</t>
  </si>
  <si>
    <t>As a reaction when the [MON] perceives a creature within [#] ft of it or if an area of bright light is within [#] ft of it it shrieks loudly and continuously. The shriek is audible within [#] ft of it. The [MON] continues to shriek [DURATION] after the creature or light has moved away.</t>
  </si>
  <si>
    <t>Head Slam</t>
  </si>
  <si>
    <t>Ever Touching</t>
  </si>
  <si>
    <t>The [MON] maintains awareness of its mate's disposition and health. Damage taken by one is split evenly between both, with the original target of the attack taking the extra point when damage doesn't divide evenly. Any other baneful effect, such as ability damage, affects both equally.</t>
  </si>
  <si>
    <t>Menace Captives</t>
  </si>
  <si>
    <t>The [MON] throws a grappled creature up to [#] ft at another target. On a hit, the target and the thrown creature both take [#dX] [DMG_TYPE] damage. On a miss, only the thrown creature takes the damage. The thrown creature is knocked prone in an unoccupied space adjacent to the target.</t>
  </si>
  <si>
    <t>Sand Shroud</t>
  </si>
  <si>
    <t>Disadvantage, Obscuring</t>
  </si>
  <si>
    <t>A miniature sandstorm constantly whirls around the [MON] in a [#] ft radius. This area is lightly obscured to creatures other than [MON]s. Wisdom (Survival) checks made to follow tracks left by a [MON] or other creatures that were traveling in its sand shroud are made with disadvantage.</t>
  </si>
  <si>
    <t>Interposing Glare</t>
  </si>
  <si>
    <t>As a reaction when the [MON] is hit by a melee attack it can move its severed head in front of the attacker's face. The attacker is affected by the [MON]'s Baleful Glare immediately. If the creature is averting its eyes this turn, it must still make the save, but does so with advantage.</t>
  </si>
  <si>
    <t>Toss</t>
  </si>
  <si>
    <t>Soothsaying</t>
  </si>
  <si>
    <t>Once per week, a [MON] can answer up to three questions about the past, present, or future. All three questions must be asked before the [MON] can give its answers, which are short and may be in the form of a paradox or riddle. One answer always is false, and the other two must be true.</t>
  </si>
  <si>
    <t>Ingest Weapons</t>
  </si>
  <si>
    <t>When the [MON] is hit by a melee weapon and the final, adjusted attack roll is 19 or less, the weapon gains a permanent -1 penalty to damage rolls, after inflicting damage for this attack. If the penalty reaches -5, the weapon is destroyed. Even magic weapons are subject to this effect.</t>
  </si>
  <si>
    <t>When the [MON] uses this ability, it wards itself with its sword. The lightning that wreathes the sword winks out. The lightning reappears at the beginning of the [MON]'s next turn. Until then, the [MON]'s lightning sword deals no lightning damage, and the [MON] can't use Avenging Bolt.</t>
  </si>
  <si>
    <t>Stone Gaze</t>
  </si>
  <si>
    <t>is restrained as it begins to turn to stone. A lesser restoration spell ends this effect. At the beginning of the [MON]'s next turn, if it is still restrained, an affected creature can repeat this saving throw, ending the effect on itself on a success, or becoming petrified on a failure.</t>
  </si>
  <si>
    <t>Know Thoughts</t>
  </si>
  <si>
    <t>The [MON] reads the surface thoughts of one creature within [#] ft of it. This works like the detect thoughts spell, except it can only read surface thoughts and there is no limit to the duration. The [MON] can end this effect as a bonus action or by using an action to change the target.</t>
  </si>
  <si>
    <t>Share Pain</t>
  </si>
  <si>
    <t>Restraining Web</t>
  </si>
  <si>
    <t>is restrained by webbing. As an action, the restrained creature can make a DC [SAVE_DC] Strength check, escaping from the webbing on a success. The effect ends if the webbing is destroyed. The webbing has AC [#], [#] hit points, and immunity to all damage except slashing, fire, and force.</t>
  </si>
  <si>
    <t>Stone Petrification</t>
  </si>
  <si>
    <t>Magical darkness spreads from a point within [#] ft of it, filling a [#] ft radius sphere and spreading around corners. It remains [DURATION], until the [MON] dismisses it, or [DURATION]. A creature with darkvision can't see through this darkness, and nonmagical light can't illuminate it.</t>
  </si>
  <si>
    <t>When two or more foes are adjacent to the [MON], it can enter a deadly battle frenzy. Instead of using its normal multiattack, a frenzied [MON] makes [#] attacks against each hostile creature within [#] ft of it. After it does so, melee attacks against the [MON] have advantage [DURATION].</t>
  </si>
  <si>
    <t>Animate Puppet</t>
  </si>
  <si>
    <t>The [MON] animates up to three wooden puppets it can see within [#] ft of it. This works like the animate objects spell, except the wooden puppet uses the statistics of a Small object, regardless of the puppet's actual size. The jack can have no more than five puppets animated at one time.</t>
  </si>
  <si>
    <t>Contortionist</t>
  </si>
  <si>
    <t>The [MON] can contort its body into unnatural positions, allowing it to easily move through any opening large enough for a Medium creature. It can squeeze through any opening large enough for a Small creature. The [MON]'s destination must still have suitable room to accommodate its volume.</t>
  </si>
  <si>
    <t>Reflective Carapace</t>
  </si>
  <si>
    <t>When the [MON] is targeted by a magic missile spell, a line spell, or a spell that requires a ranged attack roll, roll a d6. On a 1 to 3, the [MON] is unaffected. On a 4 to 6, the [MON] is unaffected, and the spell is reflected back, targeting the caster as if it originated from the [MON].</t>
  </si>
  <si>
    <t>Living Shield</t>
  </si>
  <si>
    <t>As a reaction when a creature the [MON] can see hits it with an attack, the [MON] can give an order to a creature charmed by it within [#] ft of it The charmed creature uses its reaction, if available, to swap places with the [MON]. The attack hits the charmed creature instead of the [MON].</t>
  </si>
  <si>
    <t>Glamour Counter</t>
  </si>
  <si>
    <t>As a reaction when creature [MON] can see within [#] ft of it casts spell can counter the spell. This works like counterspell spell with +6 spellcasting ability check except [MON] can counter only enchantment or illusion spells and it must make the ability check regardless of spell's level.</t>
  </si>
  <si>
    <t>Silt Cloud</t>
  </si>
  <si>
    <t>As a reaction when it takes damage while in water, the [MON] thrashes to stir up a [#] ft radius cloud of silt around itself. The area inside the sphere is heavily obscured [DURATION] in still water or [DURATION] in a strong current. After stirring up the silt, the [MON] can move its speed.</t>
  </si>
  <si>
    <t>Dance of the Luckless</t>
  </si>
  <si>
    <t>If the [MON] dances [DURATION], it creates a fairy ring of small gray mushrooms. The ring lasts [DURATION] and has a [#] ft diameter per dancing [MON]. Non-[MON] who fall asleep (including magical sleep) inside the ring have disadvantage on skill checks [DURATION] from the time they awaken.</t>
  </si>
  <si>
    <t>Instead of dealing damage, the [MON] can steal one item the target is wearing or carrying, provided that the item weighs no more than [#] pounds, isn't a weapon, and isn't wrapped around or firmly attached to the target. The [MON] can only have one stolen item in its possession at one time.</t>
  </si>
  <si>
    <t>Necrotic (d6), Slashing (d6)</t>
  </si>
  <si>
    <t>Spontaneous Explosion</t>
  </si>
  <si>
    <t>Fiendish Countenance</t>
  </si>
  <si>
    <t>When traveling planes of existence demons and devils are native to (ex: Hell, the Abyss) [MON] appears to be a fiend of a type native to that plane. Until it reveals its true nature (no action required) or uses Divine Dictum Spirit Usher or Unmake Contract it is undetectable as a Celestial.</t>
  </si>
  <si>
    <t>While frightened in this way, a creature must spend its turns trying to move as far away from the [MON] as it can. For its action, it can use only the Dash action or try to escape from an effect that prevents it from moving. If there's nowhere to move, the creature can use the Dodge action.</t>
  </si>
  <si>
    <t>All animals, whether wild or domesticated, can sense the unnatural presence of the [MON] at a distance of [#] ft. They will not willingly approach it and become frightened if forced to do so, and they remain frightened as long as they are within that range and [DURATION] after they leave it.</t>
  </si>
  <si>
    <t>Magnetic Push</t>
  </si>
  <si>
    <t>Memory Loss</t>
  </si>
  <si>
    <t>Dynastic Aura</t>
  </si>
  <si>
    <t>Aura, Silencing</t>
  </si>
  <si>
    <t>Ridicule Hope</t>
  </si>
  <si>
    <t>As a reaction when a spell that restores hit points is cast within [#] ft of the [MON], the [MON] can cause that spell to inflict damage instead of curing it. The damage equals the hit points the spell would have cured, and it is split evenly between the caster and the target(s) of the spell.</t>
  </si>
  <si>
    <t>Influence Weather</t>
  </si>
  <si>
    <t>At the start of each [DURATION], the [MON] can choose to change the precipitation and wind within 1 mile of it by one stage up or down (no action required). This works like the control weather spell, except the [MON] can't change the temperature, and the weather conditions change immediately.</t>
  </si>
  <si>
    <t>Grind</t>
  </si>
  <si>
    <t>Overpowering Stench</t>
  </si>
  <si>
    <t>Usher of Souls</t>
  </si>
  <si>
    <t>The [MON] teleports itself and up to eight creatures in contact with it to another plane of existence. This works like the plane shift spell, except dead or incorporeal creatures can be transported and don't have to be willing. The [MON] can't use this ability to banish an unwilling creature.</t>
  </si>
  <si>
    <t>Grapple Effect, Throwing, Toppling</t>
  </si>
  <si>
    <t>Host Defense</t>
  </si>
  <si>
    <t>Forgetful Speech</t>
  </si>
  <si>
    <t>Tendrils</t>
  </si>
  <si>
    <t>The [MON] has [#] limbs. Each limb can be attacked (AC [#]; [#] hit points; vulnerability to slashing damage; immunity to psychic damage). A creature can also destroy a limb by succeeding on a DC [SAVE_DC] Strength check as an action. The [MON] grows back any destroyed limbs after a long rest.</t>
  </si>
  <si>
    <t>Liar's Largesse</t>
  </si>
  <si>
    <t>The [MON] has influence over the recipient of a gift for as long as that creature retains the gift. The recipient receives a -2 penalty on saving throws against the [MON]'s abilities and a further -10 penalty against scrying attempts made by the [MON]. A remove curse spell removes this effect.</t>
  </si>
  <si>
    <t>Grasping Tendrils</t>
  </si>
  <si>
    <t>The [MON]'s limbs can be attacked (AC [#]; [#] hit points; immunity to poison and psychic damage). Destroying a limb deals no damage to the [MON], which can create a replacement on its next turn. A limb can also be destroyed if a creature succeeds on a DC [SAVE_DC] Strength check as an action.</t>
  </si>
  <si>
    <t>Melting Touch</t>
  </si>
  <si>
    <t>Distracting Beauty</t>
  </si>
  <si>
    <t>Apostasy Aura</t>
  </si>
  <si>
    <t>Mirage</t>
  </si>
  <si>
    <t>As a bonus action, the [MON] can create a mirage around itself to lure victims toward it while disguising its true nature. This functions as the mirage arcane spell (save DC [SAVE_DC]) but is nonmagical, and therefore can't be detected using detect magic or similar magic, and can't be dispelled.</t>
  </si>
  <si>
    <t>If the creature is still on the Ethereal Plane when the dead mans fingers dies, the creature returns to the Material Plane. If this would cause a creature to appear in a space occupied by a solid object or creature, it is shunted to the nearest unoccupied space and takes [#dX] [DMG_TYPE] damage.</t>
  </si>
  <si>
    <t>The [MON] stretches its body around the inner walls of a pit or another circular structure. While stretched this way, it forms a hollow cylinder up to [#] ft tall and up to [#] ft in radius. The [MON] can end this stretch as a bonus action, moving to the nearest unoccupied space when it does so.</t>
  </si>
  <si>
    <t>Dual State</t>
  </si>
  <si>
    <t>The [MON] transforms between its material and ethereal forms. When in its material form, it has resistance to nonmagical weapons. In its ethereal form, it is immune to nonmagical weapons. Its ethereal form appears as a dark purple outline of its material form, with a blackish-purple haze within.</t>
  </si>
  <si>
    <t>Regenerating Heads</t>
  </si>
  <si>
    <t>The [MON] has five heads. Whenever the [MON] takes [#] or more damage in one turn, one of its heads dies. If all of its heads die, the [MON] dies. At the end of its turn, it grows 2 heads for each head that was killed since its last turn, unless it has taken [DMG_TYPE] damage since its last turn.</t>
  </si>
  <si>
    <t>Dual Brain</t>
  </si>
  <si>
    <t>The [MON] has two brains: one in its head and one in its abdomen. It can continue functioning normally, even if its head is removed or destroyed. While both its brains are intact, the [MON] uses its Constitution modifier instead of its Intelligence modifier when making Intelligence saving throws.</t>
  </si>
  <si>
    <t>Calming Breath</t>
  </si>
  <si>
    <t>Consume Life Energy</t>
  </si>
  <si>
    <t>The [MON] feasts on the departing life energy of a humanoid within [#] ft of it. The target must have been slain within [DURATION]. The [MON] gains temporary hit points equal to half the dead creature's maximum hit points. Only a spell cast with a 9th-level slot can raise the corpse from the dead.</t>
  </si>
  <si>
    <t>Photograph</t>
  </si>
  <si>
    <t>The [MON] stores a black and white image of what it can see. The [MON] can hold up to 10 images at a time. Retrieving the image storage device inside the [MON] takes [DURATION]. Once the device is accessed, viewing a stored image requires a DC [SAVE_DC] Investigation check to make out any details.</t>
  </si>
  <si>
    <t>The [MON] teleports itself and up to six willing creatures holding hands with [MON], along with any equipment they are wearing or carrying, to a location the [MON] is familiar with, up to 100 miles away. If the destination is a location rich in magical energy, it can teleport up to 300 miles away.</t>
  </si>
  <si>
    <t>Blood Root</t>
  </si>
  <si>
    <t>Constrict Face</t>
  </si>
  <si>
    <t>Attaching, Blinding, Deafening, Suffocating</t>
  </si>
  <si>
    <t>When the [MON] touches a creature or vice versa, it adheres to the creature, enveloping the creature's face and covering its eyes and ears and airways (escape DC [SAVE_DC]). The target creature is immediately blinded and deafened, and it begins suffocating at the beginning of the [MON]'s next turn.</t>
  </si>
  <si>
    <t>Armory Exploit</t>
  </si>
  <si>
    <t>The objects that make up the [MON]'s body can be removed or destroyed. With the exception of the slam attack, an attacker can choose to disable one of the [MON]'s attacks on a critical hit. Alternatively, the attacker can attempt to destroy the [MON]'s focus instead of disabling one of its attacks.</t>
  </si>
  <si>
    <t>Divine Eminence</t>
  </si>
  <si>
    <t>As a bonus action, the [MON] can expend a spell slot to cause its melee weapon attacks to deal an extra [#dX] [DMG_TYPE] damage to a target on a hit. This benefit lasts [DURATION]. If the [MON] expends a spell slot of 2nd level or higher, the extra damage increases by [#dX] for each level above 1st.</t>
  </si>
  <si>
    <t>Corrupt Scroll</t>
  </si>
  <si>
    <t>Fruit of the Land</t>
  </si>
  <si>
    <t>When the [MON] dies, its body sprouts a myriad of nourishing fruits and vegetables. If a creature spends [DURATION] consuming the produce, it gains the benefits of a heroes' feast spell [DURATION]. If the feast isn't consumed within [DURATION], it disintegrates into a mound of dirt and dried leaves.</t>
  </si>
  <si>
    <t>Expelled Spirit</t>
  </si>
  <si>
    <t>While the [MON] body was made to bind spirits, the wraith within is vulnerable to turning attempts. Any successful turn attempt exorcises the wraith from its clockwork frame. The expelled wraith retains its current hit points total and fights normally. The construct dies without an animating spirit.</t>
  </si>
  <si>
    <t>Beguiling Parry</t>
  </si>
  <si>
    <t>Protecting Pounce</t>
  </si>
  <si>
    <t>As a reaction when a rakshasa the [MON] can see within [#] ft of it is the target of an attack the [MON] can move up to half its speed toward that rakshasa without provoking opportunity attacks. If it ends this movement within [#] ft of the rakshasa the [MON] becomes the target of the attack instead.</t>
  </si>
  <si>
    <t>Kick</t>
  </si>
  <si>
    <t>The [MON] can attempt a magical summoning. A [MON] has a 50 percent chance of summoning 1d6 vrocks, 1d4 hezrous, 1d3 glabrezus, 1d2 nalfeshnees, or one [MON]. A summoned demon appears in an unoccupied space within [#] ft of its summoner, acts as an ally of its summoner, and can't summon other demons.</t>
  </si>
  <si>
    <t>Armored Transport</t>
  </si>
  <si>
    <t>The [MON] can carry up to six Medium or eight Small creatures inside its torso. Creatures inside the [MON] have total cover against attacks and other effects outside the [MON]. The two escape hatches sit in the torso and can each be opened as a bonus action, allowing creatures in or out of the [MON].</t>
  </si>
  <si>
    <t>Telepathic Spy</t>
  </si>
  <si>
    <t>The [MON] can perceive any telepathic messages sent or received within [#] ft of it, and can't be surprised by creatures with telepathy. The [MON] is also immune to divination and to any effect that would sense its emotions or read its thoughts, except for the Telepathic Spy feature of another [MON].</t>
  </si>
  <si>
    <t>Prehensile Tail</t>
  </si>
  <si>
    <t>The [MON] can use its tail to pick up or hold a small object that isn't being worn or carried. It can use its tail to interact with objects, leaving its hands free to wield weapons or carry heavier objects. The [MON] can't use its tail to wield a weapon but can use it to trip an opponent (see below).</t>
  </si>
  <si>
    <t>The [MON] creates a fiery portal to the realm of its fiendish parent. The portal appears in an empty space within [#] ft of it and lasts [DURATION] or until it passes through the portal. No one but the [MON] can pass through the portal; anyone else that enters its space takes [#dX] [DMG_TYPE] damage.</t>
  </si>
  <si>
    <t>Seizing Pseudopods</t>
  </si>
  <si>
    <t>The [MON]'s limbs can be attacked (AC [#]; [#] hit points; immunity to acid, poison, and psychic damage). Destroying a limb deals no damage to the [MON], which can create a replacement on its next turn. A limb can also be destroyed if a creature succeeds on a DC [SAVE_DC] Strength check as an action.</t>
  </si>
  <si>
    <t>As a bonus action, the [MON] can touch any skeleton it created with its Animate Bones action and grant the target one of the following benefits [DURATION]: * AC increases by 2 * Reach increases by 5 ft * Melee weapon attacks deal an extra [#dX] damage of the weapon's type. * speed increases by [#] ft.</t>
  </si>
  <si>
    <t>Split</t>
  </si>
  <si>
    <t>As a reaction when a [MON] that is Medium or larger is subjected to [DMG_TYPE] or [DMG_TYPE] damage, it splits into two new [MON]s if it has at least [#] hit points. Each new [MON] has hit points equal to half the original [MON]'s, rounded down. New [MON]s are one size smaller than the original [MON].</t>
  </si>
  <si>
    <t>Lightning (Other), Slashing (Other)</t>
  </si>
  <si>
    <t>If the [MON] is scattered and has at least 1 hit point, it can reform as a bonus action in any space containing at least one of its parts without provoking an opportunity attack. If it reforms within [#] ft of a prone creature, it can make one attack against that creature as part of this bonus action.</t>
  </si>
  <si>
    <t>Eldritch Overload</t>
  </si>
  <si>
    <t>Movement, Speed Change</t>
  </si>
  <si>
    <t>When the [MON] is reduced to half its max hit points or fewer, its speed is doubled and it gains an additional action each turn, which can be used to Dash, Disengage, Hide, Use an Object, or make one melee attack. This effect lasts [DURATION], and when it ends, the [MON] takes [#dX] [DMG_TYPE] damage.</t>
  </si>
  <si>
    <t>Elemental Carapace</t>
  </si>
  <si>
    <t>As a reaction when the [MON] takes acid, cold, force, lightning, or thunder damage, it can attune itself to that type of damage. [DURATION], the [MON] has resistance to damage of the triggering type, and when it hits with any weapon attack, the target takes an extra [#dX] damage of the triggering type.</t>
  </si>
  <si>
    <t>Acid (d6), Cold (d6), Force (d6), Lightning (d6), Thunder (d6)</t>
  </si>
  <si>
    <t>Void Song</t>
  </si>
  <si>
    <t>Officer's Command</t>
  </si>
  <si>
    <t>The [MON] inspires creatures of its choice within [#] ft of it that can hear and understand it and that have a Challenge Rating of [#] or lower. Inspired creatures gain an expertise die (1d4) on attack rolls and saving throws [DURATION]. A creature can benefit from only one Officer's Command at a time.</t>
  </si>
  <si>
    <t>Unfailing Memory</t>
  </si>
  <si>
    <t>Advantage, Communication</t>
  </si>
  <si>
    <t>The [MON] remembers every creature that has ever spoken to it. If creature has spoken to the [MON] and speaks to the [MON] again while polymorphed or disguised the [MON] has advantage on Intelligence (Investigation) Wisdom (Insight) and Wisdom (Perception) checks to identify or recognize that creature.</t>
  </si>
  <si>
    <t>Controlled Mutability</t>
  </si>
  <si>
    <t>The [MON] transforms into any shape, but it always looks like an inside-out fleshy creature no matter the shape it takes. If it changes into the shape of a creature, it doesn't gain any statistics or special abilities of that creature; it only takes on the creature's basic shape and general appearance.</t>
  </si>
  <si>
    <t>Water Step</t>
  </si>
  <si>
    <t>As a bonus action, the [MON] can liquefy itself, disappearing from its current location and reappearing in an unoccupied space it can see within [#] ft of it. Its current location and the new location must be connected by water in some way: a stream, ooze, soggy ground, or even runoff from a drain pipe.</t>
  </si>
  <si>
    <t>Petrifying Acid Spit</t>
  </si>
  <si>
    <t>Opposite Nature</t>
  </si>
  <si>
    <t>Nonmagical attacks against the [MON] restore hit points instead of dealing damage. Magical damage harms the [MON] as normal. Potions of healing deal acid damage to the [MON] equal to the amount of hit points they would normally heal, and spells that restore hit points instead deal necrotic damage to it.</t>
  </si>
  <si>
    <t>Cold Physiology</t>
  </si>
  <si>
    <t>Blood Lure</t>
  </si>
  <si>
    <t>Extra Damage, Recharging</t>
  </si>
  <si>
    <t>Piercing (d6), Slashing (d6)</t>
  </si>
  <si>
    <t>Cursed Existence</t>
  </si>
  <si>
    <t>When the [MON] drops to 0 hit points in desert terrain, the [MON]'s body disintegrates into sand and a sudden parched breeze. However, unless it was killed in a hallowed location, with radiant damage, or by a blessed creature, the [MON] reforms at the next sundown 1d100 miles away in a random direction.</t>
  </si>
  <si>
    <t>Berserk</t>
  </si>
  <si>
    <t>When the [MON] starts its turn with half its hit points or fewer, roll a d6. On a 6, the [MON] goes berserk. While berserk, the [MON] attacks the nearest creature it can see. If it can't reach a creature, it attacks an object. The [MON] stays berserk until it is destroyed or restored to full hit points.</t>
  </si>
  <si>
    <t>A creature slain by this attack turns to ash. A humanoid slain by this attack rises [DURATION] later as a shadow, unless the humanoid is restored to life or its ashes are doused in holy water. The shadow isn't under the [MON]'s control, but it follows in the [MON]'s wake and aids the [MON] when possible.</t>
  </si>
  <si>
    <t>Explosive Charge</t>
  </si>
  <si>
    <t>Fire (d8), Force (d8)</t>
  </si>
  <si>
    <t>The [MON] transforms into a mass of sand or a glass humanoid. While in sand form, the [MON] has a burrow speed of [#] ft, it can move through a space as narrow as 1 inch wide without squeezing, and it is immune to the grappled condition. While in glass form, the [MON] has vulnerability to thunder damage.</t>
  </si>
  <si>
    <t>Diseased Ichor</t>
  </si>
  <si>
    <t>Stone Spikes</t>
  </si>
  <si>
    <t>Frightening, Paralyzing</t>
  </si>
  <si>
    <t>Second Roar: A creature that fails the saving throw takes [#dX] [DMG_TYPE] damage and [OUTCOME]. On a success, the creature takes half damage. While frightened by this roar the creature is paralyzed. It can repeat this saving throw at the end of each of its turns, ending the effect on itself on a success.</t>
  </si>
  <si>
    <t>Relay</t>
  </si>
  <si>
    <t>Impaling Tongues</t>
  </si>
  <si>
    <t>The [MON]'s limbs can be attacked (AC [#]; [#] hit points; immunity to poison and psychic damage). Destroying a limb deals no damage to the [MON]. A limb can also be destroyed if a creature succeeds on a DC [SAVE_DC] Strength check as an action. Destroyed limbs regrow after the [MON] finishes a long rest.</t>
  </si>
  <si>
    <t>Shoot into the Sun</t>
  </si>
  <si>
    <t>When the [MON] is roused for combat, the [MON] opens many of its eyes, emitting blinding light. All ranged attacks, including ranged spells that require a spell attack roll, are made with disadvantage against the [MON]. The effect persists as long as the [MON] desires, up to a total of [DURATION] per day.</t>
  </si>
  <si>
    <t>Blood Bearer</t>
  </si>
  <si>
    <t>A creature that subsists on blood, such as a vampire, can use its action while within [#] ft of the [MON] to drain blood from it. The creature can drain up to the [MON]'s current temporary hit points, regaining hit points equal to that amount. The [MON] then loses temporary hit points equal to that amount.</t>
  </si>
  <si>
    <t>Contagious</t>
  </si>
  <si>
    <t>If a creature fails this saving throw, this effect jumps to another creature within [#] ft of it that hasn't been targeted by this ability yet on this turn. This effect will continue to jump to new targets until a creature succeeds on this saving throw or there are no more creatures within range to target.</t>
  </si>
  <si>
    <t>must go on a rampage [DURATION]. A rampaging creature must attack the nearest living creature or smash some object smaller than itself if no creature can be reached with a single move. A rampaging target can repeat this saving throw at the end of each of its turns, ending the effect on itself on a success.</t>
  </si>
  <si>
    <t>Steam Blast</t>
  </si>
  <si>
    <t>Impale and Toss</t>
  </si>
  <si>
    <t>Haunting Vision</t>
  </si>
  <si>
    <t>As a reaction when a [MON] is attacked by a creature it can see within [#] ft of it, the [MON] can haunt the creature with a vision of the creature's death. The haunted creature has disadvantage on its next attack roll. Undead creatures and creatures that are unable to be killed are immune to this reaction.</t>
  </si>
  <si>
    <t>Hail of Needles</t>
  </si>
  <si>
    <t>Corpse Detonation</t>
  </si>
  <si>
    <t>Bludgeoning (d6), Poison (d4), Slashing (d6)</t>
  </si>
  <si>
    <t>Giant Form</t>
  </si>
  <si>
    <t>The [MON] becomes a Huge, semi-substantial creature of billowing cloud. In this form, it gains resistance to nonmagical damage, and its melee attacks gain a reach of [#] ft. The effect ends after [DURATION], when the [MON] is incapacitated, or if the [MON] is brought to below half of its maximum hit points.</t>
  </si>
  <si>
    <t>Mad Dash</t>
  </si>
  <si>
    <t>Disengaging, Movement, Toppling</t>
  </si>
  <si>
    <t>Call Potion</t>
  </si>
  <si>
    <t>Obscuring, Poisoning</t>
  </si>
  <si>
    <t>Knightly Inspiration</t>
  </si>
  <si>
    <t>The [MON] inspires creatures of its choice within [#] ft of it that can hear and understand it. Inspired creatures gain an expertise die (1d4) on attack rolls and saving throws [DURATION]. A creature can benefit from only one Knightly Inspiration at a time and the [MON] can't target itself with this ability.</t>
  </si>
  <si>
    <t>Parent Vine</t>
  </si>
  <si>
    <t>The [MON] is attached to a nearby tree by a thick vine that is between [#] and [#] ft long. The vine has AC [#], [#] hit points, and resistance to all damage except for slashing damage. If this vine is severed, the [MON] loses its Regeneration trait and suffers one level of exhaustion per hour until it dies.</t>
  </si>
  <si>
    <t>Corporeal Form</t>
  </si>
  <si>
    <t>The [MON] takes on a material form. In material form it loses its incorporeal trait its fly speed and its immunity to the grappled prone and restrained conditions. The [MON] instantly reverts to its incorporeal form if it has half its hit points or fewer and it can do so voluntarily at any time as an action.</t>
  </si>
  <si>
    <t>Tendril Curtain</t>
  </si>
  <si>
    <t>While transformed, the [MON] retains its statistics and ability to speak, but its AC, movement modes, Strength, Dexterity, and special senses are replaced by those of the new form, and it gains any statistics and capabilities (except class features, legendary actions, and lair actions) that the new form has.</t>
  </si>
  <si>
    <t>As a reaction when the [MON] succeeds on a saving throw against a hostile creature spell, the [MON] doesn't suffer the effects of that spell. If it uses Void Casting on its next turn, the [MON] can affect all creatures hit by its spell or who fail a saving throw against its spell instead of just one creature.</t>
  </si>
  <si>
    <t>takes [#dX] [DMG_TYPE] damage at the start of each of its turns as splinters break off from the claws and dig into the wound. Any creature can use an action to remove the splinters with successful DC [SAVE_DC] Wisdom (Medicine) check. The splinters fall out of the wound if the target receives magical healing.</t>
  </si>
  <si>
    <t>Toboggan Charge</t>
  </si>
  <si>
    <t>As a bonus action, the [MON] teleports from an area of dim light or darkness it currently occupies, along with any equipment it is wearing or carrying, up to [#] ft to any other area of dim light or darkness it can see. The [MON] then has advantage on the first melee attack it makes before the end of the turn.</t>
  </si>
  <si>
    <t>Pincers</t>
  </si>
  <si>
    <t>Injury</t>
  </si>
  <si>
    <t>If the [MON] scores a critical hit against a creature, roll a d6. On a 1-3, it severs the target's arm, and on a 4-6 it severs the target's leg. A creature missing an arm can't wield weapons that require two hands, and if a creature is missing a leg, its speed is halved. Creatures without limbs are unaffected.</t>
  </si>
  <si>
    <t>The [MON] has seven heads. Whenever the [MON] takes [#] or more damage in one turn, one of its heads dies. If all of its heads die, the [MON] dies. At the end of its turn, it grows 2 heads for each head that was killed since its last turn, unless it has taken at least [#] [DMG_TYPE] damage since its last turn.</t>
  </si>
  <si>
    <t>Cold ([#])</t>
  </si>
  <si>
    <t>Ash Cloud</t>
  </si>
  <si>
    <t>Blinding, Obscuring</t>
  </si>
  <si>
    <t>Sacrifice Life</t>
  </si>
  <si>
    <t>The [MON] sacrifices itself to heal a nihileth within [#] ft of it. All of its remaining hit points transfer to the nihileth in the form of healing. The [MON] is reduced to 0 hit points and it doesn't make an undead Fortitude saving throw. A nihileth can't be healed above its maximum hit points in this manner.</t>
  </si>
  <si>
    <t>Splash Zone</t>
  </si>
  <si>
    <t>When a creature that the [MON] can see misses it with an attack, the attack is automatically redirected against another creature within [#] ft of the [MON], using the same attack roll to determine whether it hits or misses. If no other creature is within [#] ft of the [MON], it is redirected onto the attacker.</t>
  </si>
  <si>
    <t>Defiling Smear</t>
  </si>
  <si>
    <t>Leadership</t>
  </si>
  <si>
    <t>As a reaction, the [MON] issues a special command or warning when a nonhostile creature that it can see within [#] ft of it makes an attack roll or a saving throw. The creature can add a d4 to its roll, provided it can hear and understand the [MON]. A creature can benefit from only one Leadership die at a time.</t>
  </si>
  <si>
    <t>Vomit Leeches</t>
  </si>
  <si>
    <t>Ongoing Damage, Temporary Self Healing</t>
  </si>
  <si>
    <t>gains [#dX] undead leeches, which attach to it. A creature takes [#] [DMG_TYPE] damage per leech attached to it it at the start of its turn, and the [MON] gains the same number of temporary hit points. As an action, a creature can remove or destroy [#dX] leeches from itself or another creature within its reach.</t>
  </si>
  <si>
    <t>Other (d6), Necrotic (Other), Other (d3)</t>
  </si>
  <si>
    <t>Ravenous Gorge</t>
  </si>
  <si>
    <t>The [MON] consumes the organs of a corpse in a space it occupies. It gains temporary hit points equal to the dead creature's hit dice that last [DURATION]. Organs consumed by this ability are gone, and the creature can't be restored to life through spells and magical effects that require a mostly intact corpse.</t>
  </si>
  <si>
    <t>Gale Blast</t>
  </si>
  <si>
    <t>Hostile or Passive Charm</t>
  </si>
  <si>
    <t>While charmed in this way, a creature experiences one of the following additional effects of the [MON]'s choice: (1) The creature becomes hostile toward another creature of the [MON]'s choice. (2) The creature rolls a d20 at the start of each of its turns. On a 1-10, it does not move or take actions [DURATION].</t>
  </si>
  <si>
    <t>Smother</t>
  </si>
  <si>
    <t>Gliding Wings</t>
  </si>
  <si>
    <t>The [MON] can use its wings to slowly descend when falling (as if under the effect of the feather fall spell). It can move up to 5 ft horizontally for every ft it falls. The [MON] can't gain height with these wings alone. If subjected to a strong wind or lift of any kind, it can use the updraft to glide farther.</t>
  </si>
  <si>
    <t>Wildfire</t>
  </si>
  <si>
    <t>The [MON] moves up to half its speed without provoking opportunity attacks. It can enter the spaces of hostile creatures but not end this movement there. When it enters a creature's space for the first time during this movement, the [MON] can make a melee attack against that creature as part of this same action.</t>
  </si>
  <si>
    <t>The [MON] targets a humanoid within [#] ft of it that died violently less than [DURATION] ago. The target's spirit rises as a wraith in the space of its corpse or in the nearest unoccupied space. This wraith is under the [MON]'s control. The [MON] can keep no more than five wraiths under its control at one time.</t>
  </si>
  <si>
    <t>Cloud of Mosquitos</t>
  </si>
  <si>
    <t>When the [MON] is reduced to 0 hit points, it transforms into a swarm of mosquitos (use the statistics of a swarm of insects). If at least one mosquito from the [MON] survives [DURATION], the [MON] reforms at the following dusk from the remaining mosquitos, regaining all its hit points and becoming active again.</t>
  </si>
  <si>
    <t>Bloodied Ichor</t>
  </si>
  <si>
    <t>While the [MON] has half its hit points or fewer and is in a body of water, black ichor leaks from it in a [#] ft radius, spreading around corners but not leaving the water. The area is lightly obscured to all creatures except the [MON]. A creature that starts its turn in that area takes [#dX] [DMG_TYPE] damage.</t>
  </si>
  <si>
    <t>Four-Part Harmony</t>
  </si>
  <si>
    <t>An animated [MON] is always composed of four instruments that sit or hover close together acting with singular intent. If an attack deals at least [#] damage to the [MON] then one of the instruments falls unconscious causing the [MON] to deal one die less of damage with its Trouble Clef and Orchestra Hit actions.</t>
  </si>
  <si>
    <t>Absorb Malleable</t>
  </si>
  <si>
    <t>As a bonus action, the [MON] absorbs one [MON] within [#] ft of it that is equal in size or smaller into its body, regaining a number of hit points equal to the absorbed [MON]'s remaining hit points. The [MON] is affected by any conditions, spells, and other magical effects that were affecting the absorbed [MON].</t>
  </si>
  <si>
    <t>Dreamer's Gaze</t>
  </si>
  <si>
    <t>Guardian's Grasp</t>
  </si>
  <si>
    <t>As a reaction when a creature the [MON] can see within [#] ft of it is targeted with an attack, the [MON] can pull the target out of harm's way. If the creature is willing, it is pulled up to [#] ft closer to the [MON], and the [MON] becomes the new attack target. If a creature isn't willing, this reaction fails.</t>
  </si>
  <si>
    <t>Wormkiller Rage</t>
  </si>
  <si>
    <t>If the [MON] draws blood against vermin, a purple worm, or other underground invertebrates, it gains a +[#] boost to its Strength and Constitution, but suffers a -[#] penalty to its AC. The wormkiller rage lasts [DURATION]. It can't end the rage voluntarily while the creatures that sent it into a rage still lives.</t>
  </si>
  <si>
    <t>Lightning</t>
  </si>
  <si>
    <t>Hardened Tar</t>
  </si>
  <si>
    <t>Paralyzing, Self Healing</t>
  </si>
  <si>
    <t>If the [MON] takes [DMG_TYPE] damage in the same round it is reduced to 0 hit points, it is paralyzed [DURATION], remaining alive. If the [MON] takes [DMG_TYPE] damage while paralyzed in this way, it regains a number of hit points equal to the [DMG_TYPE] damage dealt. Otherwise, it dies at the end of the duration.</t>
  </si>
  <si>
    <t>is restrained by webbing. As an action, the restrained creature can make a DC [SAVE_DC] Strength check, escaping from the webbing on a success. The effect ends if the webbing is destroyed. The webbing has AC [#], [#] hit points, vulnerability to fire damage, and immunity to bludgeoning, poison, and psychic damage.</t>
  </si>
  <si>
    <t>Melancholic Emanation</t>
  </si>
  <si>
    <t>Aura, Knockout</t>
  </si>
  <si>
    <t>Magical Horn</t>
  </si>
  <si>
    <t>The power of the [MON] comes from its horn. If the horn is ever removed, the [MON] loses its fiendish Horn Blast action and its Innate Spellcasting trait, and its Charisma score is reduced to 8 (-1). If the [MON] receives a new horn through regenerative magic or a blessing from its patron, it regains what it lost.</t>
  </si>
  <si>
    <t>Trophy Shield</t>
  </si>
  <si>
    <t>AC Change, Disadvantage</t>
  </si>
  <si>
    <t>If the [MON] killed an opponent this turn, as a bonus action, it takes part of the slain creature's essence along with a grisly trophy and mounts it upon its shield. [DURATION], the AC of the [MON] becomes [#], and creatures of the same race as the slain creature have disadvantage on attack rolls against the [MON].</t>
  </si>
  <si>
    <t>Inviting Song</t>
  </si>
  <si>
    <t>The [MON] targets a humanoid within [#] ft of it that died violently less than [DURATION] ago. The target's spirit rises as a specter in the space of its corpse or in the nearest unoccupied space. The specter is under the [MON]'s control. The [MON] can have no more than seven specters under its control at one time.</t>
  </si>
  <si>
    <t>Grasping Hair</t>
  </si>
  <si>
    <t>The [MON]'s limbs can be attacked (AC [#]; [#] hit points; immunity to necrotic, poison, and psychic damage; resistance to bludgeoning, piercing, and slashing damage from nonmagical attacks not made with silvered weapons). A limb can be destroyed if a creature succeeds on a DC [SAVE_DC] Strength check as an action.</t>
  </si>
  <si>
    <t>Shifting Floor</t>
  </si>
  <si>
    <t>Overflow</t>
  </si>
  <si>
    <t>HP Max Reducing, Infection Effect, Spawning</t>
  </si>
  <si>
    <t>Every [DURATION] that elapse, the target must repeat this saving throw, reducing its hit point max by [#dX] on a failure. If the disease reduces its hit point max to 0, the [MON] has devoured the creature's insides and the affected becomes a [MON], retaining its outward shell but replacing its flesh with [MON] ooze.</t>
  </si>
  <si>
    <t>Stride of Damnation</t>
  </si>
  <si>
    <t>Spirit Usher</t>
  </si>
  <si>
    <t>Disadvantage, Temporary Healing</t>
  </si>
  <si>
    <t>The [MON] wards a creature with divine power [DURATION]. Celestials, fiends, and undead have disadvantage on attack rolls against the warded creature, and it can't be charmed, frightened, or possessed by them. The warded creature gains [#] temporary hit points, and, if slain, can't be raised as an undead for 1 year.</t>
  </si>
  <si>
    <t>is restrained by webbing. As an action, the restrained creature can make a DC [SAVE_DC] Strength check, escaping from the webbing on a success. The effect ends if the webbing is destroyed. The webbing has AC [#], [#] hit points, vulnerability to radiant damage, and immunity to bludgeoning, poison, and psychic damage.</t>
  </si>
  <si>
    <t>Ringed by Ice and Death</t>
  </si>
  <si>
    <t>Aura, Recharging</t>
  </si>
  <si>
    <t>The [MON] is surrounded by an aura of cold, necrotic magic. At the start of the [MON]'s turn, hostile creatures within [#] ft of it take [#dX] [DMG_TYPE] damage plus [#dX] [DMG_TYPE] damage. If two or more hostile creatures take damage from the aura on a single turn, the [MON]'s black ice spray recharges immediately.</t>
  </si>
  <si>
    <t>Cold (d4), Necrotic (d4)</t>
  </si>
  <si>
    <t>Arrow Bane</t>
  </si>
  <si>
    <t>When the [MON] is targeted by an attack or spell that requires a ranged attack roll, roll a d6. On a 1 to 5, the attacker has disadvantage on the attack roll. On a 6, the [MON] is unaffected, and the attack is reflected back at the attacker as though it originated from the [MON], turning the attacker into the target.</t>
  </si>
  <si>
    <t>Betraying, Curse Effect</t>
  </si>
  <si>
    <t>If a cursed creature starts its turn within [#] ft of a creature it can see, it has a 50% chance of going into a rage [DURATION]. While raged cursed creature must attack nearest creature. If no creature is near enough to move to and attack cursed creature stalks off in a random direction seeking a target for its rage.</t>
  </si>
  <si>
    <t>Hazardous Hop</t>
  </si>
  <si>
    <t>The [MON] can attempt a magical summoning. A [MON] has a 50 percent chance of summoning 1d8 vrocks, 1d6 hezrous, 1d4 glabrezus, 1d3 nalfeshnees, 1d2 mariliths, or one goristro. A summoned demon appears in an unoccupied space within [#] ft of its summoner, acts as an ally of its summoner, and can't summon other demons.</t>
  </si>
  <si>
    <t>The [MON] can spend [DURATION] focusing its attention on the forest, conjuring an invisible, sapling-shaped sensor anywhere in its forest within 1 mile of it. It can see and hear everything within [#] ft of this sensor, but it is deaf and blind with regard to its own senses while doing so. The sensor lasts [DURATION].</t>
  </si>
  <si>
    <t>Ghost Eater</t>
  </si>
  <si>
    <t>The [MON] has advantage on attack rolls against ghosts, wraiths, and other undead with the Incorporeal Movement trait, and such creatures aren't immune to the damage dealt by its attacks. When the [MON] kills one of these creatures, the [MON] gains temporary hit points equal to double the creature's CR (minimum of 1).</t>
  </si>
  <si>
    <t>Playing Dead</t>
  </si>
  <si>
    <t>As a reaction when reduced to [#] hit points or less it feigns death in hopes of deceiving its attackers. A creature that sees it in this state can determine it is a ruse via DC [SAVE_DC] Wisdom (Medicine) check. Ruse lasts [DURATION] up to [DURATION]. 1st attack it makes within [DURATION] of ending ruse has advantage.</t>
  </si>
  <si>
    <t>Quicksilver Infusion</t>
  </si>
  <si>
    <t>Damage Reduction, Speed Change</t>
  </si>
  <si>
    <t>At the start of the [MON]'s turn, a syringe on its back injects it with an alchemical infusion, which lasts [DURATION]. The [MON] takes [#dX] [DMG_TYPE] damage when it activates this infusion. The [MON]'s silver hide turns to shifting quicksilver, increasing its speed to [#] ft and granting it resistance to all damage.</t>
  </si>
  <si>
    <t>Assimilation</t>
  </si>
  <si>
    <t>The [MON] has six limbs. Whenever it takes [#] or more damage in a single turn, one of its limbs is shorn from its body. Whenever a non-undead creature drops to 0 hit points within [#] ft of the [MON], it can use its reaction to sprout one additional limb, up to a maximum of ten. Additional limbs atrophy after one day.</t>
  </si>
  <si>
    <t>Mystic Sight</t>
  </si>
  <si>
    <t>The [MON] sees death coming and can foretell the manner of a person's death. This ability does not come with any urge to share that information. The [MON]s are notorious for hinting, teasing, and even lying about a creature's death ("If we fight, I will kill you and eat your heart. I have seen it,"is a favorite bluff).</t>
  </si>
  <si>
    <t>Voracious</t>
  </si>
  <si>
    <t>The [MON]'s tentacles glow when a spell is cast within [#] ft of it, countering the spell. This reaction works like the counterspell spell, except the [MON] must always make a spellcasting ability check, no matter the spell level. Its ability check for this is +5. If it successfully counters the spell, the [MON] feeds.</t>
  </si>
  <si>
    <t>Whorling Jaws</t>
  </si>
  <si>
    <t>Whenever the [MON] suffers [#] or more piercing or slashing damage in a single round, its flesh opens up to reveal a set of gnashing teeth. [DURATION], the [MON] can make a bite attack as a bonus action on each of its turns. Alternatively, the [MON] can use a bonus action to lose [#] hit points and activate this trait.</t>
  </si>
  <si>
    <t>Voracious Greed</t>
  </si>
  <si>
    <t>Equipment Damage, Self Healing</t>
  </si>
  <si>
    <t>Arcane Barrage</t>
  </si>
  <si>
    <t>Bound by Calamity</t>
  </si>
  <si>
    <t>The [MON] is bound to a region where a major catastrophe will happen. This region can be of any size but is never smaller than 1 square mile. If the [MON] leaves this region, it loses its Rejuvenation trait and [MON]'s Lament action. It permanently dies if it remains outside of its bound region for more than [DURATION].</t>
  </si>
  <si>
    <t>Maelstrom</t>
  </si>
  <si>
    <t>While charmed in this way, a creature must move toward the [MON] by the most direct route on its turn, trying to get within [#] ft of the [MON]. It doesn't avoid opportunity attacks, but before moving into damaging terrain, such as lava or a pit, it can repeat this saving throw, ending the effect on itself on a success.</t>
  </si>
  <si>
    <t>Manipulate Currents</t>
  </si>
  <si>
    <t>Area, Pushing</t>
  </si>
  <si>
    <t>Telekinetic Grip</t>
  </si>
  <si>
    <t>is moved up to [#] ft in a direction of the [MON]'s choice. If the target is an object weighing 300 pounds or less that isn't being worn or carried, the [MON] can move it up to [#] ft. The [MON] can also use this action to exert fine control on objects, such as manipulating a simple tool or opening a door or a container.</t>
  </si>
  <si>
    <t>Phantasmal Bite</t>
  </si>
  <si>
    <t>Mystic Messages</t>
  </si>
  <si>
    <t>The [MON] can communicate with its maker via magical whispers at a distance up to [#] ft. Only its master hears these messages and can reply. Its messages go through solid objects but rm are halted by stone, magical silence, a sheet of lead, and similar obstacles. Its voice can travel through keyholes and around corners.</t>
  </si>
  <si>
    <t>Twisted Step</t>
  </si>
  <si>
    <t>The [MON] projects itself beyond reality for a short time. [DURATION], it can move through objects as if they were difficult terrain, provided that an object is no more than 3 ft thick and at least one side of the object is in dim light or darkness. It takes [#dX] [DMG_TYPE] damage if it starts its turn inside an object.</t>
  </si>
  <si>
    <t>Ectoplasmic Spray</t>
  </si>
  <si>
    <t>Curse of Crystalization</t>
  </si>
  <si>
    <t>Curse Effect, Extra Damage</t>
  </si>
  <si>
    <t>Siphon Time</t>
  </si>
  <si>
    <t>As a bonus action, a [MON] chooses one creature it can see. The [MON]'s clockwork heart vibrates rapidly, bending time to give the [MON] the upper hand against its chosen target. The [MON] chooses whether to have advantage on its attacks against that target or on saving throws against spells cast by the target [DURATION].</t>
  </si>
  <si>
    <t>Intimidating Rebuff</t>
  </si>
  <si>
    <t>As a reaction when a creature the [MON] can see within [#] ft of it targets it with an attack [MON] can make a Strength (Intimidation) check taking half a step forward snarling or otherwise spooking the attacker. If check is equal to or higher than attack roll attacker must reroll the attack using lower of the two results.</t>
  </si>
  <si>
    <t>Psychic Awareness</t>
  </si>
  <si>
    <t>If the [MON] is being directly observed at the start of its turn, it can immediately make a Wisdom (Perception) check to notice the observer. Once it has noticed the observer, it always knows the observer's exact location, regardless of cover, obscurement, or invisibility, as long as observer is within [#] ft of the [MON].</t>
  </si>
  <si>
    <t>Bloodthirsty Pounce</t>
  </si>
  <si>
    <t>Bonus Action Attack, Movement, Temporary Self Healing, Toppling</t>
  </si>
  <si>
    <t>Precognition</t>
  </si>
  <si>
    <t>The [MON] catches a glimpse of an attack just before it lands, giving it time to react. As a reaction when a creature the [MON] can see hits it with a melee attack, the attacker has disadvantage on the attack roll. Alternatively, when the [MON] misses with a melee weapon attack, it can reroll the attack roll with advantage.</t>
  </si>
  <si>
    <t>Prismatic Glow</t>
  </si>
  <si>
    <t>The [MON] sheds rainbow illumination (as the daylight spell). It can't extinguish this glow without perishing, but can reduce it to the level of torchlight at will. If it is targeted by an effect that would change its form or alter its appearance, it still has a faint, diffused glow that is visible in dim light or darkness.</t>
  </si>
  <si>
    <t>Undead Creator</t>
  </si>
  <si>
    <t>Consumption Effect, Self Healing, Spawning</t>
  </si>
  <si>
    <t>When a creature dies while consumed by the [MON], the [MON] regains [#dX] hit points and the corpse of creature rises as a zombie. This works like the animate dead spell except zombie stays under [MON]'s control for [[DURATION]. At end of this duration or when [MON] is destroyed corpse melts into a puddle of necrotic slime.</t>
  </si>
  <si>
    <t>Other (d10), Other (d4)</t>
  </si>
  <si>
    <t>Arcane Absorption</t>
  </si>
  <si>
    <t>Disadvantage, Magic Disrupting, Recharging, Self Healing</t>
  </si>
  <si>
    <t>As a reaction when a spell is cast within [#] ft of it, the [MON] absorbs some of the spell's potency. If it is a spell that forces a saving throw, the DC to succeed drops by 2. If it is a spell with an attack roll, the attack roll has disadvantage. The [MON] regains 20 hit points and gains 1 charge point in its Arcane Pool.</t>
  </si>
  <si>
    <t>Arboreal Movement</t>
  </si>
  <si>
    <t>The [MON] can move through trees as if they were difficult terrain. Creatures grappled by it are expelled into unoccupied spaces within [#] ft of the tree when the [MON] moves in this way. The [MON] can end its turn inside a tree, but it is expelled into an unoccupied space within [#] ft of the tree if the tree is destroyed.</t>
  </si>
  <si>
    <t>Weaving Rush</t>
  </si>
  <si>
    <t>Area, Mount, Toppling</t>
  </si>
  <si>
    <t>Verdant</t>
  </si>
  <si>
    <t>The [MON]'s sap seeps into the soil, promoting lush vegetation. At any given time, 3d6 beneficial fruits (fruit, nuts, figs, dates) can be found within [#] ft of the [MON]. These have the same effect as berries from a goodberry spell, but they retain their potency for one week after being picked or after the [MON] is killed.</t>
  </si>
  <si>
    <t>Unattended magic items in the [MON]'s space at the end of the [MON]'s turn have their effects suppressed [DURATION]; charged items in the [MON]'s space lose 1d6 charges at the start of each of the [MON]'s turns; items with limited uses per day lose one daily use; and single-use items such as potions or scrolls are destroyed.</t>
  </si>
  <si>
    <t>Changed Abilities</t>
  </si>
  <si>
    <t>While transformed, the [MON] retains its statistics and ability to speak, but its AC, movement modes, Strength, Dexterity, and other actions are replaced by those of the new form, and it gains any statistics and capabilities (except class features, legendary actions, and lair actions) that the new form has but that it lacks.</t>
  </si>
  <si>
    <t>Graveyard Walker</t>
  </si>
  <si>
    <t>Difficult terrain composed of tombstones grave dirt corpses or other objects or features common to graveyards and necropolises doesn't cost it extra move and it can move through graveyard objects and structures (ex: sarcophagus mausoleum) as if difficult terrain. It takes [#dX] [DMG_TYPE] damage if it ends turn inside object.</t>
  </si>
  <si>
    <t>Trunk Slam</t>
  </si>
  <si>
    <t>Servants of Death</t>
  </si>
  <si>
    <t>The [MON] calls 3d6 skeletons or zombies 2d4 ghouls or 2 wights. Called creatures arrive in [DURATION] acting as allies of the [MON] and obeying its spoken commands. The undead remain [DURATION]. The [MON] can have any number of undead under its control at one time provided combined total CR of the undead is no higher than 8.</t>
  </si>
  <si>
    <t>While transformed, the [MON] retains its statistics and ability to speak, but its AC, movement modes, Strength, Dexterity, and special senses are replaced by those of the new form, and it gains any statistics and capabilities (except class features, legendary actions, and lair actions) that the new form has but that it lacks.</t>
  </si>
  <si>
    <t>Burning Gust of Wind</t>
  </si>
  <si>
    <t>Area, Difficult Terrain, Pushing</t>
  </si>
  <si>
    <t>Consume Treasure</t>
  </si>
  <si>
    <t>The [MON] has an appetite for gold, silver, and jewels and consumes them whenever possible. If the [MON] attempts to eat a magical coin, gemstone, or piece of jewelry, the object has a 25 percent chance of breaking, dispelling its magic and rendering it useless. If the object doesn't break, the [MON] gives up trying to eat it.</t>
  </si>
  <si>
    <t>Refract Mind</t>
  </si>
  <si>
    <t>Lethal, Summoning</t>
  </si>
  <si>
    <t>The [MON] pulls a humanoid with 0 hit points into its body, refracting the creature into fragments of itself. The humanoid dies, and 2d4 cultists appear in unoccupied spaces within [#] ft of the [MON]. The cultists, which share the humanoid's appearance and memories, act as allies of the [MON] and obey its telepathic commands.</t>
  </si>
  <si>
    <t>Summon Frog Guardians</t>
  </si>
  <si>
    <t>The [MON] summons two Medium frog guardians which wriggle from the ground in an empty space within [#] ft of it. They follow the [MON]'s orders and disappear after [DURATION]. They have the statistics of the [MON]s except they have Intelligence 2, have no spear attack, and can make a bite attack as part of their Vaulting Leap.</t>
  </si>
  <si>
    <t>Grasping Branches</t>
  </si>
  <si>
    <t>The [MON]'s limbs can be attacked (AC [#]; [#] hit points; vulnerability to lightning damage; immunity to poison and psychic damage). Destroying a limb deals no damage to the [MON], which can create a replacement on its next turn. A limb can also be destroyed if a creature succeeds on a DC [SAVE_DC] Strength check as an action.</t>
  </si>
  <si>
    <t>Petrifying Gaze</t>
  </si>
  <si>
    <t>When a creature starts its turn within [#] ft of the [MON] and can see the [MON]'s eyes, it can choose to shut its eyes [DURATION] unless it is surprised or incapacitated. Otherwise, the [MON] uses its petrifying gaze on the creature. If the [MON] sees its own reflection and doesn't shut its eyes, it is subject to its own gaze.</t>
  </si>
  <si>
    <t>Disappearing Consumption</t>
  </si>
  <si>
    <t>Lightning Storm</t>
  </si>
  <si>
    <t>Ghostly Snare</t>
  </si>
  <si>
    <t>A restrained creature is invisible to all creatures except the [MON]s, and it has resistance to acid, cold, fire, lightning, and thunder damage. A creature restrained by Ghostly Snare can escape by using an action to make a successful DC [SAVE_DC] Strength check, or the webs can be attacked and destroyed (AC [#]; [#] hit points).</t>
  </si>
  <si>
    <t>Infection Effect, Lethal, Poisoning, Spawning</t>
  </si>
  <si>
    <t>While infected in this way, a creature dies in a number of days equal to [#dX] + its Constitution score unless cured. After the creature dies, it rises as a [MON], roaming for 1 week and attempting to infect any other creatures it encounters. At the end of the week, it collapses, its body fertilizing a new patch of crimson slime.</t>
  </si>
  <si>
    <t>Turned by Rhyme</t>
  </si>
  <si>
    <t>A creature can use its action to formally challenge the [MON] to a duel of rhymes. If no creature attacks the [MON] [DURATION], it uses its action to recite a rhyme. The challenger must respond to the rhyme and succeed on a DC [SAVE_DC] Charisma (Performance) check. On a success, the [MON] is treated as if it is turned [DURATION].</t>
  </si>
  <si>
    <t>Summon Spirit</t>
  </si>
  <si>
    <t>The [MON] summons any combination of 2d4 good-aligned ghosts, uraeuses or couatls; 1d4 temple dogs, unicorns, or good-aligned wraiths; or one buraq or deva. The spirits and celestials appear in unoccupied spaces within [#] ft of the [MON] and act as his allies. They remain [DURATION] or until The [MON] dismisses them as an action.</t>
  </si>
  <si>
    <t>Ill Wind</t>
  </si>
  <si>
    <t>Incapacitating, Shapechanging</t>
  </si>
  <si>
    <t>Distract</t>
  </si>
  <si>
    <t>Gut Rip</t>
  </si>
  <si>
    <t>Incapacitating, Prone Effect</t>
  </si>
  <si>
    <t>If the creature isn't an undead or a construct, it must succeed on a [#dX] hit points at the start of each of its turns as one of the shark's teeth chips off into the wound. Any creature can use an action to bandage the wound by removing the tooth. The wound also closes and the tooth pops out if the target receives magical healing.</t>
  </si>
  <si>
    <t>Weave Dimensions</t>
  </si>
  <si>
    <t>The [MON] creates two magical gateways in unoccupied spaces it can see within [#] ft of it. The gateways appear as shimmering, opaque ovals in the air. A creature that moves into one gateway appears at the other immediately. The gateways last [DURATION], or until the [MON] loses concentration on them as if concentrating on a spell.</t>
  </si>
  <si>
    <t>Planar Dive</t>
  </si>
  <si>
    <t>The [MON] teleports itself and any willing creature inside its mouth to the Astral, Ethereal, or Material Planes or to the Void. This works like the plane shift spell, except the [MON] can transport any number of willing creatures as long as they are inside its mouth. The [MON] can't use this action to banish an unwilling creature.</t>
  </si>
  <si>
    <t>Fear of Fire</t>
  </si>
  <si>
    <t>Annihilating Form</t>
  </si>
  <si>
    <t>Steeple Step</t>
  </si>
  <si>
    <t>The [MON] can use [#] ft of its movement to step from its position to the point of a steeple, mast, or other spire-like feature that is in view within [#] ft of it. The [MON] has advantage on Dexterity (Acrobatics) checks and Dexterity saving throws while it is standing on a steeple or any similar narrow, steep structure or feature.</t>
  </si>
  <si>
    <t>Banishing Word</t>
  </si>
  <si>
    <t>When the [MON] hits with an attack, he can choose to banish the target to the Eleven Hells. The target vanishes from its current location and is incapacitated until its return. At the end of the [MON]'s next turn, the target returns to the spot it previously occupied or the nearest unoccupied space and takes [#dX] [DMG_TYPE] damage.</t>
  </si>
  <si>
    <t>Enforce Good Deeds</t>
  </si>
  <si>
    <t>Tail Swipe</t>
  </si>
  <si>
    <t>Spell Parry</t>
  </si>
  <si>
    <t>If the [MON] succeeds on a save against a spell of up to level [#] that targets only the [MON], the spell has no effect. If the [MON] succeeds on the saving throw by 5 or more, the spell is reflected back at the spellcaster using the same slot level and the spell save DC, attack bonus, and spellcasting ability of the original caster.</t>
  </si>
  <si>
    <t>Wolfsbane</t>
  </si>
  <si>
    <t>Lycanthropes are repelled by the wolfsbane flower. A lycanthrope in hybrid or beast form is poisoned while within [#] ft of a living or dried wolfsbane flower that it can smell. If wolfsbane is applied to a weapon or ammunition, lycanthropes are damaged by the weapon as if it were silver. An application of wolfsbane lasts [DURATION].</t>
  </si>
  <si>
    <t>Assume Control</t>
  </si>
  <si>
    <t>Doom Upon You</t>
  </si>
  <si>
    <t>As a reaction when a creature the [MON] can see within [#] ft of it hits it with a spell or attack that requires a ranged attack roll, the [MON] strikes the attacker with a doom bolt. The doom bolt is a shadowy reflection of the original attack, using the same attack roll and effects as the original, except it deals [DMG_TYPE] damage.</t>
  </si>
  <si>
    <t>Charged Web</t>
  </si>
  <si>
    <t>Grappling, Ongoing Damage</t>
  </si>
  <si>
    <t>is grappled (escape DC [SAVE_DC]) by strands of charged webbing and begins to hover off the ground. A grappled target takes [#dX] [DMG_TYPE] damage at the start of each of its turns. In addition, a grappled target can make a DC [SAVE_DC] Dexterity (Acrobatics) check to manipulate the strands of webbing and fly [#] ft in any direction.</t>
  </si>
  <si>
    <t>Fog or Ink Cloud</t>
  </si>
  <si>
    <t>The [MON] creates a heavily obscured area of fog (or, if underwater, inky water) in a [#] ft radius around a point it can see within [#] ft of it. The fog spreads around corners and can be dispersed by a moderate wind or current (at least 10 miles per hour). Otherwise, it disperses after [DURATION]. The [MON] can see through this fog.</t>
  </si>
  <si>
    <t>While transformed, the [MON] retains its game statistics and the ability to speak, but its AC, movement modes, Strength, Dexterity, and special senses are replaced by those of the new form, and it gains any statistics and capabilities (except class features, legendary actions, and lair actions) that the new form has but that it lacks.</t>
  </si>
  <si>
    <t>Smoky Aura</t>
  </si>
  <si>
    <t>For the Master</t>
  </si>
  <si>
    <t>As a reaction when the [MON]'s master is targeted by an attack or spell, the [MON] teleports to an unoccupied space within [#] ft of the master, and the attack or spell targets the [MON] instead. If the attack or spell deals damage, the [MON] takes half damage from it. To use this ability, the master and [MON] must be on the same plane.</t>
  </si>
  <si>
    <t>Entangling Arrow</t>
  </si>
  <si>
    <t>Extra Damage, Restraining</t>
  </si>
  <si>
    <t>The target takes an extra [#dX] [DMG_TYPE] damage and is restrained by sticky, alchemical goo. As an action, the restrained target can make a DC [SAVE_DC] Strength check, bursting through the goo on a success. The goo can also be attacked and destroyed (AC [#]; [#] hit points; immunity to piercing, slashing, poison, and psychic damage).</t>
  </si>
  <si>
    <t>Counting Compulsion</t>
  </si>
  <si>
    <t>If a creature uses an action to point out an ordered group of objects to the [MON], the [MON] is compelled to count the entire group. [DURATION], the [MON] has disadvantage on attack rolls and ability checks and it can't take reactions. Once it has counted a given group of objects, it can't be compelled to count those objects ever again.</t>
  </si>
  <si>
    <t>Puddle Jump</t>
  </si>
  <si>
    <t>Once on its turn, the [MON] can use [#] ft of its movement to step into a body of water within reach and emerge from a second body of water within [#] ft of the first, appearing in an unoccupied space within [#] ft of it. If the [MON] is in a Huge or larger body of water, it can teleport to another location within the same body of water.</t>
  </si>
  <si>
    <t>Aura of Balance</t>
  </si>
  <si>
    <t>The [MON] affects chance and probability around it. While this aura is active, creatures within [#] ft of the [MON] can't have advantage or disadvantage on any ability check, attack roll, or saving throw. This aura affects the [MON]. At the start of each of its turns, the [MON] can choose whether this aura is active (no action required).</t>
  </si>
  <si>
    <t>Cackle</t>
  </si>
  <si>
    <t>Briny Embrace</t>
  </si>
  <si>
    <t>Confounding Ugliness</t>
  </si>
  <si>
    <t>Disadvantage, Stunning</t>
  </si>
  <si>
    <t>Clamport</t>
  </si>
  <si>
    <t>The [MON] touches a clam within [#] ft of it, which enlarges and swallows the [MON] and up to three willing creatures within [#] ft of the [MON]. The clam then teleports to a body of water the [MON] has visited that is large enough to hold the clam's passengers and releases them. After releasing the passengers, the clam returns to normal.</t>
  </si>
  <si>
    <t>Throw an Object</t>
  </si>
  <si>
    <t>Instead of throwing a grappled creature, the [MON] can throw an object. If it does so, a creature targeted by the throw has advantage on the Dexterity saving throw and takes half as much damage if the object is smaller than it, or has disadvantage on the Dexterity saving throw and takes twice as much damage if the object is larger than it.</t>
  </si>
  <si>
    <t>Cloud of Insects</t>
  </si>
  <si>
    <t>Wail of the Forgotten</t>
  </si>
  <si>
    <t>Creatures reduced to 0 hit points by this attack are erased from the memories of every creature in the planes (with the exception of those who personally witnessed the death), all written or pictorial references to the target fade away, and its body is obliterated. Reviving such a slain creature requires a wish spell or divine intervention.</t>
  </si>
  <si>
    <t>Calm Vulnerability</t>
  </si>
  <si>
    <t>The [MON] can be targeted by the calm emotions spell. If it fails the saving throw, it takes [#dX] [DMG_TYPE] damage at the start of each of its turns, as long as the spellcaster maintains concentration on the spell. If it succeeds on the saving throw, it takes [#dX] [DMG_TYPE] damage but isn't further affected by that casting of the spell.</t>
  </si>
  <si>
    <t>Pandemonium Fruit</t>
  </si>
  <si>
    <t>The [MON] produces pitcher-shaped magical fruit. When creature picks fruit is subjected to Wondrous Cornucopia. Fruit withers [DURATION] after picking losing all magic. If creature expends spell slot of 3rd+ level or volunteers 2 Hit Dice of life (rolling them losing hit points equal to result) while picking choose effect instead of random.</t>
  </si>
  <si>
    <t>Disassembling Slam</t>
  </si>
  <si>
    <t>Equipment Damage, Lethal</t>
  </si>
  <si>
    <t>A creature reduced to 0 hit points by this attack immediately dies and its body and nonmagical equipment is disassembled and absorbed into the [MON]. The creature can be restored to life only by means of a true resurrection or a wish spell. The [MON] can choose to not disassemble a creature or its equipment after reducing it to 0 hit points.</t>
  </si>
  <si>
    <t>Muddled Escape</t>
  </si>
  <si>
    <t>If an attack would reduce the [MON]'s hit points to 0, it collapses into a pool of filth-laden swamp water and its hit points are reduced to [#] instead. The [MON] can move at its normal speed in this form, including moving through spaces occupied by other creatures. As a bonus action at the beginning of the [MON]'s next turn, it can reform.</t>
  </si>
  <si>
    <t>Switch</t>
  </si>
  <si>
    <t>Shadow from the Material Plane</t>
  </si>
  <si>
    <t>At the start of its next turn, it returns to the Material Plane in an unoccupied space of its choice that it can see within [#] ft of the space where it vanished. If no unoccupied space is available within that range, it appears in the nearest unoccupied space. While in the Plane of Shadow, the [MON] can see and hear [#] ft into the Material.</t>
  </si>
  <si>
    <t>Touch of Rot</t>
  </si>
  <si>
    <t>Breach</t>
  </si>
  <si>
    <t>Disengaging, Movement, Pushing, Toppling</t>
  </si>
  <si>
    <t>The [MON] swims up to its swimming speed without provoking opportunity attacks. If it breaches the water's surface, it crashes back down, creating a wave in a [#] ft wide, [#] ft long line that is [#] ft tall. Any Gargantuan or smaller vehicles in the line are carried up to [#] ft away from the [MON] and have a 50 percent chance of capsizing.</t>
  </si>
  <si>
    <t>Reserve of Fortune</t>
  </si>
  <si>
    <t>If the [MON] doesn't have 4 luck points at sunset, it gains 2 luck points. It can't have more than 4 luck points at a time. In addition, if the [MON] rolls a 1 on the d20 for an attack roll, ability check, or saving throw while it has at least 1 luck point, it can reroll the die and must use the new roll. This trait doesn't expend luck points.</t>
  </si>
  <si>
    <t>Flung</t>
  </si>
  <si>
    <t>Imbue Poison</t>
  </si>
  <si>
    <t>Ability Score Damage, Exhausting, Infection Effect, Paralyzing</t>
  </si>
  <si>
    <t>While infected in this way, a creature must repeat this saving throw after each long rest. On a failure, it takes [#dX] Dexterity damage and is paralyzed [DURATION]. If this reduces its Dexterity to 0, it dies. On a success, it gains one level of exhaustion. While infected in this way, a creature recovers if it succeeds on three saving throws.</t>
  </si>
  <si>
    <t>Corrosive Body</t>
  </si>
  <si>
    <t>A creature or a metal object that touches the [MON] takes [#dX] [DMG_TYPE] damage. A nonmagical weapon made of metal that hits the black pudding corrodes after dealing damage, taking a permanent -1 penalty to damage rolls per hit. If this penalty reaches -5, the weapon is destroyed. Metal nonmagical ammunition is destroyed after dealing damage.</t>
  </si>
  <si>
    <t>Communication, Cursing</t>
  </si>
  <si>
    <t>Healing Sense</t>
  </si>
  <si>
    <t>The [MON] can sense healing spells, effects, and potions within [#] ft of it. If the [MON] is the target of a healing spell, if it consumes a healing potion, or if it is affected by a similar magical effect, it gains a +2 bonus to its AC, it has advantage on Dexterity saving throws, and it can make one melee attack as a bonus action [DURATION].</t>
  </si>
  <si>
    <t>Supercharge</t>
  </si>
  <si>
    <t>AC Change, Recharging</t>
  </si>
  <si>
    <t>The [MON] gathers ambient electricity to supercharge itself [DURATION]. While supercharged, the [MON] gains a +[#] bonus to its AC and it gains an additional action on each of its turns. At the end of the duration, if the [MON] hasn't used the Discharge action it suffers feedback taking [#dX] [DMG_TYPE] damage. Its supercharged state then ends.</t>
  </si>
  <si>
    <t>Curse of the Tveirherjar</t>
  </si>
  <si>
    <t>Whistle</t>
  </si>
  <si>
    <t>Limbs, Weakness</t>
  </si>
  <si>
    <t>Wave of Magma</t>
  </si>
  <si>
    <t>Viscid Shell</t>
  </si>
  <si>
    <t>Replicative</t>
  </si>
  <si>
    <t>When the [MON] damages a creature, it absorbs a portion of that creature's knowledge and power. As a bonus action, it can recreate any action available to a creature it damaged within [DURATION]. This includes spells and actions with limited uses or with a recharge. This recreated action is resolved using the [MON]'s statistics where applicable.</t>
  </si>
  <si>
    <t>Wire-Assisted Jump</t>
  </si>
  <si>
    <t>If the [MON]'s razor line attack is available, a [MON] can use its movement to leap [#] ft in any direction by launching the wire like a spider's web so that it spears or snags an object, then immediately reeling it back in. It can carry up to 25 lb. of additional weight while moving this way. Moving this way doesn't expend its razor line attack.</t>
  </si>
  <si>
    <t>Ice Wall</t>
  </si>
  <si>
    <t>The [MON] creates a wall of ice on a solid surface it can see within [#] ft of it. The wall is flat, 1 ft thick, and can be up to [#] ft long and [#] ft high. The wall lasts [DURATION] or until it is destroyed. Each [#] ft section has AC [#], [#] hit points, vulnerability to fire damage, and immunity to cold, necrotic, poison, and psychic damage.</t>
  </si>
  <si>
    <t>Lake Leap</t>
  </si>
  <si>
    <t>The [MON] spends much of its time lurking in lakes and ponds. When submerged in a natural pool of standing water, it can transport itself as a bonus action to a similar body of water within [#] ft of it. This ability doesn't work in rapidly flowing water, but the [MON] can leap to or from a river or stream where the water is calm and slow-moving.</t>
  </si>
  <si>
    <t>The [MON] has three heads. While it has more than one head, the [MON] has advantage on saving throws against being blinded, charmed, deafened, frightened, and stunned. If the [MON] takes [#] or more damage in a single turn (and the damage isn't poison or psychic), one of its heads is severed. If all three of its heads are severed, the [MON] dies.</t>
  </si>
  <si>
    <t>While charmed in this way, a creature must move up to its speed closer to the [MON] that charmed it. It doesn't avoid opportunity attacks, but before moving into damaging terrain, such as lava or a pit, and whenever it takes damage from a source other than the [MON], a target can repeat this saving throw, ending the effect on itself on a success.</t>
  </si>
  <si>
    <t>Tale of Liquid Courage</t>
  </si>
  <si>
    <t>Advantage, Temporary Healing</t>
  </si>
  <si>
    <t>The [MON] begins telling a story, which lasts up to [DURATION] if the [MON] uses a bonus action to continue telling it on subsequent turns. While the story is being told, [MON]s within [#] ft of the [MON] that can hear it have advantage on saving throws against being frightened and gain [#] temporary hit points at the start of each of their turns.</t>
  </si>
  <si>
    <t>Somnambulism</t>
  </si>
  <si>
    <t>Weapon Adhesion</t>
  </si>
  <si>
    <t>Greater Toboggan Charge</t>
  </si>
  <si>
    <t>Death Trap</t>
  </si>
  <si>
    <t>When the [MON] dies, its mandibles remain locked in place continuing to grapple beyond its death. Until grapple ends creature takes [#dX] [DMG_TYPE] damage at the start of each of its turns as if the [MON] was still alive. Any creature can use an action to remove mandibles with successful DC [SAVE_DC] Strength (Athletics) or Wisdom (Medicine) check.</t>
  </si>
  <si>
    <t>Imposing Dread</t>
  </si>
  <si>
    <t>While cursed in this way, a creature's thoughts turn ever more dark and brooding. Its sense of hope fades, and shadows seem overly large and ominous. The cursed creature can repeat this saving throw whenever it finishes a long rest, ending the effect on itself on a success. If not cured within [DURATION], the cursed creature manifests its own [MON].</t>
  </si>
  <si>
    <t>Polluted Aura</t>
  </si>
  <si>
    <t>Blistering Radiance</t>
  </si>
  <si>
    <t>The [MON] generates a [#] ft radius aura of searing light and heat. A creature that starts its turn in the aura, or who enters it for the first time on a turn, takes [#dX] [DMG_TYPE] damage. The area in the aura is brightly lit, and it sheds dim light for another [#] ft. The aura dispels magical darkness of 3rd level or lower where the areas overlap.</t>
  </si>
  <si>
    <t>Dagger Form</t>
  </si>
  <si>
    <t>Expanded Crit Range, Shapechanging</t>
  </si>
  <si>
    <t>Shadow Webs</t>
  </si>
  <si>
    <t>The [MON]'s webs are anchored in the Material Plane and the Shadow Realm, existing in both simultaneously. Except for effects and attacks from the [MON], a creature in contact with or restrained by a [MON]'s webs has half cover and is immune to any spell or effect that would move it to a different plane, such as the banishment and plane shift spells.</t>
  </si>
  <si>
    <t>Difficult Terrain, Pushing</t>
  </si>
  <si>
    <t>Calming Presence</t>
  </si>
  <si>
    <t>Foment Pigment</t>
  </si>
  <si>
    <t>Coating, Poisoning</t>
  </si>
  <si>
    <t>Deathless</t>
  </si>
  <si>
    <t>The [MON] is destroyed when reduced to 0 hit points, but it returns to unlife where it fell on the next nightfall with full hit points. It can be killed only by removing its head, burning the corpse, and dumping the ashes in the sea, or by returning it to its burial mound, placing an open pair of scissors on its chest, and driving pins through its ft.</t>
  </si>
  <si>
    <t>Steal Magic</t>
  </si>
  <si>
    <t>Magic Disrupting, Temporary Self Healing</t>
  </si>
  <si>
    <t>As a reaction when a creature the [MON] can see within [#] ft of it casts a spell using a [#]rd-level or lower spell slot, the [MON] attempts to steal its power. The caster must make a DC [SAVE_DC] saving throw using its spellcasting ability. On a failure, the spell fails, and the [MON] gains [#dX] temporary hit points per level of the spell slot used.</t>
  </si>
  <si>
    <t>Bend Fate</t>
  </si>
  <si>
    <t>If the [MON] fails a saving throw, it may choose to succeed instead and reflect the effect of the failed saving throw onto one hostile creature within [#] ft of it. The [MON] still suffers the effect of a successful saving throw, if any. The new target is entitled to a saving throw as if it were the original target of the attack, but with disadvantage.</t>
  </si>
  <si>
    <t>Inexorable Threads</t>
  </si>
  <si>
    <t>is "one step closer to death." If the target is reduced to 0 hit points, it is treated as if it is already failed one death saving throw. This effect is cumulative; each inexorable threads hit adds one unsuccessful death saving throw. If a creature who's been hit three or more times by inexorable threads is reduced to 0 hit points, it dies immediately.</t>
  </si>
  <si>
    <t>Enlarge</t>
  </si>
  <si>
    <t>The [MON] increases in size by one category [DURATION], along with anything it is wearing or carrying. While enlarged, the [MON] doubles its damage dice on Strength-based attacks, and makes Strength checks and Strength saving throws with advantage. If the [MON] lacks the room to grow in size, it attains the maximum size possible in the space available.</t>
  </si>
  <si>
    <t>Harvester's Stampede</t>
  </si>
  <si>
    <t>Disengaging, Toppling</t>
  </si>
  <si>
    <t>Absorb Spell</t>
  </si>
  <si>
    <t>As a reaction when a creature the [MON] can see within [#] ft of it casts a spell, the [MON] can absorb the spell's energy, countering it. This works like counterspell, except the [MON] must always make a spellcasting ability check no matter the spell's level. If the [MON] successfully counters the spell, it gains 5 temporary hit points per spell level.</t>
  </si>
  <si>
    <t>Ragecasting</t>
  </si>
  <si>
    <t>The [MON] enters special rage that lets it channel elemental power [DURATION]. While ragecasting: disadvantage on Wisdom saving throws and gains fly speed of [#] ft. It can end ragecasting as a bonus action. When ragecasting ends it descends [#] ft/round until it lands on a solid surface and can continue concentrating on spell it cast while ragecasting.</t>
  </si>
  <si>
    <t>Whispers of Shadow</t>
  </si>
  <si>
    <t>Pilfer</t>
  </si>
  <si>
    <t>The [MON] makes 1d6 Dexterity (Sleight of Hand) checks against every creature in the [MON]'s space. The DC for each check equals 10 plus the target creature's Dexterity modifier. For each successful check, the [MON] steals some small metallic object from the target, and the theft is unnoticed if the roll equals or exceeds the target's Passive Perception.</t>
  </si>
  <si>
    <t>The World Shall Know Fire</t>
  </si>
  <si>
    <t>Moonbound</t>
  </si>
  <si>
    <t>Damage Reduction, Weakness</t>
  </si>
  <si>
    <t>The [MON]'s power waxes and wanes with the moon. Under a full moon, it has resistance to bludgeoning, piercing, and slashing damage from nonmagical attacks and its weapon attacks deal an additional [#dX] [DMG_TYPE] damage. Under a new moon, it has vulnerability to bludgeoning, piercing, and slashing damage. Under any other moon, it gains no extra traits.</t>
  </si>
  <si>
    <t>Bludgeoning Bounce</t>
  </si>
  <si>
    <t>Hat of Illusion</t>
  </si>
  <si>
    <t>While wearing a hat or other head covering the [MON] takes on the illusory appearance of the last living humanoid to wear that hat. It requires a DC [SAVE_DC] Insight or Wisdom (Perception) check to recognize the illusion. The illusion ends when the [MON] is touched takes damage attacks or uses Scare or when the [MON] chooses to end it as a bonus action.</t>
  </si>
  <si>
    <t>Immortal</t>
  </si>
  <si>
    <t>The [MON] does not age and does not die when it drops to 0 hit points. If the [MON] drops to 0 hit points, it falls into a quiescent state for 25 weeks before returning to activity with full hit points. Its spawned elementals continue fighting whatever hostile creatures attacked the [MON]; if no hostile creatures are present, they defend the [MON]'s area.</t>
  </si>
  <si>
    <t>Ward Bond</t>
  </si>
  <si>
    <t>As a bonus action, the [MON] forms a magical bond with a willing creature within [#] ft of it Afterward, no matter how great the distance between them, the [MON] knows the distance and direction to its bonded ward and is aware of the creature's general state of health. The bond lasts until the ward dies, [DURATION], or the [MON] ends the bond as an action.</t>
  </si>
  <si>
    <t>Dormant in Darkness</t>
  </si>
  <si>
    <t>The [MON] appears dead in darkness and remains in a passive state until touched by light. When the [MON] sees light, it becomes active and attacks anything that moves. Once active, a [MON] in complete darkness that isn't taking damage returns to its dormant state after [DURATION]. The [MON] poses no threat to creatures passing near it in complete darkness.</t>
  </si>
  <si>
    <t>Glorious Milk</t>
  </si>
  <si>
    <t>The [MON] can spend [DURATION] filling an empty container with a restorative elixir. A creature that drinks the elixir regains [#dX] hit points and its exhaustion is reduced by up to [#] levels. After the elixir has restored a total of [#] hit points or reduced a total of [#] exhaustion levels, the [MON] can't create an elixir in this way again [DURATION].</t>
  </si>
  <si>
    <t>Wing Slice</t>
  </si>
  <si>
    <t>Fire (d6), Slashing (d8)</t>
  </si>
  <si>
    <t>Ego Whip</t>
  </si>
  <si>
    <t>Rattling, Stunning</t>
  </si>
  <si>
    <t>Planar Rift</t>
  </si>
  <si>
    <t>The [MON] tears a rift in the fabric of the multiverse. The rift is a portal to a plane of the [MON]'s choice. The portal remains open [DURATION], during which time any creature can pass through it, moving from one plane to the other. A dispel magic spell targeting the rift can destroy it if the caster succeeds on a DC [SAVE_DC] spellcasting ability check.</t>
  </si>
  <si>
    <t>When the [MON] takes fire damage, it bursts into flame. The [MON] continues burning until it takes cold damage or is immersed in water. A creature that touches the [MON] or hits it with a melee attack while within [#] ft of it while it is burning takes [#dX] [DMG_TYPE] damage. While burning, the [MON]'s weapon attacks deal an extra [#dX] [DMG_TYPE] damage.</t>
  </si>
  <si>
    <t>Blizzard Heart</t>
  </si>
  <si>
    <t>At the start of each hour, the [MON] can choose to change the precipitation and temperature within 1 mile of it by one stage up or down (no action required). This works like the changing weather conditions aspect of the control weather spell except [MON] can't change wind conditions change immediately and [MON] can never make it warm hot or unbearable heat.</t>
  </si>
  <si>
    <t>Luck Aura</t>
  </si>
  <si>
    <t>The [MON] is surrounded by an aura of luck. All creatures it considers friends within [#] ft of the [MON] gain a +[#] bonus to attack rolls, saving throws, and ability checks. Creatures that it considers enemies take a -[#] penalty to attack rolls, saving throws, and ability checks. The [MON] can activate or suppress this aura on its turn as a bonus action.</t>
  </si>
  <si>
    <t>Asphyxiate</t>
  </si>
  <si>
    <t>Aura, Poisoning, Suffocating</t>
  </si>
  <si>
    <t>Magnetism</t>
  </si>
  <si>
    <t>Disarming, Movement</t>
  </si>
  <si>
    <t>When the [MON] moves, Medium and smaller metal objects that aren't being worn or carried are pulled up to 5 ft closer to the [MON]. If this movement pulls the object into the [MON]'s space, the item sticks to the [MON]. A successful DC [SAVE_DC] Strength check removes a stuck item from the [MON]. Objects made of gold and silver are unaffected by this trait.</t>
  </si>
  <si>
    <t>Jet Propulsion</t>
  </si>
  <si>
    <t>Area, Pushing, Toppling</t>
  </si>
  <si>
    <t>The [MON] travels to the Ethereal Plane. While on the Ethereal Plane the [MON] can see and hear into the Material Plane and can choose to make itself audible and hazily visible to creatures on the Material Plane. If a humanoid on the Material Plane invites the [MON] to do so the [MON] can use an action to travel from the Ethereal Plane to the Material Plane.</t>
  </si>
  <si>
    <t>Tainted Aura</t>
  </si>
  <si>
    <t>Aura, Ongoing Damage</t>
  </si>
  <si>
    <t>Flame Burst</t>
  </si>
  <si>
    <t>If a charmed creature starts its turn more than [#] ft away from the [MON], the target must take the Dash action on its turn to move toward the [MON] by the most direct route. It doesn't avoid opportunity attacks, but, before moving into damaging terrain, such as lava or a pit, the target can repeat this saving throw, ending the effect on itself on a success.</t>
  </si>
  <si>
    <t>Will of the Master</t>
  </si>
  <si>
    <t>The master of the [MON] can cast a spell through it, using the [MON]'s senses to target the spell. The range limitations are treated as if the spell originated from the [MON], not the master. The spell effect occurs on the [MON]'s turn, though the master must cast the spell during the master's turn. Concentration spells must still be maintained by the master.</t>
  </si>
  <si>
    <t>Spawn Elementals</t>
  </si>
  <si>
    <t>As a bonus action, the [MON] takes [#] damage and spawns an air, earth, fire, or water elemental to serve it. Spawned elementals answer to their creator's will and are not fully independent. The types of elementals the [MON] can spawn depend on the terrain it embodies; for example, a [MON] of the desert can spawn earth, fire, and air elementals, but not water.</t>
  </si>
  <si>
    <t>Quick to Anger</t>
  </si>
  <si>
    <t>As a reaction when the [MON] is wrestling a foe as part of a challenge and takes damage, or when it is reduced to half its hit point max, it becomes angry. While angry, the [MON] has advantage on melee attack rolls and on saving throws against spells or effects that would charm or frighten it or make it unconscious, and it has resistance to bludgeoning damage.</t>
  </si>
  <si>
    <t>Gather</t>
  </si>
  <si>
    <t>Gleaming Brilliance</t>
  </si>
  <si>
    <t>When the [MON] is first brought below half of its maximum hit points, it immediately recharges its breath weapon, if it is not already available. After doing so, the [MON]'s golden scales melt, coating its body in a layer of molten gold. A creature that touches the [MON] or hits it with a melee attack for the first time on a turn takes [#dX] [DMG_TYPE] damage.</t>
  </si>
  <si>
    <t>Uncontrollable</t>
  </si>
  <si>
    <t>The [MON]'s movement is never impeded by difficult terrain, and its speed can't be reduced by spells or magical effects. It can't be restrained (per the condition), and it escapes automatically from any nonmagical restraints (such as chains, entanglement, or grappling) by spending 5 ft of movement. Being underwater imposes no penalty on its movement or attacks.</t>
  </si>
  <si>
    <t>Void Twist</t>
  </si>
  <si>
    <t>As a reaction when the [MON] is hit by a ranged attack, it can create a small rift in space to increase its AC by an amount equal to its Intelligence modifier. If the attack misses as a result, the [MON] can choose a creature within [#] ft of it to become the new target for that attack. Use the original attack roll to determine if the attack hits the new target.</t>
  </si>
  <si>
    <t>Sculpt Breath</t>
  </si>
  <si>
    <t>As a reaction when the [MON] is in the area of a spell, such as fireball, or a breath weapon, it can create a hole in the spell or breath weapon, protecting itself from the effects. If it does so, the [MON] automatically succeeds on its saving throw against the spell or breath weapon and takes no damage if it would normally take half damage on a successful save.</t>
  </si>
  <si>
    <t>loses [#dX] hit points at the start of each of its turns due to an infernal wound. Each time the [MON] hits the wounded target with this attack, the damage dealt by the wound increases by [#dX]. Any creature can use an action to bandage the wound with a successful DC [SAVE_DC] Wisdom (Medicine) check. The wound also closes if the target receives magical healing.</t>
  </si>
  <si>
    <t>Discern Food Preferences</t>
  </si>
  <si>
    <t>Aura of Oathbreaking</t>
  </si>
  <si>
    <t>Aura, Curse Effect, Cursing, Disadvantage</t>
  </si>
  <si>
    <t>Excavate</t>
  </si>
  <si>
    <t>If the [MON] is underground, it creates a [#] ft square cover on the ground over itself and lurks just below surface. This cover looks identical to normal ground. If a creature enters the cover's space, the [MON] can make one Mycelium Spike attack against it as a reaction, destroying the cover. The target then has disadvantage on its save to avoid being grappled.</t>
  </si>
  <si>
    <t>Eye of Rage</t>
  </si>
  <si>
    <t>Mineralize</t>
  </si>
  <si>
    <t>Consumption Effect, Damage Reduction</t>
  </si>
  <si>
    <t>As a bonus action when it has encased a creature, the [MON] hardens the minerals in its body, turning the surface of its body into a stone-like material. While mineralized, the [MON] has a walking speed of [#] ft, and it has resistance to bludgeoning, piercing, and slashing damage. The [MON] remains mineralized until the creature it has encased dies, or [DURATION].</t>
  </si>
  <si>
    <t>Ember Wreath</t>
  </si>
  <si>
    <t>Mangrove Mosquitos</t>
  </si>
  <si>
    <t>The [MON] calls a swarm of mosquitos from its branches. The [MON] of mosquitos uses the statistics of a swarm of insects, except it has a flying speed of [#] ft. The [MON] acts an ally of the [MON] and obeys its spoken commands. The [MON] remains [DURATION]. The [MON] can have only one swarm of mosquitos at a time. If it calls another, the previous swarm disperses.</t>
  </si>
  <si>
    <t>Nettling Word</t>
  </si>
  <si>
    <t>is enraged [DURATION]. While enraged, a creature has advantage on melee attacks, it is unable to distinguish friend from foe, and it must move to and attack the nearest creature other than the [MON]. If there are no creature's near enough to move to and attack, the enraged creature dashes off in a random direction. Attacks against an enraged creature have advantage.</t>
  </si>
  <si>
    <t>Blatant Dismissal</t>
  </si>
  <si>
    <t>Paralyzing, Silencing</t>
  </si>
  <si>
    <t>Air Bubble</t>
  </si>
  <si>
    <t>The [MON] creates an air bubble around the heads of any number of creatures that are touching it. A creature that benefits from an air bubble can breathe underwater and gains a swim speed of [#] ft if it doesn't already have a swim speed. The air bubbles hold enough air [DURATION] of breathing, divided by the number of breathing creatures that received an air bubble.</t>
  </si>
  <si>
    <t>The [MON] is bound to an amulet. As long as the [MON] and its amulet are on the same plane of existence, the amulet's wearer can telepathically call the [MON] to travel to it, and the [MON] knows the distance and direction to the amulet. If the [MON] is within [#] ft of the amulet's wearer, half of any damage the wearer takes (rounded up) is transferred to the [MON].</t>
  </si>
  <si>
    <t>Thunder Leap</t>
  </si>
  <si>
    <t>Movement, Pushing</t>
  </si>
  <si>
    <t>When the [MON], dies, it collapses into a pile of ash. Each day the pile of ash is within 1 mile of a holy site of its deity or a worshiper of its deity, it has a 75 percent chance of returning to life, regaining all its hit points and becoming active again. This chance increases to 100 percent if a worshiper of the [MON]'s deity prays over the [MON]'s ashes at dawn.</t>
  </si>
  <si>
    <t>Divine Mount</t>
  </si>
  <si>
    <t>Over the course of a short rest, a [MON] can form a bond with a rider. Once this bond is formed, the rider suffers no penalties for riding the [MON] without a saddle. Additionally, if an effect forces both the [MON] and its rider to roll a saving throw, the [MON] automatically succeeds if the rider succeeds. If the [MON] bonds with a new rider, the previous bond ends.</t>
  </si>
  <si>
    <t>The [MON] consumes one of the following nonmagical objects in the targets possession: a worn set of metal armor or a carried metal weapon or shield a piece of metal equipment a gem or up to 1,000 coins. [DURATION] after an item is consumed a creature can retrieve it from the gullet of a willing incapacitated or dead [MON] taking [#dX] [DMG_TYPE] damage in the process.</t>
  </si>
  <si>
    <t>Hunting Step</t>
  </si>
  <si>
    <t>The [MON] teleports, along with any equipment it is wearing or carrying, up to [#] ft to an unoccupied space within [#] ft of a celestial, fiend, divine avatar, or deity it senses with Divine Sense shifting from Material to Ethereal or Shadow Planes or vice versa. The [MON] has advantage on next attack roll it makes against that creature before start of its next turn.</t>
  </si>
  <si>
    <t>Aura of Honesty</t>
  </si>
  <si>
    <t>Aura, Communication</t>
  </si>
  <si>
    <t>Scourge of Avarice</t>
  </si>
  <si>
    <t>As a bonus action, a [MON] wearing jewelry worth at least 1,000 gp can reshape it into a +2 heavy flail. A creature struck by this jeweled flail suffers disadvantage on all Wisdom saving throws until its next short rest, in addition to normal weapon damage. The flail reverts to its base components [DURATION] after it leaves the [MON]'s grasp, or upon the [MON]'s death.</t>
  </si>
  <si>
    <t>Consume Self</t>
  </si>
  <si>
    <t>Alchemical Fireball</t>
  </si>
  <si>
    <t>Fire (d12)</t>
  </si>
  <si>
    <t>Devil's Mark</t>
  </si>
  <si>
    <t>This curse manifests as a devil's mark: a black, red, or purple tattoo in the shape of a powerful devil's personal seal, which detects as faintly evil and often shifts its position on the body. All devils have advantage on spell attacks made against the marked creature, and the creature has disadvantage on saving throws made against spells and abilities used by devils.</t>
  </si>
  <si>
    <t>Restraint Effect, Silencing</t>
  </si>
  <si>
    <t>Acidic Tears</t>
  </si>
  <si>
    <t>Fossilized Bones</t>
  </si>
  <si>
    <t>Any nonmagical slashing or piercing weapon made of metal or wood that hits the swordbreaker the [MON] cracks. After dealing damage, the weapon takes a permanent and cumulative -1 penalty to damage rolls. If its penalty drops to -5, the weapon is destroyed. Nonmagical ammunition made of metal or wood that hits the swordbreaker the [MON] is destroyed after dealing damage.</t>
  </si>
  <si>
    <t>Corrode Metal</t>
  </si>
  <si>
    <t>Any nonmagical weapon made of metal that hits the [MON] corrodes. After dealing damage, the weapon takes a permanent and cumulative -1 penalty to damage rolls. If its penalty drops to -5, the weapon is destroyed. Nonmagical ammunition made of metal that hits the [MON] is destroyed after dealing damage. The [MON] can eat through 2-inch-thick, nonmagical metal in 1 round.</t>
  </si>
  <si>
    <t>Recombine</t>
  </si>
  <si>
    <t>As a reaction when one or more [MON]s that are and share a collective mind are within [#] ft of each other, they can combine into a new [MON]. The new [MON] is one size larger than the largest original creature, and it has hit points equal to the combined total of the original creatures. The new [MON]'s hit points can't exceed the normal hit point max of a Medium [MON].</t>
  </si>
  <si>
    <t>Drain Life</t>
  </si>
  <si>
    <t>Glide</t>
  </si>
  <si>
    <t>The [MON] has membranes between its fore and hind limbs that expand while falling to slow its rate of descent to [#] ft per round landing on its ft and taking no falling damage. It can move up to 5 ft horizontally for every 1 ft it falls. Can't gain height with its gliding membranes alone. If subject to a strong wind or lift of any kind can use updraft to glide farther.</t>
  </si>
  <si>
    <t>Greater Maelstrom</t>
  </si>
  <si>
    <t>Horrific Imitation</t>
  </si>
  <si>
    <t>The [MON] chooses one creature it can see. It moves, acts, and speaks in a macabre imitation of the creature. Its utterances are nonsense, and it can't understand the languages of its chosen target. It maintains this imitation [DURATION]. A creature that hears and sees the [MON] can tell it is performing an imitation with a successful DC [SAVE_DC] Wisdom (Insight) check.</t>
  </si>
  <si>
    <t>Stone Wall</t>
  </si>
  <si>
    <t>A permanent stone wall rises from an earth or stone surface within [#] ft of it. The wall is 6 inches thick and can be up to [#] ft high and [#] ft long. If it appears in a creature's space, the creature can choose which side of the wall to move to. Each 10 ft-by-10 ft section of the wall is an object with AC [#], [#] hit points, and immunity to poison and psychic damage.</t>
  </si>
  <si>
    <t>Distance Distortion Aura</t>
  </si>
  <si>
    <t>Magnetic Pulse</t>
  </si>
  <si>
    <t>Pulling, Restraining</t>
  </si>
  <si>
    <t>The [MON] causes a surge in the magnetic power of its shell. Each creature within [#] ft of the [MON] is subjected to its Magnetic Shell. On a failed save, a creature's metal objects or the creature itself, if it is made of metal or wearing metal armor, are pulled up to [#] ft toward the [MON] and adhere to its shell. Creatures adhered to the [MON]'s shell are restrained.</t>
  </si>
  <si>
    <t>Divide</t>
  </si>
  <si>
    <t>As a reaction when a [MON] that is Small or larger takes bludgeoning, piercing, or slashing damage, it can split into two new [MON]s if it has at least [#] hit points. Each new [MON] has hit points equal to half the original creature, rounded down. New [MON]s are one size smaller than the original. While within 1 mile of each other, the new [MON]s share one collective mind.</t>
  </si>
  <si>
    <t>Overclocked Finale</t>
  </si>
  <si>
    <t>The [MON] makes a grand sacrifice spurring its allies on in a final masterstroke. Each ally within [#] ft of the [MON] that can see it gains a +[#] bonus to attack rolls damage rolls and ability checks [DURATION]. Roll a d6. On a 1 to 4 [MON] can't use Concerted Effort [DURATION]. On a 5 or 6 it can't use Concerted Effort and its Metronomic Aura becomes inactive [DURATION].</t>
  </si>
  <si>
    <t>Sticky Secretions</t>
  </si>
  <si>
    <t>Disarming, Restraining</t>
  </si>
  <si>
    <t>Possessing</t>
  </si>
  <si>
    <t>While the [MON] is in control of the target, the [MON] retains its own Intelligence, Wisdom, and Charisma, its telepathy, and its knowledge of Deep Speech. It otherwise uses the targets statistics including proficiencies languages class features and spells. It has vague knowledge about the targets life but must make a DC [SAVE_DC] Intelligence check to recall specific facts.</t>
  </si>
  <si>
    <t>Aura of Lassitude</t>
  </si>
  <si>
    <t>Aura, Nonreactive, Speed Change</t>
  </si>
  <si>
    <t>Courageous Anthem</t>
  </si>
  <si>
    <t>The [MON] plays a song that bolsters its allies. Each ally within [#] ft of the [MON] that can hear it gains a +[#] bonus to attack rolls ability checks and saves until the song ends. The [MON] must use a bonus action on subsequent turns to continue playing the song. The song ends if the [MON] is incapacitated. A creature can benefit from only one Courageous Anthem at a time.</t>
  </si>
  <si>
    <t>Hovering Darkness</t>
  </si>
  <si>
    <t>Knockout, Poisoning</t>
  </si>
  <si>
    <t>Self-Loathing</t>
  </si>
  <si>
    <t>A creature the [MON] can hear can use its action to chastise the [MON], making a Charisma (Intimidation) check. If it does so, the [MON] must succeed on a Wisdom saving throw with a DC equal to the creature's Charisma (Intimidation) check or be frightened of that creature [DURATION]. If the [MON] succeeds on the saving throw, it can't be frightened by that creature [DURATION].</t>
  </si>
  <si>
    <t>Whirlwind</t>
  </si>
  <si>
    <t>Strength, Dexterity</t>
  </si>
  <si>
    <t>Siphoning Aura</t>
  </si>
  <si>
    <t>Drones</t>
  </si>
  <si>
    <t>Each day at dawn, the [MON] produces up to 12 vaguely humanoid drones. Drones share a telepathic link with the [MON] and are under its control. A drone uses the statistics of a zombie, except it can't be knocked prone while on the [MON] and can attach itself to the [MON] as a reaction when the [MON] moves. The [MON] can have no more than 12 drones under its control at one time.</t>
  </si>
  <si>
    <t>If a charmed creature is more than [#] ft away from the [MON] creature must move on its turn toward the [MON] by most direct route trying to get within [#] ft of it. Charmed creature doesn't avoid opportunity attacks but before moving into damaging terrain such as lava or a pit and whenever it takes damage from a source other than the [MON] creature can repeat this saving throw.</t>
  </si>
  <si>
    <t>Mirrored Carapace</t>
  </si>
  <si>
    <t>The [MON] projects an illusory duplicate of itself that appears in its space. When a creature targets the [MON] with an attack, if the attack roll would hit the [MON] and isn't a critical hit, the attack hits the duplicate instead, destroying it. A creature is unaffected by this ability if it can't see, if it relies on senses other than sight, or if it can see through illusions.</t>
  </si>
  <si>
    <t>The [MON] regains [#] hit points at the start of its turn if it is within [#] ft of the duskthorn dryad's vines and it hasn't taken acid or fire damage since its previous turn. The [MON] dies only if it starts its turn with 0 hit points and doesn't regenerate, or if the duskthorn dryad who created it dies, or if the [MON]'s heart inside the dryad's or treant's tree is destroyed.</t>
  </si>
  <si>
    <t>Final Fury</t>
  </si>
  <si>
    <t>When reduced to 0 hit points its head and neck separate from body. Snake-like remnant immediately attacks nearest creature moving up to its speed if necessary even if it has already taken its turn this round. This remnant has same stats as original [MON] except it is Medium has [#] hit points and can make only one Bite on its turn. Head remains active [DURATION] or until killed.</t>
  </si>
  <si>
    <t>Control Envenomed</t>
  </si>
  <si>
    <t>Disadvantage, Infection Effect</t>
  </si>
  <si>
    <t>As a bonus action or when it takes fire damage, the [MON] bursts into flame. The [MON] continues burning until it takes cold damage or is immersed in water. A creature that touches the [MON] or hits it with a melee attack while within [#] ft of it while it is burning takes [#dX] [DMG_TYPE] damage. While burning, a [MON] deals an extra [#dX] [DMG_TYPE] damage on each melee attack.</t>
  </si>
  <si>
    <t>Bleeding</t>
  </si>
  <si>
    <t>Yowl</t>
  </si>
  <si>
    <t>Shard Spray</t>
  </si>
  <si>
    <t>is knocked prone, pinned to the ground by a shard, and restrained. As an action, the restrained creature or a creature within [#] ft of it can make a DC [SAVE_DC] Strength check, removing the shard and ending the condition on a success. The shard can also be attacked and destroyed (AC [#]; hit points 15; vulnerability to bludgeoning damage; immunity to poison and psychic damage).</t>
  </si>
  <si>
    <t>Blazing Blood</t>
  </si>
  <si>
    <t>When the [MON] takes damage that doesn't kill it, or when it is subjected to fire damage, its magma shell cracks and it is set ablaze. While ablaze, the [MON] sheds bright light for [#] ft and dim light for an additional [#] ft If the [MON] is subjected to cold damage while ablaze, this flame is extinguished. The [MON] can also set itself ablaze or extinguish itself as an action.</t>
  </si>
  <si>
    <t>Erupt</t>
  </si>
  <si>
    <t>Horn of Spirits</t>
  </si>
  <si>
    <t>The [MON] blows on its brass horn, calling forth 10 (3d4 + 3) warrior spirits. These spirits appear within [#] ft of the [MON] and use tribal warrior statistics. When the spirits are summoned, one of them is always an ancient champion that uses berserker statistics. They disappear after [DURATION] or when they are reduced to 0 hit points. These spirits follow the [MON]'s commands.</t>
  </si>
  <si>
    <t>Corkscrew</t>
  </si>
  <si>
    <t>Area, Incapacitating, Mount, Movement</t>
  </si>
  <si>
    <t>Slimy Cloud</t>
  </si>
  <si>
    <t>Earth Counter</t>
  </si>
  <si>
    <t>As a reaction when a creature the [MON] can see within [#] ft of it casts a spell, the [MON] counters it. This reaction works like the counterspell spell, except the [MON] can only counter spells that directly affect or create earth or stone, such as stone shape, wall of stone, or move earth, and it doesn't need to make a spellcasting ability check, regardless of the spell's level.</t>
  </si>
  <si>
    <t>Anoxic Aura</t>
  </si>
  <si>
    <t>AC Change, Summoning</t>
  </si>
  <si>
    <t>Voice of Authority</t>
  </si>
  <si>
    <t>Charming, Communication</t>
  </si>
  <si>
    <t>Shared Rage</t>
  </si>
  <si>
    <t>The [MON] can't speak with its creator telepathically, but it feels strong emotions and recognizes the objects of those emotions. A creator can telepathically order [MON] to hunt for and attack individuals by sending the [MON] an image of the creature and the appropriate emotion. As long as the [MON] is on such a hunt, it can be more than [#] ft away from its master without wailing.</t>
  </si>
  <si>
    <t>Lindwurm Fever</t>
  </si>
  <si>
    <t>Surge</t>
  </si>
  <si>
    <t>Clinging Illusion</t>
  </si>
  <si>
    <t>The [MON] creates a magical illusion of an unmoving object in a space it can see within [#] ft of it. The illusion can hide a smaller object in the same space. The illusion lasts [DURATION] until a creature touches it or [DURATION]. A creature can use an action to attempt a DC [SAVE_DC] Intelligence (Investigation) check. On a success, the illusion appears transparent to the creature.</t>
  </si>
  <si>
    <t>Dance of the Unyielding</t>
  </si>
  <si>
    <t>Disadvantage, Self Healing</t>
  </si>
  <si>
    <t>The [MON] stomps and waves its arms in a martial dance, and it regains [#] hit points. Until the dance ends, the [MON] regains [#] hit points at the start of each of its turns and melee attack rolls against the [MON] have disadvantage. It must take a bonus action on its subsequent turns to continue dancing. It can stop dancing at any time. The dance ends if the [MON] is incapacitated.</t>
  </si>
  <si>
    <t>Ongoing Damage, Silencing, Suffocating</t>
  </si>
  <si>
    <t>Reproduce</t>
  </si>
  <si>
    <t>When the [MON] takes damage from a spell and isn't reduced to 0 hit points, a number of new [MON]s equal to the spell's level appear in unoccupied spaces within [#] ft of the [MON]. If the spell is a cantrip, only one [MON] is created. [#] or more new [MON]s within [#] ft of each other can use their reactions to come together and form a new [MON] in a space within [#] ft of one [MON].</t>
  </si>
  <si>
    <t>Hidden Soul</t>
  </si>
  <si>
    <t>Lair, Resurrection</t>
  </si>
  <si>
    <t>A creature holding the egg containing the [MON]'s soul can use an action to compel the [MON] as if a dominate monster spell were cast on it and the [MON] failed its saving throw. As long as the soul is within the needle, the [MON] can't permanently die. If it is killed, its body reforms in its lair in [DURATION]. If the needle is broken, the [MON] can be killed like any other creature.</t>
  </si>
  <si>
    <t>Fake Feast</t>
  </si>
  <si>
    <t>Energetic Rebirth</t>
  </si>
  <si>
    <t>Pumpkin Head</t>
  </si>
  <si>
    <t>Disperse</t>
  </si>
  <si>
    <t>Difficult Terrain, Resurrection</t>
  </si>
  <si>
    <t>When the [MON] is reduced to 0 hit points, it disperses into its component kelp in a [#] ft cube. The area is difficult terrain [DURATION]. At the end of that duration, the [MON] reforms, regaining half its hit points and becoming active again. If more than half the kelp that comprises the dispersed [MON] is removed from the water and dried, it can't reform and the creature is destroyed.</t>
  </si>
  <si>
    <t>Raging Storm</t>
  </si>
  <si>
    <t>Difficult Terrain, Obscuring, Toppling</t>
  </si>
  <si>
    <t>Cold (d10)</t>
  </si>
  <si>
    <t>Drought</t>
  </si>
  <si>
    <t>Retract</t>
  </si>
  <si>
    <t>Blinding, Damage Reduction, Disadvantage, Nonreactive, Self Healing, Zero Speed</t>
  </si>
  <si>
    <t>As a reaction when the [MON] takes [#] damage or more from a single attack or spell, it retracts its head and limbs into its shell. It immediately regains [#] hit points. While retracted, it is blinded; its speed is 0; it can't take reactions; it has advantage on saving throws; attacks against it have disadvantage; and it has resistance to all damage. The [MON] stays retracted [DURATION].</t>
  </si>
  <si>
    <t>Folk Cure</t>
  </si>
  <si>
    <t>The [MON]'s tales have the effect of a lesser restoration spell at will, and once per week it can have the effect of greater restoration. The [MON] designates one listener to benefit from its ability, and that listener must spend [DURATION] listening to its tales. The [MON]s are reluctant to share this benefit and must be bargained with or under the effect of domination to grant the boon.</t>
  </si>
  <si>
    <t>Solar Nimbus</t>
  </si>
  <si>
    <t>As a reaction when the [MON] is hit by an attack, it surrounds itself in a fiery nimbus. The attacker takes [#dX] [DMG_TYPE] damage plus [#dX] [DMG_TYPE] damage, and the [MON] sheds bright light in [#] ft radius and dim light for an additional [#] ft. [DURATION], a creature within [#] ft of the [MON] that hits it with melee attack takes [#dX] [DMG_TYPE] damage plus [#dX] [DMG_TYPE] damage.</t>
  </si>
  <si>
    <t>Fire (d8), Radiant (d8)</t>
  </si>
  <si>
    <t>Brimstone Infusion</t>
  </si>
  <si>
    <t>Steal Time</t>
  </si>
  <si>
    <t>The [MON] draws some of the creature's time into itself and adds 10 to its current initiative. In addition, the target's speed is reduced by half, it can't take reactions, and it can take either an action or a bonus action on its turn, but not both. While it is stealing time, the [MON]'s speed increases by [#] ft, and when it takes the multiattack action, it can make one additional attack.</t>
  </si>
  <si>
    <t>Might of the Great Wolf</t>
  </si>
  <si>
    <t>Consuming, Shapechanging</t>
  </si>
  <si>
    <t>The [MON] grows in size. This works like the enlarge/reduce spell, except the [MON] can only enlarge and it lasts [DURATION]. While enlarged, the [MON] gains the following action: Swallow. The [MON] makes one bite attack against a target it is grappling. On a hit, the target is also consumed, and the grapple ends. The creature is automatically expelled when the [MON] is no longer enlarged.</t>
  </si>
  <si>
    <t>Necrotic Bleeding</t>
  </si>
  <si>
    <t>Shelve</t>
  </si>
  <si>
    <t>The [MON] can fold itself into a small, almost flat form, perfect for hiding on bookshelves. The [MON] can still be recognized as something other than a book by someone who handles it (doesn't just glance at it on the shelf) and makes a successful DC [SAVE_DC] Intelligence (Nature or Investigation) check. The [MON] can hop or fly (clumsily, by flapping its pages) 5 ft per turn in this form.</t>
  </si>
  <si>
    <t>Earth-Shaking Thump</t>
  </si>
  <si>
    <t>Fling Victim</t>
  </si>
  <si>
    <t>Purify Water</t>
  </si>
  <si>
    <t>If the [MON] sits in a body of slow-flowing or standing water, such as a hot spring or a small creek, for at least [DURATION], the water becomes purified and rendered free of poison and disease. In slow-flowing water, this purification fades [DURATION] after the [MON] leaves the water. In standing water, this purification lasts until a contaminant enters the water while the [MON] isn't in it.</t>
  </si>
  <si>
    <t>Entrap</t>
  </si>
  <si>
    <t>Disadvantage, Grappling, Restraining</t>
  </si>
  <si>
    <t>Voracious Aura</t>
  </si>
  <si>
    <t>Pin</t>
  </si>
  <si>
    <t>Fire (d6), Piercing (d6)</t>
  </si>
  <si>
    <t>Last Resort</t>
  </si>
  <si>
    <t>As a reaction when host dies [MON] can reanimate it [DURATION] if body is still intact. During this time host protected from decay and can't become undead. The [MON] can use bonus action to cause host to move as in life but host can't take other actions. If host could speak in life [MON] can speak with host's voice. Host reanimated this way can be restored to life by any spell capable of that.</t>
  </si>
  <si>
    <t>Arcane Pool</t>
  </si>
  <si>
    <t>The [MON] absorbs energy from nearby spellcasting. Most [MON]s hold 1 charge point at any given time but can hold up to 4. As a bonus action while casting a spell within [#] ft of the [MON], the [MON]'s controller can expend the [MON]'s charge points to cast the spell without expending a spell slot. To do so, the controller must expend a number of charge points equal to the level of the spell.</t>
  </si>
  <si>
    <t>Puddle Splash</t>
  </si>
  <si>
    <t>Ricochet Charge</t>
  </si>
  <si>
    <t>Bonus Action Attack, Disengaging, Movement, Prone Effect</t>
  </si>
  <si>
    <t>If the [MON] moves at least [#] ft straight toward the target before making this attack, the target has disadvantage on the save against being knocked prone. If the target is prone, the [MON] can move up to [#] ft straight toward a second target without provoking opportunity attacks from the first target and make one attack against that target as a bonus action if the target is within its reach.</t>
  </si>
  <si>
    <t>Blizzard</t>
  </si>
  <si>
    <t>Difficult Terrain, Disadvantage, Obscuring</t>
  </si>
  <si>
    <t>The [MON] creates an icy blizzard in that area around it. A [#] ft radius sphere surrounding the [MON] fills with icy fog, whirling snow, and driving ice crystals. Vision is lightly obscured, and creatures have disadvantage on Wisdom (Perception) checks that rely on vision or hearing. The ground in the affected area becomes difficult terrain. The effect lasts [DURATION] and moves with the [MON].</t>
  </si>
  <si>
    <t>Corrupting Aura</t>
  </si>
  <si>
    <t>Aura, Betraying</t>
  </si>
  <si>
    <t>Rallying Roar</t>
  </si>
  <si>
    <t>As a reaction when the [MON] reduces a creature to 0 hit points, it can utter a triumphant roar. Each ally within [#] ft of the [MON] that is frightened, paralyzed, stunned, or unconscious has advantage on its next saving throw. A ally without those conditions has advantage on its next attack roll. In addition each ally within [#] ft of the [MON] that can hear it gains [#dX] temporary hit points.</t>
  </si>
  <si>
    <t>If a charmed creature is more than [#] ft away from the [MON], it must move on its turn toward the [MON] by the most direct route, trying to get within [#] ft of the [MON] and touch it. The creature doesn't avoid opportunity attacks, but before moving into damaging terrain such as lava or a pit and whenever it takes damage from a source other than the [MON], the target can repeat this saving throw.</t>
  </si>
  <si>
    <t>Disruptive Ploy</t>
  </si>
  <si>
    <t>Shrink</t>
  </si>
  <si>
    <t>The [MON] decreases in size by one category [DURATION], along with anything it is wearing or carrying. While shrunken, the [MON] halves its damage dice on Strength-based attacks, and makes Strength checks and Strength saving throws with disadvantage. At the end of that duration, if the [MON] lacks the room to grow back to its regular size, it attains the maximum size possible in the space available.</t>
  </si>
  <si>
    <t>takes [#dX] [DMG_TYPE] damage at the start of each of its turns as a piece of the claw breaks off in the wound. Each time the [MON] hits the target with this attack, the damage dealt by the wound each round increases by [#dX]. Any creature can use an action to remove the claw with a successful DC [SAVE_DC] Wisdom (Medicine) check. The claw pops out of the wound if the target receives magical healing.</t>
  </si>
  <si>
    <t>Slashing (d4, d6)</t>
  </si>
  <si>
    <t>Living Projection</t>
  </si>
  <si>
    <t>The [MON]'s undead form is constantly covered with a magical illusion that makes it look like it did in life. This effect is suppressed [DURATION]. The changes wrought by this illusion fail to hold up to physical inspection. Otherwise, a creature must use an action to visually inspect the illusion and succeed on a DC [SAVE_DC] Intelligence (Investigation) check to discern the [MON]'s true appearance.</t>
  </si>
  <si>
    <t>Wing Trap Snap</t>
  </si>
  <si>
    <t>Nightmare Leap</t>
  </si>
  <si>
    <t>The [MON] can store the souls of up to 3 victims inside it at one time. If it has at least 1 soul, a destroyed [MON] gains a new body in [DURATION], regaining all its hit points and becoming active again. The new body appears within [#] ft of its sandy remains. If its sandy remains are soaked with holy water and buried in consecrated ground, its trapped souls are freed, and the [MON] can't rejuvenate.</t>
  </si>
  <si>
    <t>Multiply</t>
  </si>
  <si>
    <t>As a reaction when it takes damage while below half its hit point max it creates a spectral [MON]. Spectral [MON] uses the stats of a shadow except it doesn't have Sunlight Weakness trait and can't make new shadows when it kills humanoids. It appears in an unoccupied space within [#] ft of the [MON] and acts on same initiative as that [MON]. After spectral [MON] finishes a long rest it becomes a [MON].</t>
  </si>
  <si>
    <t>Dominate</t>
  </si>
  <si>
    <t>The charmed creature obeys the telepathic commands of the [MON] to the best of its ability. This action works like the dominate person spell, except the [MON] doesn't need to concentrate to maintain the domination, and it can't take total and precise control of the target. The [MON] can have only one humanoid under its control at one time. If it dominates another, the effect on the previous target ends.</t>
  </si>
  <si>
    <t>Glowing Eye</t>
  </si>
  <si>
    <t>As a bonus action, the [MON] makes its single eye shine with a brilliant golden light. Its eye sheds bright light in a line that is [#] ft long and 5 ft wide, or it sheds bright light in a [#] ft cone. Each creature in that area illuminated by the [MON]'s eye gains the [MON]'s Swamp Stride trait as long as it remains on the illuminated path. The [MON] can douse its light at any time (no action required).</t>
  </si>
  <si>
    <t>Salt Infusion</t>
  </si>
  <si>
    <t>AC Change, Difficult Terrain</t>
  </si>
  <si>
    <t>At the start of the [MON]'s turn, a syringe on its back injects it with an alchemical infusion, which lasts [DURATION]. The [MON] takes [#dX] [DMG_TYPE] damage when it activates this infusion. The [MON]'s silver hide is covered with salt crystals, increasing its AC by [#]. The [MON]'s melee attacks deal an extra [#dX] [DMG_TYPE] damage, and the ground within [#] ft of the [MON] becomes difficult terrain.</t>
  </si>
  <si>
    <t>Absorb Spirit</t>
  </si>
  <si>
    <t>Consuming, Self Healing</t>
  </si>
  <si>
    <t>Ballista Shot</t>
  </si>
  <si>
    <t>Assume Form</t>
  </si>
  <si>
    <t>The [MON] consumes the corpse of one Medium or smaller humanoid or beast within [#] ft of it and transforms into it. statistics other than size are the same in new form. Any items worn/carried meld into new form. Can't activate use wield or otherwise benefit from any of its equipment. It reverts to its true aberrant form if it dies makes a Manipulate the Flesh attack or uses Assume Form while transformed.</t>
  </si>
  <si>
    <t>Final Curtain</t>
  </si>
  <si>
    <t>The [MON] targets a corpse it can see within [#] ft of it that has been dead for no longer than [DURATION]. A stream of dark energy flows between the corpse and the [MON]. At the end of the [MON]'s next turn, the [MON] absorbs the corpse and it vanishes completely. Any worn items or possessions are unaffected. A corpse destroyed in this manner can't be retrieved other than by a wish spell or similar magic.</t>
  </si>
  <si>
    <t>Scorching Aura</t>
  </si>
  <si>
    <t>Box Teleport</t>
  </si>
  <si>
    <t>The [MON] teleports up to [#] ft into a box, chest, wardrobe, or other wooden container with a lid or door. The [MON] can hide inside the container as a bonus action after teleporting. If the [MON] uses this action while inside a container, it can teleport into another container within range or it can teleport back to its home plane. If it does so, it can't return to the Material Plane until it is summoned.</t>
  </si>
  <si>
    <t>Misery Whip</t>
  </si>
  <si>
    <t>Entangling Plants</t>
  </si>
  <si>
    <t>Difficult Terrain, Restraining</t>
  </si>
  <si>
    <t>Drain Magic Item</t>
  </si>
  <si>
    <t>The [MON] drains the magic from an item it is holding. A magic item with charges loses 1d6 charges, an item with limited uses per day loses one daily use, and a single-use item such as a potion or spell scroll is destroyed. All other magic items have their effects suppressed [DURATION]. The [MON] gains 5 temporary hit points each time it drains a magic item. A drained item regains its magic after [DURATION].</t>
  </si>
  <si>
    <t>Searing Acid</t>
  </si>
  <si>
    <t>Flare</t>
  </si>
  <si>
    <t>Discharging, Magic Disrupting</t>
  </si>
  <si>
    <t>When immersed in magical darkness, a [MON] emits a brilliant flash of light powerful enough to dispel magical darkness in a [#] ft radius sphere centered on itself, illuminating the area with bright light [DURATION]. Afterwards, the light winks out and the skull falls to the ground, inert. In one week, the [MON] has a 50% chance of becoming active again, though failure to do so means it will never reanimate.</t>
  </si>
  <si>
    <t>In areas of dim light or darkness, a [MON] is treated as invisible. Artificial illumination, such as a lantern or a light or continual flame spell, does not negate this ability; nothing less than true sunlight or a daylight spell does. The [MON] can't use its speed Surge or its Stygian Breath while invisible. A [MON] can suspend or resume this ability at will, so long as the [MON] is in dim light or darkness.</t>
  </si>
  <si>
    <t>Toxic Smoke</t>
  </si>
  <si>
    <t>Fire (Other), Poison (d6)</t>
  </si>
  <si>
    <t>Waters of Unfathomable Compulsion</t>
  </si>
  <si>
    <t>Any creature that drinks the water of a [MON] or eats fruit from the plants growing in it has a dream (as the spell, save DC [SAVE_DC]) the next time it sleeps. In this dream, the [MON] places a compulsion to carry out some activity as a torrent of images and sensations. When the creature awakens, it is affected by a geas spell (save DC [SAVE_DC], cast as a 7th-level spell) in addition to the effects of dream.</t>
  </si>
  <si>
    <t>Consume Metal</t>
  </si>
  <si>
    <t>Water-bound Form</t>
  </si>
  <si>
    <t>The [MON] is bound to its water source. If the [MON] is separated from its water source for more than [DURATION], the [MON] gains 1 level of exhaustion. It gains an additional level of exhaustion every [DURATION] until it bonds with another water source or [DURATION]. The [MON] can bond with a new water source and remove its levels of exhaustion by finishing a long rest while submerged in the new water source.</t>
  </si>
  <si>
    <t>War Mage</t>
  </si>
  <si>
    <t>When making an opportunity attack, the [MON] can cast a spell with a casting time of 1 action instead of making a weapon attack. If this spell requires a ranged attack roll, the [MON] doesn't have disadvantage on the attack roll from being within [#] ft of a hostile creature, though it may still have disadvantage from other sources. This spell must only target the creature that provoked the opportunity attack.</t>
  </si>
  <si>
    <t>Seething Rage</t>
  </si>
  <si>
    <t>When the [MON] is first brought below half of its maximum hit points, it immediately recharges its breath weapon, if it is not already available. Its inner flame erupts, burning brightly in its eyes and mouth. After taking damage from its Searing Heat ability, a creature with resistance to fire damage loses it, and a creature with immunity to fire damage reduces it to resistance. Either effect lasts [DURATION].</t>
  </si>
  <si>
    <t>Demiplane</t>
  </si>
  <si>
    <t>The creatures appear in empty spaces of the [MON]'s choice on a demiplane. The demiplane can be up to one square mile in size. The demiplane can appear to be inside, outside, or underground, and can contain terrain, nonmagical objects, and magical effects of the [MON]'s choosing. The [MON] may populate it with creatures and hazards with a total Challenge Rating equal to or less than the [MON]'s Challenge Rating.</t>
  </si>
  <si>
    <t>Apotheosis</t>
  </si>
  <si>
    <t>When the [MON] has [#] hit points or fewer, the spirit within it tears free and tendrils of necrotic energy erupt from its skin. When it hits with any weapon, the weapon deals an extra [#dX] [DMG_TYPE] damage. When it has [#] hit points or fewer, its weapon attacks instead deal an extra [#dX] [DMG_TYPE] damage. When it has [#] hit points or fewer, its weapon attacks instead deal an extra [#dX] [DMG_TYPE] damage.</t>
  </si>
  <si>
    <t>Group Actions</t>
  </si>
  <si>
    <t>When three [MON]s are within [#] ft of each other, they can work together to cast communal spells that are more powerful than they could cast individually. To do this, one uses an action to cast a spell, and the other two must use their reactions to complete it. These communal spells are cast at 11th level and have a spell save DC of 13: At will: hold person 3/day: fear, sleep 1/day: confusion, hypnotic pattern.</t>
  </si>
  <si>
    <t>Oil Spray</t>
  </si>
  <si>
    <t>Shadow Form</t>
  </si>
  <si>
    <t>The [MON] can become incorporeal as a shadow as a bonus action. In this form, it has a fly speed of [#] ft; it can enter and occupy spaces occupied by other creatures; it gains resistance to all nonmagical damage; it has advantage on physical saving throws; it can pass through any gap or opening; it can't attack, interact with physical objects, or speak. It can return to its corporeal form also as a bonus action.</t>
  </si>
  <si>
    <t>Advantage, Rampaging, Weakness</t>
  </si>
  <si>
    <t>The [MON]'s horn can be attacked and severed or destroyed, whichever the attacker chooses (AC [#]; [#] hit points; immunity to bludgeoning, poison, and psychic damage). If its horn is severed, the [MON] loses its flying speed, loses [#dX] hit points at the start of each of its turns, and goes into a frenzy. While in a frenzy, the [MON] has advantage on bite attack rolls and attack rolls against it have advantage.</t>
  </si>
  <si>
    <t>Superstitious</t>
  </si>
  <si>
    <t>Any nonmagical ferrous metal armor weapons or other items a consumed creature is wearing corrode at the start of each of the [MON]'s turns. If object is either metal armor or metal shield being worn/carried it takes permanent and cumulative -1 penalty to AC it offers. Armor reduced to AC of 10 or shield that drops to a +0 bonus is destroyed. If object is a metal weapon it rusts as described in the Rust Metal trait.</t>
  </si>
  <si>
    <t>HP Max Reducing, Infection Effect, Ongoing Damage</t>
  </si>
  <si>
    <t>Exhausting, Temporary Self Healing</t>
  </si>
  <si>
    <t>Frightening Visage</t>
  </si>
  <si>
    <t>Dismantling Form</t>
  </si>
  <si>
    <t>Any nonmagical weapon that hits the [MON] is slowly dismantled by the minute constructs that make up the [MON]. After dealing damage, the weapon takes a permanent and cumulative -1 penalty to damage rolls. If its penalty drops to -5, the weapon is destroyed. Nonmagical ammunition that hits the [MON] is destroyed after dealing damage. At the start of each of its turns, the [MON] can choose whether this trait is active.</t>
  </si>
  <si>
    <t>Muddy Ground</t>
  </si>
  <si>
    <t>Difficult Terrain, Prone Effect, Zero Speed</t>
  </si>
  <si>
    <t>Ruff Spikes</t>
  </si>
  <si>
    <t>Wisdom, Constitution</t>
  </si>
  <si>
    <t>Animate Chain</t>
  </si>
  <si>
    <t>One inanimate, unattended chain within [#] ft of it sprouts blades and animates under the [MON]'s control [DURATION]. It has AC [#] and [#] hit points, a speed of 0, and immunity to psychic, piercing, poison, and thunder damage. When the [MON] uses Multiattack, the [MON] may command the chain to make one Chain attack against a target within [#] ft of it. If the chain is reduced to 0 hit points, it can't be reanimated.</t>
  </si>
  <si>
    <t>Alluring Light</t>
  </si>
  <si>
    <t>Punish Transgressor</t>
  </si>
  <si>
    <t>Blinding, Deafening, Disadvantage, Stunning</t>
  </si>
  <si>
    <t>Fearsome Pursuit</t>
  </si>
  <si>
    <t>The [MON] can spend [DURATION] focusing on a creature against which it has sworn vengeance. If the creature is dead or on another plane of existence, it learns that. Otherwise, after focusing, it knows the distance and direction to that creature, and so long as its moving in pursuit of that creature, it ignores difficult terrain. This effect ends if the [MON] takes damage or ends its turn without moving for any reason.</t>
  </si>
  <si>
    <t>Swarm Prince</t>
  </si>
  <si>
    <t>The [MON] can communicate with spawns of The [MON] and all vermin and insects, including swarms and giant varieties, within [#] ft of it via pheromone transmission. In a hive, this range extends to cover the entire hive. This is a silent and instantaneous mode of communication that only [MON], spawn of the [MON], insects, and vermin can understand. All these creatures follow [MON]'s orders and will never harm the devil.</t>
  </si>
  <si>
    <t>Ritual Cleansing</t>
  </si>
  <si>
    <t>The [MON] can take [DURATION] to perform a cleansing ritual on a creature object or an area within [#] ft of it that is no larger than a [#] ft cube. The affected creature or object is hidden from divination magic [DURATION] as if it was under the effects of the nondetection spell. In an area that is ritually cleansed, divination spells of level [#] or lower don't function and creatures within that area can't be scried.</t>
  </si>
  <si>
    <t>Rootlet Swarms</t>
  </si>
  <si>
    <t>The [MON] is surrounded at all times by four Medium swarms of Tiny rootlets that move as the [MON] directs. Each swarm has a speed of [#] ft, can be targeted independently, has [#] hit points, and vulnerable to fire damage. Other than that, they have the same statistics as the [MON]'s main body. For each swarm that drops to 0 hit points, the [MON] loses one of its Entrap attacks. A destroyed swarm regrows in [DURATION].</t>
  </si>
  <si>
    <t>Time-Assisted Counterattack</t>
  </si>
  <si>
    <t>The [MON]'s awareness of the near future allows it to see attacks before they happen. As a reaction when a creature the [MON] can see attacks it while within [#] ft of it, the [MON] can attack the creature before the creature's attack hits. The [MON] makes a single melee attack against the creature. If the creature is reduced to 0 hit points as a result of the [MON]'s attack, the creature's attack doesn't hit the [MON].</t>
  </si>
  <si>
    <t>Assume the Dead</t>
  </si>
  <si>
    <t>Nimbus of Stars</t>
  </si>
  <si>
    <t>Corrosive Form</t>
  </si>
  <si>
    <t>Any nonmagical weapon made of metal or wood that hits the [MON] is coated in a corrosive red slime. After dealing damage, the weapon takes a permanent and cumulative -1 penalty to damage rolls. If its penalty drops to -5, the weapon is destroyed. Nonmagical ammunition made of metal or wood that hits the [MON] is destroyed after dealing damage. The [MON] can eat through 2-inch-thick, nonmagical wood or metal in [DURATION].</t>
  </si>
  <si>
    <t>Honeyed Words</t>
  </si>
  <si>
    <t>must use its reaction if available to make one attack against a creature of the [MON]'s choice with whatever weapon it has to do so moving up to its speed as part of the reaction if necessary. It need not use any special class features (such as Sneak Attack or Divine Smite) when making this attack. If it can't get in a position to attack the creature it moves as far as it can toward the target before regaining its senses.</t>
  </si>
  <si>
    <t>Attachment Effect, Charming, Ongoing Damage</t>
  </si>
  <si>
    <t>Familiar Potential</t>
  </si>
  <si>
    <t>The [MON] can serve another creature as a familiar, forming a telepathic bond with its willing master. While the two are bonded, the master can sense what the [MON] senses as long as they are within 1 mile of each other. While the [MON] is within [#] ft of its master, the master shares the [MON]'s Magic Resistance trait. At any time and for any reason, the [MON] can end its service as a familiar, ending the telepathic bond.</t>
  </si>
  <si>
    <t>If the [MON] has an opponent grappled at the start of its turn, it can make a Dexterity (Sleight of Hand) check as a bonus action. The DC for this check equals 10 plus the grappled target's Dexterity modifier. If the check is successful, the [MON] steals some small metallic object from the target, and the theft is unnoticed if the same result equals or exceeds the target's passive Perception. A [MON] flees with its treasure.</t>
  </si>
  <si>
    <t>Blood Puppet</t>
  </si>
  <si>
    <t>is dominated by the [MON] (as the dominate person spell). A dominated creature can repeat this saving throw each time the [MON] or the [MON]'s companions do anything harmful to it, ending the effect on itself on a success. Otherwise, the effect lasts [DURATION] or until the [MON] is destroyed, is on a different plane of existence than the target, or [DURATION]; the [MON] doesn't need to concentrate on maintaining the effect.</t>
  </si>
  <si>
    <t>Drawn to Magic</t>
  </si>
  <si>
    <t>The [MON] can pinpoint the location of magical items within [#] ft of it. If the [MON] starts its turn within [#] ft of a magic item, it moves to that magic item and hovers around it. If the item is being worn or carried by a creature, the [MON] attacks that creature. If multiple magic items are within [#] ft of the [MON], it moves to the item that is most rare. If more than one item is most rare, choose randomly among them.</t>
  </si>
  <si>
    <t>Animate Bones</t>
  </si>
  <si>
    <t>The [MON] creates a skeleton out of a pile of bones or a the corpse of a creature within [#] ft of it. The skeleton is under the control of the [MON], obeying the [MON]'s mental commands, and uses the statistics of a CR 1 or lower skeleton of your choice. The [MON] can control up to three skeletons at one time. If the [MON] creates a skeleton while it already has three under its control, the oldest skeleton crumbles to dust.</t>
  </si>
  <si>
    <t>Direct Victim</t>
  </si>
  <si>
    <t>The [MON] forces a creature it is grappling to move up to the creature's speed and make one attack with a melee weapon the creature is holding. If the creature isn't holding a melee weapon, it makes one unarmed strike instead. The [MON] decides the direction of the movement and the target of the attack. The grappled creature can use its reaction and isn't considered blinded or restrained when moving and attacking in this way.</t>
  </si>
  <si>
    <t>Mulcher Pit</t>
  </si>
  <si>
    <t>Telekinetic Projector</t>
  </si>
  <si>
    <t>Pulling, Pushing</t>
  </si>
  <si>
    <t>Ancestral Spirits</t>
  </si>
  <si>
    <t>Three ghostly spirits haunt the [MON]. The spirits are incorporeal, remain within [#] ft of the [MON] at all times, and can't take actions. Each uses the [MON]'s AC and saving throws, has [#] hit points, can't be turned, and can only be harmed by radiant damage. If an ancestral spirit is reduced to 0 hit points, it disappears, and the [MON]'s AC is reduced by [#]. Dispersed spirits reappear when the [MON] finishes a long rest.</t>
  </si>
  <si>
    <t>Malleable Physiology</t>
  </si>
  <si>
    <t>Advantage, Sense, Speed Change</t>
  </si>
  <si>
    <t>At the start of each of the [MON]'s turns, the [MON] gains one of the following benefits [DURATION]: (1) Darkvision out to a range of [#] ft. (2) A climbing, flying, or swimming speed of [#] ft. (3) Advantage on Wisdom (Perception) checks that rely on hearing or smell. (4) Bony spikes sprout along its skin and a creature that touches the [MON] or hits it with melee attack while within [#] ft of it takes [#dX] [DMG_TYPE] damage.</t>
  </si>
  <si>
    <t>Avalanche</t>
  </si>
  <si>
    <t>Whenever the [MON] starts its turn with [#] hit points or fewer, roll a d6. On a 6, the [MON] goes berserk. On each of its turns while berserk, the [MON] attacks the nearest creature it can see. If no creature is near enough to move to and attack, the [MON] attacks an object, with preference for an object smaller than itself. Once the [MON] goes berserk, it continues to do so until it is destroyed or regains all its hit points.</t>
  </si>
  <si>
    <t>The [MON] increases its walking speed to [#] ft [DURATION] and moves in a straight line toward a target it can see.</t>
  </si>
  <si>
    <t>The [MON]'s skeletal form is covered with a magical illusion that makes it look like a living willow tree. The [MON] can use a bonus action to dismiss this illusion [DURATION]. The changes wrought by this illusion fail to hold up to physical inspection. Otherwise, a creature must use an action to visually inspect the illusion and succeed on a DC [SAVE_DC] Intelligence (Investigation) check to discern the [MON]'s true appearance.</t>
  </si>
  <si>
    <t>Contagious Lightning</t>
  </si>
  <si>
    <t>Disadvantage, Paralyzing</t>
  </si>
  <si>
    <t>Bottled Soul</t>
  </si>
  <si>
    <t>Poisoning, Self Healing, Stunning</t>
  </si>
  <si>
    <t>Caster Link</t>
  </si>
  <si>
    <t>When a [MON] is summoned, it creates a mental link between itself and its conjurer. If the [MON]'s assigned target (see Find The target ability, below) dies before the [MON] can drain the target's soul, or if the [MON] is defeated by its target (but not slain), it returns to its conjurer at full speed and attacks. While the [MON] and the conjurer share the same plane, it can use its Find The target ability to locate its conjurer.</t>
  </si>
  <si>
    <t>Body Thief</t>
  </si>
  <si>
    <t>The [MON] enters the nose and mouth of an incapacitated humanoid within [#] ft of it. The target must be Small or larger, have a brain and have an Intelligence of 4 or higher. The [MON] eats the target's brain and takes control of the target. The [MON] leaves the body if the target is reduced to 0 hit points, if the target is affected by dispel evil and good or another effect that ends possession, or voluntarily as a bonus action.</t>
  </si>
  <si>
    <t>Piercing Roll</t>
  </si>
  <si>
    <t>Arcane Discharge</t>
  </si>
  <si>
    <t>Vocal Mimicry</t>
  </si>
  <si>
    <t>The [MON] can mimic the calls and voices of any creature it has heard. To use this ability, the [MON] makes a Charisma (Deception) check. Listeners who succeed on an opposed Wisdom (Insight) or Intelligence (Nature) (DM's choice) check realize that something is mimicking the sound. The [MON] has advantage on the check if it is mimicking a general type of creature (a crow's call, a bear's roar) and not a specific individual's voice.</t>
  </si>
  <si>
    <t>Night Journey</t>
  </si>
  <si>
    <t>When outdoors at night, a [MON]'s vision is not limited by nonmagical darkness. Once per month, the [MON] can declare it is on a night journey; [DURATION], it can use its Teleport once per round. Its destination must always be in an area of nonmagical darkness within its line of sight. At any point during the night journey, as a bonus action, the [MON] can return itself and its rider to the location where it began the night journey.</t>
  </si>
  <si>
    <t>Sticky Tongues</t>
  </si>
  <si>
    <t>Limbs, Restraining, Restraint Ending</t>
  </si>
  <si>
    <t>Faerie Form</t>
  </si>
  <si>
    <t>Advantage, Extra Damage, Shapechanging</t>
  </si>
  <si>
    <t>The [MON] changes its size between Large, Medium, and Tiny. While Tiny, the bludgeoning, piercing, and slashing damage dealt by its attacks is halved and it has disadvantage on Strength checks and advantage on Dexterity checks. While Large, the bludgeoning, piercing, and slashing damage dealt by its attacks is doubled and it has advantage on Strength checks and disadvantage on Dexterity checks. Its statistics are otherwise unchanged.</t>
  </si>
  <si>
    <t>Freezing Claw</t>
  </si>
  <si>
    <t>Ongoing Damage, Spawning</t>
  </si>
  <si>
    <t>When a creature on the Material Plane touches the [MON] or hits it with a melee attack, the creature is transported to the Ethereal Plane. The creature can see and hear into both the Ethereal and Material Plane but is unaffected by creatures and objects on the Material Plane. It can be seen as a ghostly form by creatures on the Material Plane. It can move in any direction, with each ft of movement up or down costing 2 ft of movement.</t>
  </si>
  <si>
    <t>Dream</t>
  </si>
  <si>
    <t>While on the Ethereal Plane the [MON] touches a sleeping humanoid that is not protected by a magic circle or protection from evil and good spell or similar magic. While the touch persists the [MON] appears in the creatures dreams. The creature can end the dream at any time. If the dream lasts [DURATION] the target gains no benefit from the rest and the [MON] can use Charm on the creature even if its on a different plane of existence.</t>
  </si>
  <si>
    <t>Incite Stampede</t>
  </si>
  <si>
    <t>The [MON] moves up to [#] ft in a straight line, moving through the space of any creature in its path. Each ally within [#] ft of the [MON] can use its reaction to move up to [#] ft in a straight line in the same direction, also moving through the space of any creature in its path. This movement doesn't provoke opportunity attacks. Each time a stampeding creature enters a creature's space during this movement, that creature [OUTCOME].</t>
  </si>
  <si>
    <t>Exhausting, HP Max Reducing, Infection Effect</t>
  </si>
  <si>
    <t>Cold (d8), Necrotic (d4)</t>
  </si>
  <si>
    <t>Deafening, Pushing, Toppling</t>
  </si>
  <si>
    <t>Sand Step</t>
  </si>
  <si>
    <t>Disengaging, Teleportation</t>
  </si>
  <si>
    <t>Instead of moving, the [MON]'s humanoid form collapses into loose sand and immediately reforms at another unoccupied space within [#] ft of it. This movement doesn't provoke opportunity attacks. After using this trait in sand terrain, the [MON] can Hide as part of this movement even if under direct observation. The [MON] can sand step under doors or through similar obstacles, provided there's a gap large enough for sand to sift through.</t>
  </si>
  <si>
    <t>Magical Horns</t>
  </si>
  <si>
    <t>The [MON] gains its ability to fly from its magical horn. The horn can be severed from a living [MON], but doing so drives it into a panicked rage as it attempts to slay all those around it. Strangely, [MON]s never use their horns in combat, possibly in fear of accidentally breaking them. A [MON]'s horn is commonly used in the creation of magic items that grant flight, and [MON]s are often the target of hunters seeking to turn a profit.</t>
  </si>
  <si>
    <t>Bind Fates</t>
  </si>
  <si>
    <t>Soul Reactivation</t>
  </si>
  <si>
    <t>If the [MON] is reduced to 0 hit points, it stops functioning and becomes inert. [DURATION], if a Small or larger creature that isn't a Construct or undead dies within [#] ft of the deactivated the [MON], a portion of creature's soul is absorbed by the [MON], and it reactivates, regaining all its hit points plus temporary hit points equal to the dead creature's CR. If it remains inert [DURATION], it is destroyed and can't be reactivated.</t>
  </si>
  <si>
    <t>Enter Reflection</t>
  </si>
  <si>
    <t>The [MON] touches a body of water large enough to hold it and becomes a reflection on water's surface. While in this form has immunity to B/P/S damage from nonmagical attacks and resistance to B/P/S from magical attacks. While a reflection speed is 5 ft can't use Tainted Claw and can revert to its true form as a bonus action. If it takes damage that isn't bludgeoning piercing or slashing while a reflection forced back into its true form.</t>
  </si>
  <si>
    <t>Air Weapons</t>
  </si>
  <si>
    <t>When the [MON] attacks, it shapes the wind into a simple or martial weapon, which always deals [#dX] magical damage of the same type as that weapon before disappearing. An air weapon shaped like a ranged weapon uses the range of that weapon, except the [MON] doesn't have disadvantage on ranged attack rolls when attacking a target beyond that weapon's normal range. Air weapons don't benefit from any other properties of weapons they mimic.</t>
  </si>
  <si>
    <t>Saturated Expansion</t>
  </si>
  <si>
    <t>Difficult Terrain, Shapechanging</t>
  </si>
  <si>
    <t>While in contact with body of water it absorbs water that is a cube up to [#] ft on a side and becomes saturated as water fills its body. While saturated increases in size along with anything it is wearing or carrying becoming Huge and has advantage on Strength checks and Strength saving throws. If it lacks room to become Huge it attains max size possible in space available. Ground exposed by the absorbed water becomes difficult terrain.</t>
  </si>
  <si>
    <t>Corrosive to Bone</t>
  </si>
  <si>
    <t>A creature with exposed bones that touches the [MON] or hits it with a melee attack while within [#] ft of it takes [#dX] [DMG_TYPE] damage. Any nonmagical weapon made of bone that hits the [MON] corrodes. After dealing damage, the weapon takes a permanent and cumulative -1 penalty to damage rolls. If its penalty drops to -5, the weapon is destroyed. Nonmagical ammunition made of bone that hits the [MON] is destroyed after dealing damage.</t>
  </si>
  <si>
    <t>Frigid Vortex</t>
  </si>
  <si>
    <t>Aura, Toppling</t>
  </si>
  <si>
    <t>Focus Weakness</t>
  </si>
  <si>
    <t>A creature grappling the [MON] can take its action to remove the [MON]'s focus by succeeding on a DC [SAVE_DC] Strength check. If its focus is removed or destroyed, the [MON] must make a DC [SAVE_DC] Constitution saving throw at the start of each of its turns. On a success, the [MON] continues working properly, but it can repeat this saving throw the next round at 1 higher DC. On a failure, the [MON] dies, falling into a heap of armaments.</t>
  </si>
  <si>
    <t>Camouflaged Webs</t>
  </si>
  <si>
    <t>It takes a successful DC [SAVE_DC] Wisdom (Perception) check to spot the [MON]'s web. A creature that fails to notice a web and comes into contact with it is restrained by the web. A restrained creature can pull free from the web by using an action and making a successful DC [SAVE_DC] Strength check. The web can be attacked and destroyed (AC [#]; [#] hit points; vulnerable to fire damage; immune to bludgeoning, poison, and psychic damage).</t>
  </si>
  <si>
    <t>Winter's Touch</t>
  </si>
  <si>
    <t>Disadvantage, Incapacitating, Petrifying</t>
  </si>
  <si>
    <t>Master's Bond</t>
  </si>
  <si>
    <t>The [MON] is bound to serve another creature as its master. The [MON] obeys all the master's commands, and the master can communicate telepathically with the [MON] as long as they are on the same plane. A dispel evil and good spell's break enchantment option that targets a [MON] can force it to make a Wisdom saving throw. On a failure, the [MON]'s bond with its master is broken, and it returns to its true form (use human guard statistics).</t>
  </si>
  <si>
    <t>Discharging, Toppling</t>
  </si>
  <si>
    <t>Fire (d10), Force (d10)</t>
  </si>
  <si>
    <t>Implant Egg</t>
  </si>
  <si>
    <t>Incapacitation Effect, Infecting, Paralyzing, Poisoning</t>
  </si>
  <si>
    <t>The [MON] implants an egg into an incapacitated creature within [#] ft of its that is neither undead nor a construct. Until the egg hatches or is removed, the creature is poisoned, paralyzed, and does not need to eat or drink. The egg hatches in 1d6 weeks, and the larval tosculi kills the host creature. The implanted egg can be removed with a successful DC [SAVE_DC] Wisdom (Medicine) check or by a spell or magical effect that cures disease.</t>
  </si>
  <si>
    <t>Lantern's Light</t>
  </si>
  <si>
    <t>As a bonus action, the [MON] can open or close its lantern. When open, the lantern sheds bright light in a [#] ft radius and dim light for an additional [#] ft. The [MON] can only see objects within the lantern's light and is blind while the lantern is closed. The lantern's light pierces magical and nonmagical darkness and can't be dispelled by magical darkness. If a creature dies in the lantern's light, its spirit is trapped in the lantern.</t>
  </si>
  <si>
    <t>Ethereal Lure</t>
  </si>
  <si>
    <t>Approaching, Charming</t>
  </si>
  <si>
    <t>Release Spell</t>
  </si>
  <si>
    <t>Ignore Other Charmers</t>
  </si>
  <si>
    <t>While charmed in this way, a creature ignores the charm effects of other [MON]s.</t>
  </si>
  <si>
    <t>Queen's Grasp</t>
  </si>
  <si>
    <t>Ongoing Damage, Restraining</t>
  </si>
  <si>
    <t>is restrained by icy wisps of shadow. While restrained, the creature takes [#dX] [DMG_TYPE] damage at the start of each of its turns. As an action, the restrained creature can make a DC [SAVE_DC] Strength check, bursting through the icy shadow on a success. The icy shadow can also be attacked and destroyed (AC [#]; [#] hit points; resistance to bludgeoning, piercing, and slashing damage; immunity to cold, necrotic, poison, and psychic damage).</t>
  </si>
  <si>
    <t>Rust Drake Lockjaw</t>
  </si>
  <si>
    <t>Ability Score Damage, Infection Effect, Paralyzing</t>
  </si>
  <si>
    <t>While infected in this way, a creature must repeat this saving throw after each long rest. On a failure, it takes [#dX] Dexterity damage and is paralyzed [DURATION]. If this reduces its Dexterity to 0, it dies. Otherwise, an infected creature recovers if it succeeds on two consecutive saving throws. It recovers [#dX] lost Dexterity after each long rest after the disease is cured; greater restoration or similar magic can restore it all at once.</t>
  </si>
  <si>
    <t>Dexterity (d3)</t>
  </si>
  <si>
    <t>Joker's Shuffle</t>
  </si>
  <si>
    <t>The [MON] reads the surface thoughts of one creature within [#] ft of it. The effect can penetrate barriers, but 3 ft of wood or dirt, 2 ft of stone, 2 inches of metal, or a thin sheet of lead blocks it. While the target is in range, the [MON] can continue reading its thoughts [DURATION]. While reading the target's mind, the [MON] has advantage on Wisdom (Insight) and Charisma (Deception, Intimidation, and Persuasion) checks against the target.</t>
  </si>
  <si>
    <t>When the [MON] takes fire damage catches fire taking [#dX] [DMG_TYPE] damage at the start of each of its turns. Burns until it takes cold or is immersed in water. Creature that touches [MON] or hits it with melee attack while within [#] ft of it while it is burning takes [#dX] [DMG_TYPE] damage. While burning deals extra [#dX] [DMG_TYPE] damage on each melee attack and deals [#dX] [DMG_TYPE] damage to a captured creature at the start of its turn.</t>
  </si>
  <si>
    <t>Create Elementals</t>
  </si>
  <si>
    <t>The [MON] creates up to 3d6 mephits 2 air earth fire or water elementals 2 ice elementals (Tome of beasts 2) or 1 rockslide elemental (Tome of beasts 3). Elementals arrive at the start of its next turn acting as its allies and obeying its spoken commands. Elementals remain [DURATION] until it dies or [DURATION]. It can have any number of Elementals under its control at one time provided the combined total CR of the Elementals is no higher than 10.</t>
  </si>
  <si>
    <t>Coalesce</t>
  </si>
  <si>
    <t>Whenever a [MON] drains life force from victims with Gravedust, it can use that energy transform its shape into a more solid form and maintain it. The new form is Small and semi-transparent but roughly the shape of a normal [MON]. In this form, the [MON] isn't amorphous and can't form a whirlwind, but it can speak normally and manipulate objects. The altered form lasts [DURATION] for every point of necrotic damage it delivered against living foes.</t>
  </si>
  <si>
    <t>Ikuchi Oil</t>
  </si>
  <si>
    <t>Dream Leap</t>
  </si>
  <si>
    <t>Once on its turn, the [MON] can use half of its movement to step into the dreams of a sleeping creature within [#] ft of it. It emerges from the dreams of another sleeper within 1 mile of the first creature, appearing in an unoccupied space within [#] ft of the second. If there is no other sleeping creature within range when it uses this ability, the [MON] is ejected into an unoccupied space within [#] ft of the first sleeper and stunned [DURATION].</t>
  </si>
  <si>
    <t>Tale of the Bar Room Rush</t>
  </si>
  <si>
    <t>The [MON] begins telling a story, which lasts up to [DURATION] if the [MON] uses a bonus action to continue telling it on subsequent turns. When the story begins, each [MON] within [#] ft of the [MON] that can hear it can use its reaction to move up to its speed without provoking opportunity attacks. Additionally, while the story is being told, each [MON] within [#] ft of the [MON] that can hear it can Dash or Disengage as a bonus action on its turn.</t>
  </si>
  <si>
    <t>Lava Bound</t>
  </si>
  <si>
    <t>The [MON] can exist outside of lava for up to [DURATION] each day. If it remains outside of lava [DURATION] or longer, its skin begins to dry and harden like rapidly-cooled magma. While its skin is hardened, it has a walking speed of [#] ft, an AC of [#], and vulnerability to cold damage. If it remains outside of lava [DURATION] or longer, it becomes petrified, transforming into basalt. Its body returns to normal if it is submerged in lava [DURATION].</t>
  </si>
  <si>
    <t>Scalding Splash</t>
  </si>
  <si>
    <t>All elements of a [MON] within 50 miles of their main body constantly communicate with each other. If one is aware of a particular danger, they all are. Any [MON] with at least [#] hit points forms a hive mind, giving it an Intelligence of 14. Below this hit points threshold, it becomes mindless (Intelligence 0) and loses its innate spellcasting ability. At 0 hit points, a few surviving sets of bones scatter, and must spend months to create a new [MON].</t>
  </si>
  <si>
    <t>Serpentine Armlets</t>
  </si>
  <si>
    <t>As a bonus action, the [MON] commands its armlets to drop to the floor, whereupon they become two giant poisonous snakes. The [MON] can mentally direct the serpents (this does not require an action). If the snakes are killed, they dissolve into wisps of smoke which reform around the [MON]'s forearms, and they can't be turned into snakes for 1 week. These armlets are linked to the [MON] at the time of its creation and do not function for other creatures.</t>
  </si>
  <si>
    <t>Wyrmblood Venom</t>
  </si>
  <si>
    <t>Ability Score Damage, Poisoning</t>
  </si>
  <si>
    <t>Charisma (d6)</t>
  </si>
  <si>
    <t>Peaceful Creature</t>
  </si>
  <si>
    <t>The [MON] abhors combat and flees from it if possible. If unable to flee, the [MON] can attack a foe or obstacle to clear a path to safety. As an action, a driver or handler mounted on the [MON] or adjacent to it can attempt a DC [SAVE_DC] Wisdom (Animal Handling) check. On a success, the [MON] moves and attacks as directed by the driver. On a failure, the [MON] flees. The driver or handler must have proficiency in Animal Handling to attempt this check.</t>
  </si>
  <si>
    <t>The [MON] exists upon the Material Plane in one of two forms and can switch between them at will. In its material form, it has resistance to damage from nonmagical attacks. In its ethereal form, it is immune to damage from nonmagical attacks. The creature's ethereal form appears as a dark purple outline of its material form, with a blackish-purple haze within. In ethereal form, it can move through air as though it were water, with a fly speed of [#] ft.</t>
  </si>
  <si>
    <t>Hypnotic Luminescence</t>
  </si>
  <si>
    <t>Aura, Charming, Light</t>
  </si>
  <si>
    <t>Ring Magic</t>
  </si>
  <si>
    <t>The [MON] can imbue a nonmagical ring with a spell that has a range of self or touch. Doing so expends components as if the [MON] had cast the spell normally and uses a spell slot one level higher than the spell normally requires. When the wearer of the ring activates the ring as an action, the spell is cast as if the [MON] had cast the spell. The [MON] does not regain the spell slot until the ring is discharged or the [MON] chooses to dismiss the spell.</t>
  </si>
  <si>
    <t>Snap Back</t>
  </si>
  <si>
    <t>Dexterity, Constitution</t>
  </si>
  <si>
    <t>When the [MON] starts its turn within [#] ft of a source of light light is reduced while [MON] remains within [#] ft of light source. Bright light becomes dim and dim becomes darkness. If the [MON] reduces light source's light to darkness [MON] sheds multicolored bright light in [#] ft radius and dim light for additional [#] ft [DURATION] and light source is extinguished if it is nonmagical flame or dispelled if it was created by 2nd level or lower spell.</t>
  </si>
  <si>
    <t>Fire Controller</t>
  </si>
  <si>
    <t>As a bonus action, the [MON] can create or extinguish a nonmagical fire in a 5 ft cube within [#] ft of it, or it can expand an existing fire within [#] ft of its by 5 ft in one direction. If it creates or expands a fire, the target location must have suitable fuel for the fire, such as paper or wood. If the [MON] targets a fire elemental with this trait, the fire elemental has advantage (expanded) or disadvantage (extinguished) on attack rolls [DURATION].</t>
  </si>
  <si>
    <t>Barrel Roll</t>
  </si>
  <si>
    <t>The [MON] commands its mount to move up to [#] ft in a straight line without provoking opportunity attacks. During this movement, the mount flies up and over one creature in the line, ending its movement at least [#] ft past the target. As the [MON] hangs upside down at the top of the loop, it makes one melee attack against the target with advantage. On a hit, the [MON] rolls damage dice three times. The mount must have a flying speed to use this maneuver.</t>
  </si>
  <si>
    <t>Ghostly Mount</t>
  </si>
  <si>
    <t>Mount, Summoning</t>
  </si>
  <si>
    <t>The [MON] summons or dismiss a ghostly mount mounting or dismounting it as part of this bonus action without spending movement. Mount uses the stats of a warhorse skeleton except it has the Incorporeal Movement trait a flying speed of [#] ft [#] hit points and resistance to cold and necrotic and B/P/S damage from nonmagical attacks. If mount is slain it disappears leaving behind no physical form and the [MON] must wait [DURATION] before summoning it again.</t>
  </si>
  <si>
    <t>Bend the Spoon</t>
  </si>
  <si>
    <t>Disadvantage, Equipment Damage</t>
  </si>
  <si>
    <t>Fiery Soul</t>
  </si>
  <si>
    <t>Entangle</t>
  </si>
  <si>
    <t>Collect</t>
  </si>
  <si>
    <t>Blinding, Restraining</t>
  </si>
  <si>
    <t>The [MON] places one target it is grappling into its extradimensional space if there is room and grapple ends. The target blinded and restrained and has total cover against attacks and effects outside. A trapped creature can take its action to climb out of the bag by succeeding on a DC [SAVE_DC] Strength or Dexterity check (creature's choice). If crab dies trapped creature is no longer restrained by crab and can escape bag using 5 ft of movement exiting prone.</t>
  </si>
  <si>
    <t>Set Snare</t>
  </si>
  <si>
    <t>Thirst Kiss</t>
  </si>
  <si>
    <t>The [MON] feeds on the body moisture of creatures it lures into kissing it. A creature must be charmed, grappled, or incapacitated to be kissed. A kiss hits automatically, does [#dX] [DMG_TYPE] damage, and fills the [MON] with an exultant rush of euphoria that has the same effect as a heroism spell lasting [DURATION]. The creature that was kissed doesn't notice that it took damage from the kiss unless it makes a successful DC [SAVE_DC] Wisdom (Perception) check.</t>
  </si>
  <si>
    <t>Spark Form</t>
  </si>
  <si>
    <t>Disengaging, Shapechanging</t>
  </si>
  <si>
    <t>Any nonmagical weapon made of metal or wood that hits the [MON] corrodes after dealing damage, taking a permanent and cumulative -1 penalty to damage rolls. If this penalty drops to -5, the weapon is destroyed. Nonmagical ammunition made of metal or wood that hits the [MON] is destroyed after dealing damage. Any other metal or organic object that touches it takes [#dX] [DMG_TYPE] damage. The [MON] can eat through 2-inch-thick, nonmagical wood or metal in 1 round.</t>
  </si>
  <si>
    <t>Hypnotic Heartbeat</t>
  </si>
  <si>
    <t>Hurl Through Hell</t>
  </si>
  <si>
    <t>Starving Wrath</t>
  </si>
  <si>
    <t>AC Change, Recharging, Weakness</t>
  </si>
  <si>
    <t>If a [MON] hasn't fed on a Medium-sized or larger creature within the last [DURATION], it is starving. While starving, the [MON]'s AC is reduced by 2, it has advantage on melee attack rolls against any creature that doesn't have all of its hit points, and will direct its attacks at a single foe regardless of tactical consequences. Once it feeds on a Medium-sized or larger corpse or brings a Medium-sized or larger creature to 0 hit points, it is no longer starving.</t>
  </si>
  <si>
    <t>Laughing Fruit</t>
  </si>
  <si>
    <t>Form of Moonlight</t>
  </si>
  <si>
    <t>As a reaction when the [MON] takes damage or is restrained, it transforms into an incorporeal form of pure moonlight [DURATION]. While in this form, it has resistance to cold, fire, and lightning damage, and immunity to bludgeoning, piercing, and slashing damage from nonmagical attacks. While in this form, the [MON] can pass through openings at least 1 inch wide and through transparent objects. It takes [#dX] [DMG_TYPE] damage if it ends its turn inside an object.</t>
  </si>
  <si>
    <t>Glacial Touch</t>
  </si>
  <si>
    <t>Disguises</t>
  </si>
  <si>
    <t>Some the [MON]s can veil themselves in illusion to pass as other similarly shaped creatures. Such the [MON]s can innately cast the disguise self spell at will, often with a longer duration than is normal for that spell. Mightier the [MON]s can cast the true polymorph spell one to three times per day, possibly with a longer duration than normal. Such the [MON]s can change only their own shape, but a rare few can use the spell on other creatures and objects as well.</t>
  </si>
  <si>
    <t>Planar Portal</t>
  </si>
  <si>
    <t>Consuming, Pushing</t>
  </si>
  <si>
    <t>Death Transformation</t>
  </si>
  <si>
    <t>When a goblin [MON] is slain,whichever goblin killed them will suddenly transforminto a new goblin [MON] (or queen), their stats replacedwith the [MON]'s stats. All surrounding goblinsare inclined thereafter to obey the new goblin [MON].If a goblin [MON] is slain by a non-goblinoid creature,whichever goblin volunteers for the position first isthe one transformed. Goblins are extremely hesitantto do such a thing, as responsibility and stewardshipare such hard work.</t>
  </si>
  <si>
    <t>Provoke Murder</t>
  </si>
  <si>
    <t>is overcome with murderous intent [DURATION]. While overcome with murderous intent, a creature has advantage on melee attack rolls and is compelled to kill creatures within [#] ft of the [MON]. The creature is unable to distinguish friend from foe and must attack the nearest creature other than the [MON] each turn. If no other creature is near enough to move to and attack, it stalks off in a random direction, seeking a new target to drag within [#] ft of the [MON].</t>
  </si>
  <si>
    <t>Aphasic Field</t>
  </si>
  <si>
    <t>Aura, Magic Disrupting, Silencing</t>
  </si>
  <si>
    <t>A [MON] touching the skin of a warm-blooded creature inflicts [#dX] [DMG_TYPE] damage per hour of contact, and the victim's maximum hit points are reduced by the same number. Blood is drained so slowly that the victim doesn't notice the damage unless it breaks contact with the [MON] (sets it down or hands it to someone else, for example). When contact is broken, the victim notices blood on its skin or clothes with a successful DC [SAVE_DC] Wisdom (Perception) check.</t>
  </si>
  <si>
    <t>Covetous Bond</t>
  </si>
  <si>
    <t>Corpse-black [MON] can see the face of any creature holding or carrying any item the [MON] ever claimed as its own. It also detects the direction and distance to items it ever owned, so long as that item is currently owned by another. If the item changes hands, the new owner becomes the target of the [MON]'s hunt. Bone-white [MON] see individuals who have offended them. Neither time nor distance affects these abilities, so long as both parties are on the same plane.</t>
  </si>
  <si>
    <t>Haunted Haboob</t>
  </si>
  <si>
    <t>Blinding, Frightening, Shapechanging</t>
  </si>
  <si>
    <t>Frightening, Shapechanging</t>
  </si>
  <si>
    <t>The [MON] uses an action to alter its appearance into a more frightening fungus, such as a poisonous deathcap mushroom, or back into its true form. Alternatively, it can change back into its true form as a reaction when it takes damage. Its statistics are the same in each form, and While in its frightening form, The [MON] can take only the Dodge, Disengage, and Hide actions. Any creature that starts its turn within [#] ft of a [MON] in its frightening form [OUTCOME].</t>
  </si>
  <si>
    <t>Befouling Aura</t>
  </si>
  <si>
    <t>Aura, Disadvantage, Infecting, Poisoning</t>
  </si>
  <si>
    <t>Lightning Run</t>
  </si>
  <si>
    <t>Force (d10), Lightning (d10)</t>
  </si>
  <si>
    <t>Fiery Flourish</t>
  </si>
  <si>
    <t>Winged Inferno</t>
  </si>
  <si>
    <t>Aura, Light</t>
  </si>
  <si>
    <t>Wrap Up</t>
  </si>
  <si>
    <t>Blinding, Ongoing Damage, Restraining, Suffocating</t>
  </si>
  <si>
    <t>Bountiful Death</t>
  </si>
  <si>
    <t>When the [MON] reduces a creature to 0 hit points nearby plants erupt with growth. Plants within [#] ft of the body become thick overgrown difficult terrain and all plants within a 2-mile radius centered on the point where the creature was killed become enriched [DURATION] for each CR of the slain creature (minimum of [DURATION]) cumulatively increasing in duration each time the [MON] kills a creature. Enriched plants yield twice the normal amount of food when harvested.</t>
  </si>
  <si>
    <t>Deadfall</t>
  </si>
  <si>
    <t>Snow Pit</t>
  </si>
  <si>
    <t>Bonus Action Attack, Movement, Restraining, Toppling</t>
  </si>
  <si>
    <t>The [MON] tucks its entire body into its shell, forming an armored ball. While an armored ball, it moves by rolling, has resistance to B/P/S damage is immune to the prone condition and it can't make Scissor Claws attacks. As part of this action the [MON] can expand its shell outward to contain one object of its size or smaller that isn't being worn or carried and is within [#] ft of the [MON]. The [MON] can uncurl its body and release any contained item as a bonus action.</t>
  </si>
  <si>
    <t>While cursed in this way, a creature finds the natural world working against it: roots randomly rise up to trip the creature when it walks past a tree (5% chance per mile traveled in forested terrain), animals are more reluctant to obey (disadvantage on Wisdom (Animal Handling) checks), and the wind seems to always be blowing in the least favorable direction for the creature (scattering papers, sending the creature's scent in the direction of a creature tracking it, etc.)</t>
  </si>
  <si>
    <t>Scorching Winds</t>
  </si>
  <si>
    <t>Area, Ongoing Damage, Throwing, Toppling</t>
  </si>
  <si>
    <t>Bludgeoning (d6), Fire (d6)</t>
  </si>
  <si>
    <t>Deepening Gloom</t>
  </si>
  <si>
    <t>The [MON] emits a [#] ft radius of magical darkness at all times, moving with it and spreading around corners. Darkvision can't penetrate this darkness, and no natural light can illuminate it. If any of the darkness overlaps with an area of light created by a spell of 3rd level or lower, the spell creating the light is dispelled. A successful dispel magic (DC [SAVE_DC]) cast on the [MON] suppresses this aura [DURATION] or until the [MON] reduces a creature to 0 hit points.</t>
  </si>
  <si>
    <t>Shadow Shift</t>
  </si>
  <si>
    <t>Death Curse</t>
  </si>
  <si>
    <t>Aura of Subservience</t>
  </si>
  <si>
    <t>Close Range Charm</t>
  </si>
  <si>
    <t>If a charmed creature moves more than [#] ft away from the [MON], it ceases to be charmed.</t>
  </si>
  <si>
    <t>Aura of Mechanical Mishap</t>
  </si>
  <si>
    <t>Aura, Equipment Damage</t>
  </si>
  <si>
    <t>The [MON]'s presence interferes with nonmagical objects within [#] ft of it that have moving parts. Objects that aren't being worn or carried malfunction while within the aura, and, if in the aura [DURATION], they cease to function until repaired. If a creature in the aura uses a nonmagical object with moving parts, roll a d6. On a 1-3, the object malfunctions. A creature can take its action to fix the malfunctioning object by succeeding on a DC [SAVE_DC] Intelligence check.</t>
  </si>
  <si>
    <t>Telepathic Foresight</t>
  </si>
  <si>
    <t>Wall-bound Spirits</t>
  </si>
  <si>
    <t>The spirits that make up the [MON] are bound to a 10 ft by-10 ft panel of wall, behind which their original bodies are trapped. The [MON] can move to nearby walls with its Wall Hop trait, but it can never be more than [#] ft away from its bound wall. If its bound wall is damaged while the [MON] is elsewhere, the [MON] takes half as much damage dealt to the bound wall. When the [MON] finishes a long rest while inhabiting its bound wall, any damage to the bound wall is repaired.</t>
  </si>
  <si>
    <t>Body Slam</t>
  </si>
  <si>
    <t>Consume Flame</t>
  </si>
  <si>
    <t>Any normal fire in the [MON]'s space at the end of the [MON]'s turn is extinguished. Magically conjured fire is extinguished if the [MON] succeeds on a DC [SAVE_DC] Constitution check. Only the [MON]'s space is affected; fires larger than the [MON] continue burning outside the [MON]'s space. [DURATION] after the [MON] consumes any flame, its bite attack deals an extra [#dX] [DMG_TYPE] damage, and any creature that ends its turn in the [MON]'s space takes [#dX] [DMG_TYPE] damage.</t>
  </si>
  <si>
    <t>Fist of Wind</t>
  </si>
  <si>
    <t>Head Bowl</t>
  </si>
  <si>
    <t>Summon Shadowbeam</t>
  </si>
  <si>
    <t>Lightning Relocation</t>
  </si>
  <si>
    <t>Exhausting Infection</t>
  </si>
  <si>
    <t>Each time an infected creature finishes a long rest, it must repeat this saving throw. On a failure, the creature gains one level of exhaustion. On a success, the disease does not progress. The creature recovers from the disease if its saving throw succeeds after two consecutive long rests or if it receives a lesser restoration spell or similar magic.</t>
  </si>
  <si>
    <t>While infected in this way, a creature gains one level of exhaustion immediately.</t>
  </si>
  <si>
    <t>Damaging Infection</t>
  </si>
  <si>
    <t>While infected in this way, a creature takes [#dX] [DMG_TYPE] damage immediately.</t>
  </si>
  <si>
    <t>Sticky Situation</t>
  </si>
  <si>
    <t>Coating, Ongoing Damage, Spawning, Speed Change</t>
  </si>
  <si>
    <t>A creature covered in the [MON]'s tar has its speed halved [DURATION]. In addition, the tar ignites if touched by a source of fire or if a creature covered with tar takes fire damage. The tar burns until a creature uses an action to snuff out the flames. A creature that starts its turn covered with burning tar takes [#dX] [DMG_TYPE] damage. A humanoid that dies while covered in tar rises [DURATION] later as tar ghoul, unless the humanoid is restored to life or its body is destroyed.</t>
  </si>
  <si>
    <t>Phantasmal Oratory</t>
  </si>
  <si>
    <t>The [MON] describes a creature so vividly, it takes on a semblance of reality. The [MON] creates an illusory creature that resembles a beast, monstrosity, or plant with CR 1 or less. The illusory creature moves and acts according to the [MON]'s mental direction and takes its turn immediately after the [MON]. It uses the statistics of the creature it resembles, except it can't use any abilities that force the target to make a saving throw. It remains [DURATION] or until it is killed.</t>
  </si>
  <si>
    <t>Squatting Pin</t>
  </si>
  <si>
    <t>Grappling, Ongoing Damage, Restraining</t>
  </si>
  <si>
    <t>Wings of the Primal Tender</t>
  </si>
  <si>
    <t>Drop to 0, Healing, Teleportation</t>
  </si>
  <si>
    <t>Devastating Leap</t>
  </si>
  <si>
    <t>If the staff controlling the [MON] is broken or is not being worn or carried by a humanoid, the [MON] goes berserk. On each of its turns while berserk, the [MON] attacks the nearest creature it can see. If no creature is near enough to move to and attack, the [MON] attacks an object with preference for an object smaller than itself. Once the [MON] goes berserk, it continues to do so until it is destroyed, until a new staff is created, or until the staff is worn or carried by a humanoid.</t>
  </si>
  <si>
    <t>The [MON] is the psychic nexus for every [MON] in its hive. It is aware of the direction and distance to all members of the hive, can telepathically communicate with them when they are within 20 miles, and can sense what they sense when they are within 1 mile of it. The [MON] from its hive that travel more than 20 miles away instinctively know the direction and distance to the hive and try to return. The [MON]s sometimes dispatch rescue missions to recover separated members of the hive.</t>
  </si>
  <si>
    <t>Red Cap</t>
  </si>
  <si>
    <t>The [MON] must soak its cap in the blood of a humanoid killed no more than [DURATION] ago at least once every [DURATION]. If it goes more than [DURATION] without doing so, the blood on its cap dries and the [MON] gains one level of exhaustion every [DURATION]. While the cap is dry, the [MON] can't remove exhaustion by any means. All levels of exhaustion are removed immediately when the [MON] soaks its cap in fresh blood. A [MON] that dies as a result of this exhaustion crumbles to dust.</t>
  </si>
  <si>
    <t>Vomit Tar</t>
  </si>
  <si>
    <t>Endless Ringing</t>
  </si>
  <si>
    <t>Wrack Form</t>
  </si>
  <si>
    <t>AC Change, Shapechanging, Weakness</t>
  </si>
  <si>
    <t>Creature infected with this disease manifests symptoms [DURATION] after infection: difficulty breathing, dehydration, and water-themed nightmares.</t>
  </si>
  <si>
    <t>Life Tether</t>
  </si>
  <si>
    <t>Grappling, Self Healing</t>
  </si>
  <si>
    <t>Advantage, Concentration, Damage Reduction, Shapechanging, Speed Change</t>
  </si>
  <si>
    <t>When flying at high altitude, the [MON] can, after [DURATION] of concentration, discorporate into clouds. In this form, it has advantage on Dexterity (Stealth) checks, its fly speed increases to [#] ft, it is immune to all nonmagical damage, it has resistance to magical damage, and it can't take any actions except Hide. If it takes damage or descends more than [#] ft from where it transformed, it immediately returns to its corporeal form. The [MON] can revert to its true form as an action.</t>
  </si>
  <si>
    <t>While infected in this way, a creature gains one level of exhaustion [DURATION after being infected.</t>
  </si>
  <si>
    <t>Shape Wood</t>
  </si>
  <si>
    <t>Disengaging, Pushing, Toppling</t>
  </si>
  <si>
    <t>Degenerate Cloning Disease</t>
  </si>
  <si>
    <t>Incapacitating, Infection Effect</t>
  </si>
  <si>
    <t>Impale</t>
  </si>
  <si>
    <t>Scroll Body</t>
  </si>
  <si>
    <t>The [MON] can inscribe a spell from a spellbook or scroll onto the parchment wrappings that cover its body as if copying a spell into a spellbook. Alternatively, it can inscribe a spell another spellcaster knows or has prepared onto its body by striking the spellcaster with its Spell-Siphoning Fist (see below). If the [MON] inscribes a spell with its Spell-Siphoning Fist, the inscription is free and happens immediately. The [MON] can use any spell it has inscribed onto its body once per day.</t>
  </si>
  <si>
    <t>Distracting Buzz</t>
  </si>
  <si>
    <t>Dimensional Seal</t>
  </si>
  <si>
    <t>is thrown up to [#] ft away from the [MON] in a random direction and knocked prone. If a thrown target strikes an object, such as a wall or floor, the target takes [#dX] [DMG_TYPE] damage for every [#] ft it was thrown. If the target is thrown at another creature, that creature must succeed on a DC [SAVE_DC] Dexterity saving throw or takes the same damage, and be knocked prone. If the saving throw is successful, the target takes half the bludgeoning damage and isn't flung away or knocked prone.</t>
  </si>
  <si>
    <t>Transparent Trap</t>
  </si>
  <si>
    <t>Tale of the Great Shindig</t>
  </si>
  <si>
    <t>The [MON] begins telling a story, which lasts up to [DURATION] if the [MON] uses a bonus action to continue telling it on subsequent turns. When the story begins, each [MON] within [#] ft of the [MON] that can hear it can use its reaction to make a shove attack against a Medium or smaller creature. Additionally, while the story is being told, each [MON] within [#] ft of the [MON] that can hear it has advantage on Strength (Athletics) checks and can shove creatures up to two sizes larger than it.</t>
  </si>
  <si>
    <t>Essence Link</t>
  </si>
  <si>
    <t>The [MON] is spiritually linked to a specific area or landmark. The [MON] gains no benefit from a long rest when more than 1 mile away from its linked area. If the [MON] dies, the area it is linked to loses its vital essence until it forms a new [MON], which can take centuries. When a creature first enters an area that has lost its vital essence in this way, they gain a level of fatigue and a level of strife. This fatigue and strife can be removed only by completing a long rest outside the area.</t>
  </si>
  <si>
    <t>Ghostwalk</t>
  </si>
  <si>
    <t>As a bonus action, the [MON] becomes invisible and intangible. Attacking doesn't end this invisibility. While invisible, the [MON] has advantage on Dexterity (Stealth) checks and gains the following benefits: Resistance to acid, cold, fire, lightning, thunder, and bludgeoning, piercing, and slashing damage from nonmagical attacks. Immunity to being paralyzed, petrified, prone, restrained, or stunned. This invisibility ends when the [MON] chooses to end it as a bonus action or when the [MON] dies.</t>
  </si>
  <si>
    <t>Draconic Visage</t>
  </si>
  <si>
    <t>The [MON] creates a draconic visage in an unoccupied space it can see within [#] ft of it. The visage is a glowing, spectral head and neck, resembling a variety of dragon chosen by the [MON], that sheds dim light out to [#] ft. The visage lasts [DURATION]. While it is visible, the [MON] gains immunity to the damage type dealt by the chosen dragon's breath weapon. Additionally, a creature hostile to the [MON] who starts its turn within [#] ft of the visage and who is aware of the visage [OUTCOME].</t>
  </si>
  <si>
    <t>Animate Trees</t>
  </si>
  <si>
    <t>The [MON] animates one or two trees it can see within [#] ft of it. These trees have the same statistics as a treant, except they have Intelligence and Charisma scores of 1, they can't speak, and they have only the Slam action option. An animated tree acts as an ally of the [MON]. The tree remains animate [DURATION] or until it dies; [DURATION] or is more than [#] ft from the tree; or until the [MON] takes a bonus action to turn it back into an inanimate tree. The tree then takes root if possible.</t>
  </si>
  <si>
    <t>Release Swarm</t>
  </si>
  <si>
    <t>Summoning, Temporary Self Healing</t>
  </si>
  <si>
    <t>The [MON] shakes loose dozens of the [MON]es creating a [MON] swarm. Swarm acts as ally of demon and obeys its spoken commands. Swarm remains [DURATION]. If demon is within [#] ft of the [MON] it can use its action to consume the [MON] gaining temporary hit points equal to swarm's current hit points. It can add temporary hit points gained this way with temporary hit points from Tentacle Bite. Demon's temporary hit points can't exceed half its hit point max. Can have only one swarm active at a time.</t>
  </si>
  <si>
    <t>Damaging Engulf</t>
  </si>
  <si>
    <t>Open Celestial Gate</t>
  </si>
  <si>
    <t>The [MON] opens a gateway to the celestial plane. The gate appears as a shimmering circle that sheds bright light in a [#] ft radius and dim light for an additional [#] ft and is framed by twisting, golden strands. The gate lasts [DURATION]; though, the [MON] can choose to close it at any time as a bonus action. Once the gate closes, the [MON] is reduced to 0 hit points and remains unconscious [DURATION], awakening, fully restored, at sunrise on the next day. The [MON] can't pass through its own gate.</t>
  </si>
  <si>
    <t>Shredder</t>
  </si>
  <si>
    <t>Babble</t>
  </si>
  <si>
    <t>Aura of Thirst</t>
  </si>
  <si>
    <t>Aura, Disadvantage, Exhausting</t>
  </si>
  <si>
    <t>Tangible Illusion</t>
  </si>
  <si>
    <t>After casting an illusion spell of an object, the [MON] temporarily transforms that illusion into a physical, nonmagical object. The temporary object lasts [DURATION], after which it reverts to being an illusion (or vanishes, if the duration of the original illusion expires). During that time, the illusion has all the physical properties of the object it represents, but not magical properties. The [MON] must touch the illusion to trigger this transformation, and the object can be no larger than 5 cubic ft.</t>
  </si>
  <si>
    <t>Grease Spray</t>
  </si>
  <si>
    <t>Slumbering Song</t>
  </si>
  <si>
    <t>Mountain's Aspect</t>
  </si>
  <si>
    <t>Damage Reduction, Difficult Terrain</t>
  </si>
  <si>
    <t>Each day at sunrise, the [MON] chooses one of the following: (1) Hardened Face. The [MON] chooses either bludgeoning, piercing, or slashing damage. The [MON] has resistance to the chosen damage type until the next sunrise. (2) Vaunted Peaks. The [MON] has advantage on Wisdom (Perception) checks until the next sunrise. (3) Rockslider. As a bonus action once before the next sunrise, the [MON] can make the ground within [#] ft of it difficult terrain. This difficult terrain doesn't cost the [MON] extra movement.</t>
  </si>
  <si>
    <t>Planar Jaunt</t>
  </si>
  <si>
    <t>Communication, Teleportation</t>
  </si>
  <si>
    <t>The [MON] targets up to eight willing creatures it can see within [#] ft of it. The targets are transported to a different place, plane of existence, demiplane, or time. This effect ends after [DURATION] or when the [MON] takes a bonus action to end it. When the effect ends, the creatures reappear in their original locations, along with any items they acquired on their jaunt. While the effect lasts, the [MON] can communicate telepathically with the targets. The [MON] chooses one of the following destinations:</t>
  </si>
  <si>
    <t>Consult the Zom</t>
  </si>
  <si>
    <t>Blinding, Stunning</t>
  </si>
  <si>
    <t>Desperate Lies</t>
  </si>
  <si>
    <t>Intelligence (d3), Wisdom (d3)</t>
  </si>
  <si>
    <t>Attraction</t>
  </si>
  <si>
    <t>Armored Berserker</t>
  </si>
  <si>
    <t>The pain caused by the iron plates bolted to its body keep the [MON] on the edge of madness. Whenever the [MON] starts its turn with [#] hit points or fewer, roll a d6. On a 6, the [MON] goes berserk. On each of its turns while berserk, the [MON] attacks the nearest creature it can see. If no creature is near enough to move to and attack, the [MON] attacks an object, with preference for an object smaller than itself. Once the [MON] goes berserk, it continues to do so until it is destroyed or regains all its hit points.</t>
  </si>
  <si>
    <t>Ice Cavity</t>
  </si>
  <si>
    <t>The [MON] block torse it can liquefy and refreeze trapping and preserving creatures. If golem takes [#] fire on a single turn cavity liquefies if frozen. When cavity is frozen creature that touches golem or hits it with melee attack while within [#] ft of it: [#dX] [DMG_TYPE] damage. When cavity liquefied creature within [#] ft of golem can use action to pull petrified creature out of golem if golem has one inside. Doing so requires successful DC [SAVE_DC] Strength check and creature attempting: [#dX] [DMG_TYPE] damage.</t>
  </si>
  <si>
    <t>Bone Wrack</t>
  </si>
  <si>
    <t>Dexterity (d4), Necrotic (d4)</t>
  </si>
  <si>
    <t>Disintegrating Gaze</t>
  </si>
  <si>
    <t>Paralytic Web</t>
  </si>
  <si>
    <t>Paralyzing, Restraining</t>
  </si>
  <si>
    <t>is restrained by webbing and must succeed on a DC [SAVE_DC] Constitution saving throw or be paralyzed [DURATION]. An affected creature can repeat this saving throw at the end of each of its turns, ending the paralyzed effect on itself on a success. As an action, the restrained creature can make a DC [SAVE_DC] Strength check, escaping from the webbing on a success. The webbing can also be attacked and destroyed (AC [#]; hit points [SAVE_DC]; vulnerability to fire damage; immunity to bludgeoning, poison, and psychic damage).</t>
  </si>
  <si>
    <t>Circle of Fire</t>
  </si>
  <si>
    <t>Alluring Presence</t>
  </si>
  <si>
    <t>Timewarped Body</t>
  </si>
  <si>
    <t>AC Change, Damage Reduction</t>
  </si>
  <si>
    <t>At the start of each of the [MON]'s turns, roll a die. On an even roll, its body stretches and speeds up as it takes on a darting form. On an odd roll, its body becomes more solid and slows down as it takes on a sluggish form. Its statistics are the same in each form, except for the following changes: While in a Darting form, the [MON]'s AC increases by 2, and its speed is [#] ft; While in a Sluggish form, the [MON] has resistance to bludgeoning, piercing, and slashing damage from nonmagical attacks, and its speed is [#] ft.</t>
  </si>
  <si>
    <t>Sealed Destiny</t>
  </si>
  <si>
    <t>The [MON] attunes itself to the threads of the PCs' fates. Ask each player to write down their prediction of how the PC to their left will die, and at what level. Collect the notes without revealing the answers. When one of those PCs dies, reveal the prediction. If the character died in the manner predicted, they fulfill their destiny and are immediately resurrected by the gods as a reward. If they died at or within one level of the prediction, they return to life with some useful insight into the destiny of someone important.</t>
  </si>
  <si>
    <t>The [MON] has [#] heads. While it has more than one head, the [MON] has advantage on saving throws against being blinded, charmed, deafened, frightened, stunned, and knocked unconscious. Whenever the [MON] takes [#] or more damage in a single turn, one of its heads dies. If all its heads die, the [MON] dies. At the end of its turn, it grows two heads for each of its heads that died since its last turn, unless it has taken [DMG_TYPE] damage since its last turn. The [MON] regains [#] hit points for each head regrown in this way.</t>
  </si>
  <si>
    <t>Fractalize</t>
  </si>
  <si>
    <t>Pushing, Summoning</t>
  </si>
  <si>
    <t>Violent Escapement</t>
  </si>
  <si>
    <t>Draw Life Essence</t>
  </si>
  <si>
    <t>The [MON] can spend [DURATION] coaxing life essence out of willing creature taking only agreed amount of time from creature's max lifetime. Essence appears as rosy mist that rises from mouth nose or skin of creature and snakes into carved crystal vial in the [MON]'s cloak where it takes the form of a crimson liquid. Creature that drinks such a vial gains life stored within it provided the [MON] gave vial willingly. If the [MON] draws all remaining life from creature creature dies and can be returned to life only via wish spell.</t>
  </si>
  <si>
    <t>Temporal Strike</t>
  </si>
  <si>
    <t>Aging, Disadvantage, Lethal</t>
  </si>
  <si>
    <t>Scatter</t>
  </si>
  <si>
    <t>Shapechanging, Toppling</t>
  </si>
  <si>
    <t>Create Quicksand</t>
  </si>
  <si>
    <t>Grappling, Restraining</t>
  </si>
  <si>
    <t>Exhausting Engulf</t>
  </si>
  <si>
    <t>Consuming, Exhausting, Pushing</t>
  </si>
  <si>
    <t>Borrowed Time</t>
  </si>
  <si>
    <t>Sew</t>
  </si>
  <si>
    <t>The [MON] sews the target's mouth, nose, or eye closed. With supernatural speed, the [MON] repeatedly pierces the target's face, each time threading a loop of the target's own skin through the previous hole. These skin loops rapidly blacken, shrink, and draw the orifice tightly closed. It takes two actions and a sharp blade to sever the loops and reopen the orifice, and the process causes intense pain and [#] slashing damage. A victim whose mouth and nose have been sewn shut begins suffocating at the start of his or its next turn.</t>
  </si>
  <si>
    <t>Horrific Appearance</t>
  </si>
  <si>
    <t>Disadvantage, Frightening, Gaze</t>
  </si>
  <si>
    <t>A humanoid that starts its turn within [#] ft of the [MON] and can see the [MON]'s true form [OUTCOME]. A frightened creature can repeat this saving throw at the end of each of its turns, with disadvantage if the [MON] is within line of sight, ending the effect on itself on a success. Unless the target is surprised or the revelation of the [MON]'s true form is sudden, the target can avert its eyes and avoid making the initial saving throw. [DURATION], a creature that averts its eyes has disadvantage on attack rolls against the [MON].</t>
  </si>
  <si>
    <t>GAZE</t>
  </si>
  <si>
    <t>Devour Soul</t>
  </si>
  <si>
    <t>If the target fails this saving throw and there is at least one unoccupied soul gem on the [MON]'s skull the [MON] regains [#dX] hit points and the target dies instantly. Its soul is trapped in a soul gem on the [MON]'s skull, visible as a tiny creature-shaped mote of light. While its soul is trapped a creature can't be restored to life by any means. A soul that remains in a soul gem [DURATION] is destroyed forever. If the [MON] is defeated and the soul gem is crushed, the creature is restored to life if its body is within 100 miles.</t>
  </si>
  <si>
    <t>Segmented Tail</t>
  </si>
  <si>
    <t>The [MON]'s spiked tail is segmented and up to three times the length of its body. When the [MON] takes [#] or more damage in a single turn, a segment of its tail is severed. When the first segment is severed, the tail attack's damage type changes from piercing to bludgeoning and deals one die less of damage. When the second segment is severed, the tail attack no longer deals damage, but it can still grapple. When the third segment is severed, the [MON] can't make tail attacks. The tail re-grows at a rate of one segment per long rest.</t>
  </si>
  <si>
    <t>Aura of Chaos</t>
  </si>
  <si>
    <t>Aura, Confusing, Nonreactive</t>
  </si>
  <si>
    <t>Spore Hatchlings</t>
  </si>
  <si>
    <t>Infection Effect, Summoning</t>
  </si>
  <si>
    <t>Poison (d6), Slashing (d8)</t>
  </si>
  <si>
    <t>Glacier Imprisonment</t>
  </si>
  <si>
    <t>Metal Eater</t>
  </si>
  <si>
    <t>Disarming, Equipment Damage</t>
  </si>
  <si>
    <t>Spine Trap</t>
  </si>
  <si>
    <t>Change Face</t>
  </si>
  <si>
    <t>As a bonus action, the [MON] can change its face and demeanor to exhibit aspects of chaos or law, as needed by its assignment. It can have only one face active at a time and can end the effect on its turn as a bonus action. * Face of Chaos. The [MON] becomes a harbinger of chaos. It is treated as a fiend by spells and other magical effects that affect fiends and has advantage on attack rolls against celestials and devils. * Face of Law. The angel becomes a harbinger of law and has advantage on attack rolls against demons, fey, and undead.</t>
  </si>
  <si>
    <t>Enlightening Befuddlement</t>
  </si>
  <si>
    <t>When a [MON]'s confusion spell affects a target, it can elect to use the following d100 table rather than the standard one: (01-10) Inspired: Advantage on attack rolls, ability checks, and saving throws. (11-20) Distracted: Disadvantage on attack rolls, ability checks, and saving throws. (21-50) Incoherent: The target does nothing but babble or scribble incoherent notes on a new idea. (51-75) Obsessed: The target is recipient of Geas to create a quality magical object. (76-100) Suggestible: The target receives a suggestion from the [MON].</t>
  </si>
  <si>
    <t>Animate Plant</t>
  </si>
  <si>
    <t>Difficult Terrain, Summoning</t>
  </si>
  <si>
    <t>The [MON] animates a Large or larger plant within [#] ft of it. The plant is immobile but it acts on the [MON]'s initiative and can make slam attacks or rock attacks if there are rocks to throw within [#] ft of it. Non-plant creatures treat the ground within [#] ft of the plant as difficult terrain as surrounding roots conspire to trip and grasp moving creatures. The plant remains animated [DURATION]. If the [MON] uses this action while it has three plants animated in this way the plant that has been animated the longest returns to normal.</t>
  </si>
  <si>
    <t>Sweet Water</t>
  </si>
  <si>
    <t>Healing, Knockout, Restoring</t>
  </si>
  <si>
    <t>A vegetative clone resembles the creature hit by the [MON]'s Thorn attack. Each clone uses stats of an awakened tree except it has the target's size speed and any special senses such as darkvision. Clones are extensions of the [MON] and it can see and hear what a clone sees and hears as if it was in the clone's space. The [MON] can switch from using its senses to using a clone's or back again as a bonus action. The [MON] can have no more than six vegetative clones under its control at one time. Each clone remains until killed or [DURATION].</t>
  </si>
  <si>
    <t>Hypnotic Plumage</t>
  </si>
  <si>
    <t>Charming, Gaze</t>
  </si>
  <si>
    <t>Assemble</t>
  </si>
  <si>
    <t>With at least [DURATION] of work, a [MON] can refine raw materials and create entirely new objects by combining material it has absorbed. For example, it can create a rope from absorbed hemp, clothing from absorbed flax or wool, and a longsword from absorbed metal. A [MON] can create intricate objects like thieves' tools and objects with moving parts with at least [DURATION] of work and twice the requisite raw materials, but it can't create magic items. The quality of objects it creates is commensurate with the quality of the raw materials.</t>
  </si>
  <si>
    <t>Pungent Retort</t>
  </si>
  <si>
    <t>Self Healing, Spawning</t>
  </si>
  <si>
    <t>Far Thoughts</t>
  </si>
  <si>
    <t>The [MON] is aware of any creature that uses a psychic ability or communicates telepathically within 100 miles of it. As an action, the [MON] can psychically observe a creature, object, or location it is familiar with within 100 miles. While observing a subject in this way, the [MON] can see, hear, and communicate telepathically, but it is blind and deaf in regard to its physical senses and does not require food or water. The [MON] can psychically observe a subject indefinitely and can end this effect and return to its own senses as an action.</t>
  </si>
  <si>
    <t>Musk</t>
  </si>
  <si>
    <t>Aura, Coating, Poisoning</t>
  </si>
  <si>
    <t>Unique Rules</t>
  </si>
  <si>
    <t>If a creature breaks one of the [MON]'s rules of conduct, it becomes enraged. The [MON] has advantage on Charisma (Intimidation) checks and attack rolls against the offending creature. An offending creature that succeeds on a DC [SAVE_DC] Charisma (Persuasion) check can calm the enraged [MON]. If the offending creature has damaged the [MON] in the last [DURATION], it has disadvantage on this check. A creature that succeeds on a DC [SAVE_DC] Intelligence (Investigation) or Wisdom (Insight) check can determine the [MON]'s rules before enraging it.</t>
  </si>
  <si>
    <t>Trait Mimicry</t>
  </si>
  <si>
    <t>As a bonus action, a [MON] can take on 1 nonmagical physical trait, attack, or reaction of a beast or humanoid with a challenge rating equal to or less than its own that it has seen within the last week (see Trait Mimicry sidebar). It can have up to 5 such traits at a time, no more than two of which can be attacks. Each trait lasts until the [MON] replaces it with another trait as a bonus action. If the [MON] goes a week without exposure to a single beast or humanoid, it loses all of its traits and reverts back to its true, blue crystalline form.</t>
  </si>
  <si>
    <t>Sticky Tongue</t>
  </si>
  <si>
    <t>Ooze Cube</t>
  </si>
  <si>
    <t>The [MON] takes up its entire space. Other creatures can enter the space, but a creature that does so is subjected to the [MON]'s Engulf and has disadvantage on the saving throw. Creatures inside the [MON] can be seen but have total cover. A creature within [#] ft of the [MON] can use an action to pull a creature or object out of the [MON]. Doing so requires a successful DC [SAVE_DC] Strength check, and the creature making the attempt takes [#dX] [DMG_TYPE] damage. The [MON] can hold [#] Large creatures or [#] smaller creatures inside it at a time.</t>
  </si>
  <si>
    <t>High Voltage</t>
  </si>
  <si>
    <t>Nonreactive, Recharging</t>
  </si>
  <si>
    <t>Fiery Wall</t>
  </si>
  <si>
    <t>Pacifying Secretions</t>
  </si>
  <si>
    <t>Disadvantage, Poisoning</t>
  </si>
  <si>
    <t>Nauseating Luminance</t>
  </si>
  <si>
    <t>Gaze, Incapacitating</t>
  </si>
  <si>
    <t>Find a Penny</t>
  </si>
  <si>
    <t>The [MON] throws a copper piece into a space within [#] ft of it. A creature that is not hostile to the [MON] that picks up the copper piece is blessed with good luck. At any point within the next [DURATION], the creature can roll a d6 and add the number rolled to one attack roll, ability check, or saving throw. Alternatively, the bearer of the coin can pass it to another creature of its choice. At any point within the next [DURATION], the new bearer of the coin can roll 2d6 and add the higher result to one attack roll, ability check, or saving throw.</t>
  </si>
  <si>
    <t>Foul Transit</t>
  </si>
  <si>
    <t>Poisoning, Teleportation</t>
  </si>
  <si>
    <t>Barbed Whip</t>
  </si>
  <si>
    <t>Ongoing Damage, Pulling</t>
  </si>
  <si>
    <t>Prophesy Doom</t>
  </si>
  <si>
    <t>Catch Weapon</t>
  </si>
  <si>
    <t>Damage Reduction, Disarming</t>
  </si>
  <si>
    <t>Baleful Glare</t>
  </si>
  <si>
    <t>Gaze</t>
  </si>
  <si>
    <t>Soul Sap</t>
  </si>
  <si>
    <t>The [MON] slides down the throat of a sleeping, helpless, or grappled living creature of Medium size or smaller. Once inside, the [MON] takes control of its host, as per the dominate monster spell (Wisdom DC [SAVE_DC] negates). While dominated, the host gains blindsight [#] ft. The host drips blood from its ears, nose, eyes, or from a wound that resembles the injury done to the [MON]'s tree (1 damage/ hour). Damage inflicted on the host has no effect on the [MON]. If the host dies or is reduced to 0 hit points, the [MON] must leave the body within one hour.</t>
  </si>
  <si>
    <t>Absorb Magic</t>
  </si>
  <si>
    <t>As a bonus action, the [MON] targets any creature, object, or magical effect within [#] ft of it. The [MON] chooses a spell already cast on the target. If the spell is of 3rd level or lower, the [MON] absorbs the spell and it ends. If the spell is of 4th level or higher, the [MON] must make a spellcasting ability check. The DC equals 10 + the spell's level. On a successful check, the [MON] absorbs the spell and it ends. The [MON]'s body glows when it absorbs a spell, as if under the effect of a light spell. A [MON] can only hold one absorbed spell at a time.</t>
  </si>
  <si>
    <t>Icy Embrace</t>
  </si>
  <si>
    <t>Area, Restraining</t>
  </si>
  <si>
    <t>The [MON] emits a cloud of freezing fog in a [#] ft radius around it. Each creature in that area must succeed on a DC [SAVE_DC] Constitution saving throw or take [#dX] [DMG_TYPE] damage and be restrained by ice [DURATION]. On a success, a creature takes half as much damage only. A restrained target can use its action to attempt a DC [SAVE_DC] Strength check, shattering the ice on a success. The ice can also be attacked and destroyed (AC [#]; [#] hit points; vulnerability to fire and bludgeoning damage; immunity to slashing, cold, poison, and psychic damage).</t>
  </si>
  <si>
    <t>Nightmare Haunting</t>
  </si>
  <si>
    <t>Curse Effect, HP Max Reducing</t>
  </si>
  <si>
    <t>While on the Ethereal Plane, the [MON] touches a sleeping creature that is under the [MON]'s Curse and is not protected by a magic circle or protection from evil and good spell or similar magic. As long as the touch persists the target has terrible nightmares. If the nightmares last [DURATION] the target gains no benefit from the rest and its hit point max is reduced by [#dX] until the curse ends. If this effect reduces the targets hit point max to 0 the target dies and the [MON] captures its soul. The reduction to the targets hit point max lasts [DURATION].</t>
  </si>
  <si>
    <t>Sparkling Scales</t>
  </si>
  <si>
    <t>Gaze, Stunning</t>
  </si>
  <si>
    <t>Drift Backward</t>
  </si>
  <si>
    <t>Summoning, Weakness</t>
  </si>
  <si>
    <t>Rush</t>
  </si>
  <si>
    <t>Obscure the Way</t>
  </si>
  <si>
    <t>As a bonus action, the [MON] designates a creature it can see within [#] ft of it and obscures the creature and its companions' travel on a particular shadow road. That shadow road will not open for the designated creature or its traveling companions except through powerful magical means such as by a key of Veles. In addition, that shadow road won't lead to its usual destination for the designated creature or its traveling companions, instead leading the group in a meandering loop. This effect lasts [DURATION], until the [MON] removes the effect, or [DURATION].</t>
  </si>
  <si>
    <t>Movement, Restraining, Suffocating, Toppling</t>
  </si>
  <si>
    <t>Bludgeoning (d6), Cold (d8)</t>
  </si>
  <si>
    <t>Damage Reduction, Grappling, Ongoing Damage</t>
  </si>
  <si>
    <t>Acid (d8), Bludgeoning (d8)</t>
  </si>
  <si>
    <t>Spore Sacs</t>
  </si>
  <si>
    <t>Infecting, Spawning</t>
  </si>
  <si>
    <t>Prehensile Tendrils</t>
  </si>
  <si>
    <t>The [MON] has 10 shiny blue-gray tendrils that constantly grab at things in the environment. Each tendril can pick up or hold a Tiny object, such as a coin or piece of jewelry, that isn't being worn or carried. If it uses all 10 of its tendrils, the [MON] can carry a single Small object, such as a backpack. The [MON] can use its tendrils to interact with objects, but it can't use them to wield a weapon. It has advantage on Dexterity (Sleight of Hand) checks when using its tendrils and can use its tendrils to disarm opponents (see the Disarming Tendrils reaction).</t>
  </si>
  <si>
    <t>Deathlights</t>
  </si>
  <si>
    <t>Gaze, Incapacitating, Zero Speed</t>
  </si>
  <si>
    <t>Blather</t>
  </si>
  <si>
    <t>Scintillating Carapace</t>
  </si>
  <si>
    <t>Blinding, Gaze</t>
  </si>
  <si>
    <t>Volatile Stomach</t>
  </si>
  <si>
    <t>Versatile Artist</t>
  </si>
  <si>
    <t>At the end of each long rest, the [MON] chooses one form of artistic expression, such as song, poetry, dance, fashion, paint, or similar. Until it finishes a long rest, the [MON] has immunity to one type of damage, which is associated with its artistic expression. For example, a [MON] expressing art through song or poetry has immunity to thunder damage, a [MON] expressing art through fashion has immunity to slashing damage, and a [MON] expressing art through paint has immunity to acid damage. This trait can't give the [MON] immunity to force, psychic, or radiant damage.</t>
  </si>
  <si>
    <t>Necrotic Regeneration</t>
  </si>
  <si>
    <t>While attached to a living host, a [MON] leaks negative energy into the host's bloodstream, quickly closing over the creature's wounds with scabrous, necrotic flesh. If the host doesn't already have regeneration, it regains 2 hit points at the start of its turn if it has at least 1 hit point. Track how many "necrotic hit points" a host recovers via Necrotic Regeneration. Magical healing reverses the necrosis and subtracts an equal number of necrotic hit points from those accumulated. When the necrotic hit points equal the host's hit point max, the host becomes a zombie.</t>
  </si>
  <si>
    <t>Tremulous</t>
  </si>
  <si>
    <t>Smoldering Death</t>
  </si>
  <si>
    <t>Difficult Terrain, Obscuring</t>
  </si>
  <si>
    <t>Venomous Resurgence</t>
  </si>
  <si>
    <t>Steamroll</t>
  </si>
  <si>
    <t>Dexterity or Strength</t>
  </si>
  <si>
    <t>The [MON] can act as a swarm (composed of smaller elements), or it can grant a single member (called an exarch) control, acting as a singular creature. Changing between forms takes one action. In its singular form, the [MON] can't occupy the same space as another creature, but it can perform sneak attacks and cast spells. In swarm form, the [MON] can occupy another creature's space and vice versa, and it can move through openings at least 1 ft square. It can't change to singular form while it occupies the same space as another creature. It uses its skills normally in either form.</t>
  </si>
  <si>
    <t>Infecting, Infection Effect, Ongoing Damage, Poisoning</t>
  </si>
  <si>
    <t>The [MON] produces parasitic worms in its cheeks and it expels these worms into other creatures when it attacks. Worm burrows into target's flesh and that creature is poisoned while infested with at least one worm. At the start of each of infested creature's turns it takes [#dX] [DMG_TYPE] damage. Any creature can use an action to remove one worm with successful DC [SAVE_DC] Wisdom (Medicine) check. An effect that cures disease removes and kills one worm infesting the creature. When [MON] dies all worms currently infesting creatures die ending infestation in all infested creatures.</t>
  </si>
  <si>
    <t>Toxic Ichor</t>
  </si>
  <si>
    <t>Caustic Web</t>
  </si>
  <si>
    <t>Project Silhouette</t>
  </si>
  <si>
    <t>Approaching, Incapacitating</t>
  </si>
  <si>
    <t>Ride Host</t>
  </si>
  <si>
    <t>Gravitic Breath</t>
  </si>
  <si>
    <t>Restraining, Speed Change</t>
  </si>
  <si>
    <t>Fissure</t>
  </si>
  <si>
    <t>Penance Gaze</t>
  </si>
  <si>
    <t>Gaze, Restraining, Stunning</t>
  </si>
  <si>
    <t>Corruption</t>
  </si>
  <si>
    <t>Cursing, Spawning</t>
  </si>
  <si>
    <t>Creator's Eyes and Ears</t>
  </si>
  <si>
    <t>As a bonus action, the creator can see through the [MON]'s eyes and hear what it hears [DURATION], gaining the benefits of the [MON]'s darkvision. During this time, the creator is deaf and blind with regard to its own senses. While using the construct's senses, the creator can cast a spell through the [MON], using those senses to target the spell. The range, area, and effect of the spell are calculated as if the spell originated from the [MON], not the master, though the master must still cast the spell on the master's turn. Spells that require concentration must be maintained by the master.</t>
  </si>
  <si>
    <t>Betraying, Disadvantage, Incapacitating, Ongoing Damage</t>
  </si>
  <si>
    <t>is bombarded with visions of its fears and anxieties [DURATION]. While bombarded, it takes [#dX] [DMG_TYPE] damage at the start of each of its turns and must spend its action to make one melee attack against a creature within [#] ft of it, other than the [MON] or itself. If the creature can't make a melee attack, it takes the Dodge action. An affected creature can repeat this saving throw at the end of each of its turns, ending the effect on itself on a success. On a success, a creature is incapacitated by hallucinations [DURATION] but isn't bombarded with visions of its fears and anxieties.</t>
  </si>
  <si>
    <t>Memory of Shame</t>
  </si>
  <si>
    <t>Frightening, Gaze</t>
  </si>
  <si>
    <t>When a humanoid that can see the [MON] starts its turn within [#] ft of it, it [OUTCOME]. A frightened creature can repeat this saving throw at the end of each of its turns, with disadvantage if the [MON] is within line of sight, ending the effect on itself on a success. Unless it is surprised, a creature can avert its eyes to avoid save at the start of its turn. If it does so, it can't see the [MON] [DURATION]. If it looks at [MON] in the meantime, it must immediately make this saving throw. If the [MON] sees itself reflected on a polished surface, it is affected by its own Memory of Shame.</t>
  </si>
  <si>
    <t>Ghostlight</t>
  </si>
  <si>
    <t>HP Max Reducing, Lethal</t>
  </si>
  <si>
    <t>While on the Ethereal Plane, the [MON] touches a sleeping humanoid on the Material Plane. A protection from evil and good spell cast on the target prevents this contact, as does a magic circle. As long as the contact persists, the target has dreadful visions. If these visions last for at least [DURATION], the target gains no benefit from its rest, and its hit point max is reduced by [#dX]. If this effect reduces the target's hit point max to 0, the target dies, and if the target was evil, its soul is trapped in the [MON]'s soul bag. The reduction to the target's hit point max lasts [DURATION].</t>
  </si>
  <si>
    <t>Grasp of the Briar</t>
  </si>
  <si>
    <t>Enchanting Revels</t>
  </si>
  <si>
    <t>Charming, Concentration</t>
  </si>
  <si>
    <t>Web</t>
  </si>
  <si>
    <t>Ongoing Damage, Restraining, Spawning</t>
  </si>
  <si>
    <t>is restrained by webbing and takes [#dX] [DMG_TYPE] damage each round. As an action, the restrained creature can make a DC [SAVE_DC] Strength check, escaping from the webbing on a success. The effect ends if the webbing is destroyed. The webbing has AC [#], [#] hit points, vulnerability to fire damage, and immunity to bludgeoning, poison, and psychic damage. A humanoid slain by this attack rises [DURATION] later as a web zombie under the [MON]'s control, unless the humanoid is restored to life or its body is destroyed. The [MON] can have no more than twelve web zombies under its control at one time.</t>
  </si>
  <si>
    <t>Crinaea's Curse</t>
  </si>
  <si>
    <t>Egg Tumor</t>
  </si>
  <si>
    <t>Disadvantage, Infecting, Infection Effect</t>
  </si>
  <si>
    <t>Poison (d6), Slashing (d10, d10)</t>
  </si>
  <si>
    <t>Illusory Appearance</t>
  </si>
  <si>
    <t>The [MON] covers itself and anything it is wearing or carrying with a magical illusion that makes it look like another creature of its general size and humanoid shape. The illusion ends if the [MON] takes a bonus action to end it or if it dies. The changes wrought by this effect fail to hold up to physical inspection. For example, the [MON] could appear to have smooth skin, but someone touching its would feel its rough flesh. Otherwise, a creature must use an action to visually inspect the illusion and succeed on a DC [SAVE_DC] Intelligence (Investigation) check to discern that the [MON] is disguised.</t>
  </si>
  <si>
    <t>Control Earth</t>
  </si>
  <si>
    <t>Ethereal Invisibility</t>
  </si>
  <si>
    <t>Advantage, Damage Reduction, Invisible</t>
  </si>
  <si>
    <t>While invisible, the [MON] has advantage on Dexterity (Stealth) checks and gains the following benefits: Resistance to acid, cold, fire, lighting, thunder, and bludgeoning, piercing and slashing damage from nonmagical attacks. Immunity to the grappled, paralyzed, petrified, prone, and restrained conditions. The [MON] can move through other creatures and objects as if they were difficult terrain. It takes [#dX] [DMG_TYPE] damage if it ends its turn inside an object. This invisibility ends when the [MON] chooses to end it as a bonus action, when the [MON] dies, or if the [MON] ends its turn in bright light.</t>
  </si>
  <si>
    <t>Magic Eater</t>
  </si>
  <si>
    <t>[MON]s figure all magic works the same way that magic potions do. As such, they devour spell components, spell scrolls, and magical trinkets alike when they are made aware of them. The [MON]s instinctively know which creatures have magic items on them. When they successfully grab a creature, they use their next action to take that creature's nearest magic item and then stuff it down their throats. If it is a weapon, it deals damage to them as if they had been hit by that weapon. If it is a piece of armor, their mouths stretch to fit around it. They are now imbued with the powers of the devoured magic item.</t>
  </si>
  <si>
    <t>Regurgitate</t>
  </si>
  <si>
    <t>Consumption Effect, Extra Damage, Poisoning, Toppling</t>
  </si>
  <si>
    <t>Challenge Rating, MON_SAVE</t>
  </si>
  <si>
    <t>Stalagteeth</t>
  </si>
  <si>
    <t>Acid (d6), Piercing (d6)</t>
  </si>
  <si>
    <t>Meld Together</t>
  </si>
  <si>
    <t>As long as the [MON] is within [#] ft of at least one other [MON], each [MON] in range can use this action at the same time to join together to create a [MON] that is one size category larger than the largest [MON] that created it. The new [MON]'s hit points total is equal to the combined hit points total of all the [MON]s, and it is affected by any conditions, spells, and other magical effects currently affecting any of the [MON]s. The new [MON] acts on the same initiative count as the [MON]s that formed it and occupies any unoccupied space that previously contained at least one of the [MON]s that formed it.</t>
  </si>
  <si>
    <t>Devour Spell</t>
  </si>
  <si>
    <t>While inside a spellbook, the [MON] eats one spell of the highest level present then exits the spellbook. It chooses to either make its next Paste attack with a number of damage dice equal to the eaten spell's level or regain [#] hit points per spell level. The [MON] can only eat one spell at a time and must use the devoured spell's energy before attempting to enter another spellbook. The eaten spell's entry is garbled, but the owner can repair it for half the gold and time usually spent to copy a spell. If the owner has the spell prepared, it can re-record the spell during a long rest for no additional cost.</t>
  </si>
  <si>
    <t>Tentacle Bite</t>
  </si>
  <si>
    <t>Attaching, Ongoing Damage, Restraining, Temporary Self Healing</t>
  </si>
  <si>
    <t>Dye Bomb</t>
  </si>
  <si>
    <t>Marking</t>
  </si>
  <si>
    <t>Poisonous Snap</t>
  </si>
  <si>
    <t>Operators</t>
  </si>
  <si>
    <t>The [MON] can either use an action or move up to its speed each turn, not both. The [MON] can hold up to three Small operators. If it has at least one operator, it can move and act normally as long as the operator spends its entire turn operating the [MON]. When it has more than one operator, it has additional traits as long as the additional operators spend their entire turns operating the [MON]. If a creature scores a critical hit against the [MON], the creature can target one of the operators with the attack instead. Otherwise, the operators can't be targeted and are immune to damage while operating the [MON].</t>
  </si>
  <si>
    <t>Collapsing Star</t>
  </si>
  <si>
    <t>Bludgeoning (d10), Cold (d10), Psychic (d10)</t>
  </si>
  <si>
    <t>Dexterity, Constitution, Wisdom</t>
  </si>
  <si>
    <t>Maddening Form</t>
  </si>
  <si>
    <t>Glittering Carapace</t>
  </si>
  <si>
    <t>Magma Form</t>
  </si>
  <si>
    <t>Disarming, Grappling, Ongoing Damage</t>
  </si>
  <si>
    <t>Deadly Leap</t>
  </si>
  <si>
    <t>Bludgeoning (d6), Slashing (d6)</t>
  </si>
  <si>
    <t>Strength or Dexterity</t>
  </si>
  <si>
    <t>Mouth Compartment</t>
  </si>
  <si>
    <t>The [MON]'s mouth is a compartment that is [#] ft long, [#] ft wide, and [#] ft high with a single entry and exit. The [MON] can control the ambient pressure, temperature, gravity, moisture, and breathable air levels inside its mouth, allowing creatures and objects within it to exist comfortably in spite of conditions outside the [MON]. Creatures and objects within the [MON] have total cover against attacks and other effects outside the [MON]. As an action, a creature inside the [MON] can interact with the crystalline growths inside the [MON]'s mouth and sense what the [MON] senses, gaining the benefits of its blindsight.</t>
  </si>
  <si>
    <t>Steal Weapons</t>
  </si>
  <si>
    <t>Unholy Star</t>
  </si>
  <si>
    <t>Lava Geyser</t>
  </si>
  <si>
    <t>Coating, Difficult Terrain, Speed Change</t>
  </si>
  <si>
    <t>Oozing Body</t>
  </si>
  <si>
    <t>When the [MON] takes at least 15 slashing damage at one time, a chunk of its oozing flesh falls off into an unoccupied space within [#] ft of it. This flesh isn't under the [MON]'s control, but it views the [MON] as an ally. The oozing flesh acts on the [MON]'s initiative and has its own action and movement. It has AC [#], [#] hit points, and a walking speed of [#] ft. It can make one attack with a +6 to hit, and it deals [#dX] [DMG_TYPE] damage on a hit. If not destroyed, the oozing flesh lives for 1 week, voraciously consuming any non-[MON] creature it encounters. After that time, it dissolves into a puddle of water and gore.</t>
  </si>
  <si>
    <t>Metal Corrosion</t>
  </si>
  <si>
    <t>Animate Chains</t>
  </si>
  <si>
    <t>Up to four chains the [MON] can see within [#] ft of it sprout razor-edged barbs and animate under the [MON]'s control, provided that the chains aren't being worn or carried. Each animated chain is an object with AC [#], [#] hit points, resistance to piercing damage, and immunity to psychic and thunder damage. When the [MON] uses Multiattack on its turn, it can use each animated chain to make one additional chain attack. An animated chain can grapple one creature of its own but can't make attacks while grappling. An animated chain reverts to its inanimate state if reduced to 0 hit points or if the [MON] is incapacitated or dies.</t>
  </si>
  <si>
    <t>Guiding Song</t>
  </si>
  <si>
    <t>Piercing ([#])</t>
  </si>
  <si>
    <t>Gaze of Shadows</t>
  </si>
  <si>
    <t>Stash</t>
  </si>
  <si>
    <t>The [MON] stashes a Medium or smaller creature grappled by its or that is incapacitated within [#] ft of its inside extradimensional pocket in its parka ending grappled/incapacitated condition. Extradimensional pocket can hold only one creature at a time. While inside pocket creature blinded and restrained and has total cover against attacks and other effects outside pocket. Trapped creature can use action to escape pocket via DC [SAVE_DC] Strength check and using 5 ft of move falling prone in unoccupied space within [#] ft of the [MON]. If [MON] dies trapped creature is freed appearing in unoccupied space within [#] ft of the [MON]'s body.</t>
  </si>
  <si>
    <t>Killing Joke</t>
  </si>
  <si>
    <t>Drop to 0, Incapacitating, Toppling</t>
  </si>
  <si>
    <t>Slow Burn</t>
  </si>
  <si>
    <t>Transfixing Gaze</t>
  </si>
  <si>
    <t>Agonizing Gaze</t>
  </si>
  <si>
    <t>Nightmarish Ride</t>
  </si>
  <si>
    <t>Exhausting, Mount, Paralyzing, Restraining</t>
  </si>
  <si>
    <t>Duplicating Terror</t>
  </si>
  <si>
    <t>The [MON] duplicates itself, creating four replicas. Each replica uses the statistics of an axe beak, except it also has the [MON]'s Many Eyes and Self-made Pack traits. The [MON] can communicate telepathically with a replica as long as they are within [#] ft of each other. The replicas act as allies of the [MON] and obey its telepathic commands. The replicas remain until killed or dismissed by the [MON] as a bonus action. Slain or dismissed replicas melt into a foul-smelling puddle of green goo. A replica that survives [DURATION] breaks its telepathic link with the [MON], becoming a free-thinking creature, and grows into a full [MON] after 1 month.</t>
  </si>
  <si>
    <t>Boiler Weakness</t>
  </si>
  <si>
    <t>A [MON] that's immersed in water or whose boiler is soaked with at least 20 gallons of water (such as from a water elemental) may be stopped in its tracks by the loss of steam pressure in the boiler. In the case of a water elemental, dousing a [MON] destroys the elemental and the [MON] must make a DC [SAVE_DC] Constitution saving throw. If it succeeds, the water instantly evaporates and the [MON] continues functioning normally. If it fails, the [MON]'s fire is extinguished and the boiler loses pressure. The [MON] acts as if affected by a slow spell [DURATION], then becomes paralyzed until its fire is relit and it spends [DURATION] building up pressure.</t>
  </si>
  <si>
    <t>Rent wrappings</t>
  </si>
  <si>
    <t>Ongoing Damage, Summoning</t>
  </si>
  <si>
    <t>Mire</t>
  </si>
  <si>
    <t>Ongoing Damage, Restraining, Silencing, Suffocating, Toppling</t>
  </si>
  <si>
    <t>is restrained as the [MON] steadily creeps up the creature, dissolving and consuming its flesh. The restrained creature must re-save at the end of each of turns being pulled prone on a failure. A restrained creature takes [#dX] [DMG_TYPE] damage at the start of each of the [MON]'s turns. If restrained creature is also prone it is unable to breathe or cast spells with verbal components. A mired creature moves with the [MON] when it moves. A creature including a restrained target can take its action to pull the restrained creature out of the [MON] by succeeding on a DC [SAVE_DC] Strength check. The creature making the attempt takes [#dX] [DMG_TYPE] damage.</t>
  </si>
  <si>
    <t>Arcane Doubling</t>
  </si>
  <si>
    <t>A [MON] under duress creates clones of itself at the beginning of its turn. Each round [DURATION], the number of live [MON]s quadruples but never exceeds 20. Each duplicate appears in the same space as any other rat, can either move or use an action the round it appears, and has [#] hit points and AC [#]. Any surviving duplicates perish [DURATION] after the first ones were created. If the original [MON] dies, its clones stop duplicating but the preexisting clones remain until their time expires. A creature can identify the original [MON] from its duplicates as an action by making a successful DC [SAVE_DC] Intelligence (Nature) or Wisdom (Perception) check.</t>
  </si>
  <si>
    <t>Gibbering</t>
  </si>
  <si>
    <t>Burrowing Burst</t>
  </si>
  <si>
    <t>Difficult Terrain, Pushing, Toppling</t>
  </si>
  <si>
    <t>Weaken Stone</t>
  </si>
  <si>
    <t>Ability Score Damage, Blinding, Disadvantage, Incapacitating, Infection Effect</t>
  </si>
  <si>
    <t>If a [MON]'s bite attack reduces a grappled creature to 0 hit points, or it bites a target that's already at 0 hit points, it implants an egg in the creature's eye socket. The deposited egg grows for 2 weeks before hatching. If the implanted victim is still alive, it loses [#d2] Constitution every [DURATION] and has disadvantage on attack rolls and ability checks. After the first week, the victim is incapacitated and blinded. When the egg hatches after 2 weeks, an immature [MON] erupts from the victim's head, causing [#dX] [DMG_TYPE] damage, [#dX] [DMG_TYPE] damage, and [#dX] [DMG_TYPE] damage. A lesser restoration spell can kill the egg during its incubation.</t>
  </si>
  <si>
    <t>Bludgeoning (d10), Constitution (d2), Piercing (d10), Slashing (d10)</t>
  </si>
  <si>
    <t>Betraying, Disadvantage, Random Effects</t>
  </si>
  <si>
    <t>suffers memory loss. This memory loss can manifest in a variety of ways. Roll a d4 and consult the table below. If the target is already affected by one of these options, roll again, unless otherwise noted. (1) Forgets how to use a particular skill or tool. It has disadvantage on one random skill or tool proficiency. (2) Forgets one of its current allies and now views the ally as hostile. If the target is already affected by this memory loss, choose an additional ally. (3) Forgets key aspects of fighting and has disadvantage on its first attack roll each turn. (4) Forgets how to defend itself properly, and the first attack roll against it each turn has advantage.</t>
  </si>
  <si>
    <t>Gaze, Paralyzing</t>
  </si>
  <si>
    <t>Seductive Gaze</t>
  </si>
  <si>
    <t>Executioner's Judgment</t>
  </si>
  <si>
    <t>Tempest</t>
  </si>
  <si>
    <t>Aura, Disadvantage, Pushing</t>
  </si>
  <si>
    <t>Inhabit Tree</t>
  </si>
  <si>
    <t>AC Change, Possessing, Zero Speed</t>
  </si>
  <si>
    <t>As a bonus action, the [MON] touches a Medium or larger tree that is not a creature and disappears inside it. While inside the tree, the [MON] has tremorsense with a radius of [#] ft, has an AC of [#], has a speed of 0, and has vulnerability to fire damage. When the [MON] is reduced to [#] hit points, the tree dies and the [MON] appears within [#] ft of the dead tree or in the nearest unoccupied space. The [MON] can exit the tree as a bonus action, appearing within [#] ft of the tree in the nearest unoccupied space, and the tree reverts to being an object. The [MON] can inhabit a tree for only [DURATION] at most before the tree dies, requiring the [MON] to seek another vessel.</t>
  </si>
  <si>
    <t>Possessed by Ancestors</t>
  </si>
  <si>
    <t>The chaos of combat causes a [MON] to swap between personalities at the start of each of its turns. To determine which spirit is in control, roll a d6: (1) Cautious: The [MON] moves away from hostile creatures if possible and makes ranged attacks or casts spells. (2) Fickle: The [MON] attacks a creature it didn't attack on its last turn. (3) Terrified: The [MON] focuses entirely on escaping from hostile creatures, using its action to Disengage, Dash, or Hide. (4) Bloodthirsty: The [MON] attacks the nearest creature. (5) Hateful: The [MON] attacks the creature with the fewest hit points remaining. (6) Courageous: The [MON] attacks the creature with the most hit points remaining.</t>
  </si>
  <si>
    <t>Unnerving Visage</t>
  </si>
  <si>
    <t>Berserker's Blood</t>
  </si>
  <si>
    <t>Year's Termination</t>
  </si>
  <si>
    <t>Deafening, Light, Silencing</t>
  </si>
  <si>
    <t>The [MON] creates magical darkness and silence around it in a [#] ft radius sphere that moves with it and spreads around corners. The dark silence lasts [DURATION]. The [MON] sees objects in the sphere in shades of gray. Darkvision can't penetrate the darkness, no natural light can illuminate it, no sound can be created within or pass through it, and any creature or object entirely inside the sphere of dark silence is immune to thunder damage. Creatures entirely inside the darkness are deafened and can't cast spells that include a verbal component. If any of the darkness overlaps with an area of light created by a spell of level [#] or lower, the spell creating the light is destroyed.</t>
  </si>
  <si>
    <t>Restraining, Summoning</t>
  </si>
  <si>
    <t>A magical, 5 ft wide, [#] ft tall whirlwind appears in a space the [MON] can see within [#] ft of it. The whirlwind may appear in another creature's space. If the whirlwind appears in another creature's space, or when it enters a creature's space for the first time on a turn, the creature must make a DC [SAVE_DC] Strength check, becoming restrained by the whirlwind on a failure. The whirlwind may restrain one creature at a time. A creature within [#] ft of the whirlwind (including the restrained creature) can use an action to make a DC [SAVE_DC] Strength check, freeing the restrained creature on a success. A freed creature can move to an unoccupied space within [#] ft of the whirlwind.</t>
  </si>
  <si>
    <t>Veil of the Living</t>
  </si>
  <si>
    <t>During the day a [MON] appears much as it did in life and loses its Incorporeal Movement trait, its Touch of Forgetfulness action, and its immunity to being grappled and restrained. It retains all other statistics. While in this form, it has a Strength score of 10. If attacked in this form, it relies on its spells to defend itself, but it reverts to its undead form as soon as it takes any damage. When the sun sets or when it takes any damage, the [MON] assumes its undead form, and it has all of its listed statistics. Any creature witnessing this transformation [OUTCOME]. A [MON] reverts to its living form in the morning, though creatures witnessing this don't need to make saving throws.</t>
  </si>
  <si>
    <t>Rock Spire</t>
  </si>
  <si>
    <t>Eye Extraction</t>
  </si>
  <si>
    <t>Preserve Creature</t>
  </si>
  <si>
    <t>Consuming, Petrifying, Restraining, Suffocating</t>
  </si>
  <si>
    <t>Home Sweet Tome</t>
  </si>
  <si>
    <t>Eldritch Luminance</t>
  </si>
  <si>
    <t>Book Bound</t>
  </si>
  <si>
    <t>The [MON] makes all attacks, saving throws, and skill checks with advantage when its creator is within [#] ft of its book. The [MON]'s hit point max is reduced by 1 for every [DURATION] it is more than [#] ft from its book. If its book is destroyed or moved to a different plane of existence, the [MON] must succeed on a DC [SAVE_DC] Constitution saving throw or die. The [MON] can bind itself to new book by spending a short rest in contact with the new book. If its creator dies, the [MON] can be convinced to pass ownership of the book to a new creature if the creature succeeds on a DC [SAVE_DC] Charisma check. The new owner becomes the [MON]'s new "creator" and inherits the [MON] along with the book.</t>
  </si>
  <si>
    <t>The [MON] can exist outside of lava or magma [DURATION] each day. If it starts its turn outside of lava and hasn't taken fire damage since the end of its previous turn, its shell begins to cool and harden. While its shell is hardened, the [MON] has walking speed of [#] ft, AC [#], and vulnerability to bludgeoning damage. If it starts its turn in lava or if it took fire damage since the end of its previous turn, its shell becomes molten again. If the [MON] remains outside of lava for more than [DURATION], its shell becomes petrified and the [MON] goes into hibernation. Its body returns to normal if it is submerged in lava or magma [DURATION]. The [MON] dies if it remains in hibernation for 100 years.</t>
  </si>
  <si>
    <t>Cleaning Call</t>
  </si>
  <si>
    <t>The [MON] sprays pheromone-laced spores calling nearby beasts to feast. Arrive in [DURATION] and act as the [MON] allies attacking creatures within [#] ft of it. Beasts remain [DURATION]. Choose one CR 1 or lower beast or roll d100 to choose Summoned beasts. They arrive at the [MON]'s location; aggressive and prioritize active threats before feasting on creatures knocked out. Summoned beasts: 01-04: 2d4 badgers; 05-09: 1d6 black bears; 10-13: 1d3 brown bears; 14-17: 1d3 dire wolves; 18-20: 1d6 giant badgers; 21-30: 2d6 giant rats; 31-34: 1d3 giant vultures; 35-40: 2d6 giant weasels; 41-44: 1d3 lions or tigers; 45-60: 1d6 swarms of rats; 61-71: 2d4 wolves; 72-75: 1d4 worgs; 76-100: No beasts respond.</t>
  </si>
  <si>
    <t>Dark Ground</t>
  </si>
  <si>
    <t>Charming, Difficult Terrain, Extra Damage, Zero Speed</t>
  </si>
  <si>
    <t>As an action, the [MON] can dig its roots into the ground, securing itself in place and causing the area in a [#] ft radius around it to be shrouded in shadow. While rooted in this way, the [MON]'s speed becomes 0, it can't be knocked prone, and its attacks deal an extra [#dX] [DMG_TYPE] damage. This area is difficult terrain and nonmagical sources of light are only half as effective while within it. Small and smaller beasts with Intelligence 3 or lower in that area lose their natural coloration and turn pale grey. These creatures are charmed by the [MON] while within that area. Plants and trees inside the area turn an ashen color. The [MON] can recall its roots and end this effect as a bonus action.</t>
  </si>
  <si>
    <t>Sepulchral Scrying</t>
  </si>
  <si>
    <t>An invisible magical eye is created under the [MON]'s control, allowing it to watch its territory without leaving the burial mound. The eye travels at the speed of thought and can be up to 5 miles from the [MON]'s location. The [MON] can see and hear as if it were standing at the eye's location, and it can use its innate spellcasting abilities as if it were at the eye's location. The eye can be noticed with a successful DC [SAVE_DC] Wisdom (Perception) check and can be dispelled as if it were 3rd-level spell. Spells that block other scrying spells work against Sepulchral Scrying as well. Unless dismissed by its creator or dispelled, lasts [DURATION] after its creation; only one can be created per day.</t>
  </si>
  <si>
    <t>Movement, Ongoing Damage, Restraining, Suffocating, Toppling</t>
  </si>
  <si>
    <t>Eldritch Singularity</t>
  </si>
  <si>
    <t>Pulling, Toppling</t>
  </si>
  <si>
    <t>Bludgeoning (d6), Force (d6)</t>
  </si>
  <si>
    <t>Luminous Burst</t>
  </si>
  <si>
    <t>Magic Disrupting, Suffocating</t>
  </si>
  <si>
    <t>Changing Form</t>
  </si>
  <si>
    <t>Damage Reduction, Shapechanging, Weakness</t>
  </si>
  <si>
    <t>The [MON]'s form automatically changes based on the presence of light: Day Form. While more than half of the [MON] is in darkness, it appears as a glowing orb of light but sheds no light. In this form, its attacks deal radiant damage, and it has immunity to radiant damage and vulnerability to necrotic damage. Night Form. While more than half of the [MON] is in bright light, it appears as an orb of darkness. In this form, its attacks deal necrotic damage, and it has immunity to necrotic damage and has vulnerability to radiant damage. Twilight Form. While the [MON] is in dim light, it appears as split orb of light and darkness. Its attacks deal force damage, and it does not have any immunities or resistances.</t>
  </si>
  <si>
    <t>Pyroclasm</t>
  </si>
  <si>
    <t>Charging Swallow</t>
  </si>
  <si>
    <t>Release Eggs</t>
  </si>
  <si>
    <t>Subsume</t>
  </si>
  <si>
    <t>Dissolving Gaze</t>
  </si>
  <si>
    <t>Gaze, HP Max Reducing, Paralyzing</t>
  </si>
  <si>
    <t>Enthralling Mirage</t>
  </si>
  <si>
    <t>Thieving Whirlwind</t>
  </si>
  <si>
    <t>Confusing, Gaze, Toppling</t>
  </si>
  <si>
    <t>Burrowing Roots</t>
  </si>
  <si>
    <t>Whenever the [MON] makes a root attack, it can choose a point on the ground within [#] ft of it. The root bursts from the ground, and that point becomes the attack's point of origin. After attacking, the exposed root protrudes from that point, and the [MON] gains a reaction each turn that it can only use to make an opportunity attack with that root. A root has AC [#], [#] hit points, and resistance to bludgeoning, piercing, and slashing damage from nonmagical attacks. Damaging a root doesn't damage the [MON] tree. The [MON] can have up to 5 roots active at one time. If it makes a root attack while it has 5 roots active, one of the active roots burrows back into the ground and a new root appears at the location of the new attack.</t>
  </si>
  <si>
    <t>Cacophony</t>
  </si>
  <si>
    <t>Forest Knowledge</t>
  </si>
  <si>
    <t>Possession</t>
  </si>
  <si>
    <t>is possessed by the [MON]; the [MON] then disappears, and the target is incapacitated and loses control of its body. The [MON] now controls the body but doesn't deprive the target of awareness. The [MON] can't be targeted by any attack, spell, or other effect, except ones that turn undead, and it retains its alignment, Intelligence, Wisdom, Charisma, and immunity to being charmed and frightened. It otherwise uses the possessed target's statistics, but doesn't gain access to the target's knowledge, class features, or proficiencies. The possession lasts [DURATION], or the [MON] is turned or forced out by an effect like the dispel evil and good spell. When the possession ends, the [MON] reappears in an unoccupied space within [#] ft of the body.</t>
  </si>
  <si>
    <t>Face Peel</t>
  </si>
  <si>
    <t>Stunning, Summoning</t>
  </si>
  <si>
    <t>Seize Strand</t>
  </si>
  <si>
    <t>Unwatchable</t>
  </si>
  <si>
    <t>The [MON] becomes incorporeal and appears as a dark gray shadow while any living creature looks directly at it. While incorporeal, it can move through other creatures and objects as if they were difficult terrain. It takes [#dX] [DMG_TYPE] damage if it ends its turn inside an object. While incorporeal, it also gains resistance to acid, fire, lightning, and thunder damage, and bludgeoning, piercing, and slashing damage from nonmagical attacks. The [MON] has no control over this trait. Unless surprised, a creature can avert its eyes to avoid looking directly at the [MON] at the start of its turn. If the creature does so, it can't see the [MON] [DURATION], when it can avert its eyes again. If a creature looks at the [MON], the [MON] becomes incorporeal.</t>
  </si>
  <si>
    <t>Gloaming Howl</t>
  </si>
  <si>
    <t>Incapacitating, Paralyzing, Stunning</t>
  </si>
  <si>
    <t>Replace Shadow</t>
  </si>
  <si>
    <t>Damage Reduction, Possessing</t>
  </si>
  <si>
    <t>Create Whirlwind</t>
  </si>
  <si>
    <t>Concentration, Restraining</t>
  </si>
  <si>
    <t>Magnetic Shell</t>
  </si>
  <si>
    <t>Gaze, Petrifying, Restraining</t>
  </si>
  <si>
    <t>Siphon Spell Slots</t>
  </si>
  <si>
    <t>The [MON] can't replenish its spells naturally. Instead, it uses grappled spellcasters as spell reservoirs, draining uncast spells to power its own casting. Whenever the [MON] wishes to cast a spell, it consumes a number of spell slots from its victim equal to the spell slots necessary to cast the spell. If the victim has too few spell slots available, the [MON] can't cast that spell. The [MON] can also draw power from drained spellcasters or creatures without magic ability. It can reduce a grappled creature's Wisdom by [#dX], adding 2 spell slots to its spell reservoir for every point lowered. A creature reduced to 0 Wisdom is unconscious until it regains at least one point, and can't offer any more power. A creature regains all lost Wisdom when it finishes a long rest.</t>
  </si>
  <si>
    <t>Wisdom (d4)</t>
  </si>
  <si>
    <t>Capture Image</t>
  </si>
  <si>
    <t>Concentration, Incapacitating, Restraining</t>
  </si>
  <si>
    <t>Severed Limbs</t>
  </si>
  <si>
    <t>If the [MON] is dealt a critical hit with a slashing weapon, one of its extremities is severed. The extremity has AC [#], [#] hit points, a speed of 10, and the [MON]'s Regeneration trait. The [MON] controls the severed extremity and perceives through it with the appropriate senses (for instance, it sees through the eyes of its severed head). As a bonus action, the [MON] can reattach the extremity. While the [MON] is missing the extremity, its maximum hit points are reduced by 10. Roll d6 to determine the severed extremity: (1-4) Arm: If the [MON] has an arm, it loses an arm. It loses one of its claw attacks, and the severed arm can make a claw attack. (5-6) Head: If the [MON] has a head, it loses its head. It loses its bite attack, and the severed head can make a bite attack.</t>
  </si>
  <si>
    <t>The [MON] creates three illusory duplicates of itself if it isn't in bright light. The duplicates move with it and mimic its actions, shifting position so as to make it impossible to track which [MON] is the real one. If the [MON] is ever in an area of bright light, the duplicates disappear. Whenever any creature targets the [MON] with an attack or a harmful spell while a duplicate remains, that creature rolls randomly to determine whether it targets the [MON] or one of the duplicates. A creature is unaffected by this magical effect if it can't see or if it relies on senses other than sight. A duplicate has the [MON]'s AC and uses its saving throws. If an attack hits a duplicate, or if a duplicate fails a saving throw against an effect that deals damage, the duplicate disappears.</t>
  </si>
  <si>
    <t>Trapdoor Ambush</t>
  </si>
  <si>
    <t>Grappling, Lair, Pulling, Restraining</t>
  </si>
  <si>
    <t>As a reaction when a creature walks over a [MON]'s hidden burrow, the [MON] can use its reaction to attack that creature with two impaling leg attacks. The creature is considered a surprised target for both attacks. If one or both attacks hit and the target is a creature, then the [MON] and the target engage in a Strength contest. If the creature wins, it can immediately move [#] ft away from the [MON]. If the contest results in a tie, the creature is grappled (escape DC [SAVE_DC]). If the [MON] wins, the creature is grappled and dragged by the [MON] [#] ft into its lair. If the creature is still grappled at the start of the [MON]'s next turn, it becomes restrained instead. The restrained creature can escape by using an action to make a successful DC [SAVE_DC] Strength (Athletics) check.</t>
  </si>
  <si>
    <t>Whenever the [MON] starts its turn with [#] hit points or fewer, roll a d6. On a 6, the [MON] goes berserk. On each of its turns while berserk, the [MON] attacks the nearest creature it can see. If no creature is near enough to move to and attack, the [MON] attacks an object, usually an object smaller than itself. Once the [MON] goes berserk, it continues to attack until it is destroyed or it regains all its hit points. The [MON]'s creator, if within [#] ft of the berserk [MON], can calm it by speaking firmly and persuasively. The [MON] must be able to hear its creator, who must use an action to make a DC [SAVE_DC] Charisma (Persuasion) check. If the check succeeds, the [MON] ceases being berserk. If it takes damage while still at [#] hit points or fewer, the [MON] might go berserk again.</t>
  </si>
  <si>
    <t>Symbiote</t>
  </si>
  <si>
    <t>AC Change, Attaching, Damage Reduction, Zero Speed</t>
  </si>
  <si>
    <t>The [MON] can bond with willing humanoid creature that remains in physical contact with it [DURATION]. While bonded this way host gains +2 bonus to AC and saves and resistance to all damage, and the [MON]'s speed is 0 moving with host when it moves. Each time host takes damage the [MON] takes same amount. If host is subjected to effect that would force it to save host can use its save bonuses or the [MON]'s. If both are subjected to same effect only one is affected the [MON]'s choice. The [MON] and host otherwise retain their own stats and take separate turns. The [MON] and host can't be separated unless the [MON] chooses to terminate connection. The [MON] can detach itself safely from host over course of [DURATION] or can detach itself from creature as an action which immediately kills host.</t>
  </si>
  <si>
    <t>Wail</t>
  </si>
  <si>
    <t>Frightening, Random Effects, Stunning</t>
  </si>
  <si>
    <t>Psychic (d8), Thunder (d8)</t>
  </si>
  <si>
    <t>Dream Eating</t>
  </si>
  <si>
    <t>Ability Score Damage, Attaching, Ongoing Damage</t>
  </si>
  <si>
    <t>Sacred Duty</t>
  </si>
  <si>
    <t>Ability Score Damage, Shapechanging</t>
  </si>
  <si>
    <t>The [MON] can use its bonus action to shift its purpose between Destructor, Executioner, and Punisher. (1) Destructor: The [MON]'s purpose is to destroy unholy monuments and statues. Its weapon attacks deal double damage to objects and structures. (2) Executioner: The [MON]'s purpose is to slay a specific creature. The [MON] has advantage on attack rolls against a specific creature, chosen by its deity. As long as the [MON] and the victim are on the same plane of existence, the [MON] knows the precise location of the creature. (3) Punisher: The [MON]'s purpose is to punish, but not kill, creatures, inflicting long-term suffering on those of its deity's choosing. A creature reduced to 0 hit points by the [MON] loses [#dX] Charisma as its body is horribly scarred by the deity's retribution. The scars last [DURATION].</t>
  </si>
  <si>
    <t>Detachable Head</t>
  </si>
  <si>
    <t>As a bonus action, the [MON] detaches its head. The head trails entrails like flexible tentacles. While detached, the head and body act independently from each other on the same initiative, and each has hit points equal to half its hit points before detaching its head. Its statistics remain the same in both forms, except the body loses its truesight and gains blindsight out to a range of [#] ft. The head and body can use the whole form's innate spellcasting trait, expending daily uses as normal. The two forms can rejoin into the [MON]'s whole form as a bonus action if they are within [#] ft of each other. If the head is destroyed while it is detached, the body also perishes. If the body is destroyed while the head is detached, the head has disadvantage on attack rolls and ability checks until it acquires a new body.</t>
  </si>
  <si>
    <t>Reave Soul</t>
  </si>
  <si>
    <t>Vortex</t>
  </si>
  <si>
    <t>Grappling, Pushing, Restraining, Shapechanging, Suffocating</t>
  </si>
  <si>
    <t>Escalating Roar</t>
  </si>
  <si>
    <t>Deafening, Frightening, Paralyzing, Toppling</t>
  </si>
  <si>
    <t>Wisdom, Wisdom, Constitution</t>
  </si>
  <si>
    <t>Thrall Enslavement</t>
  </si>
  <si>
    <t>Drift Forward</t>
  </si>
  <si>
    <t>Punishing Maw</t>
  </si>
  <si>
    <t>Consuming, Grapple Effect, Ongoing Damage</t>
  </si>
  <si>
    <t>Piercing (d8), Slashing (d10)</t>
  </si>
  <si>
    <t>Dust Devil</t>
  </si>
  <si>
    <t>Concentration, Ongoing Damage, Restraining</t>
  </si>
  <si>
    <t>Water Sensitivity</t>
  </si>
  <si>
    <t>Shroud in Darkness</t>
  </si>
  <si>
    <t>Uncontrolled Growth</t>
  </si>
  <si>
    <t>Disadvantage, Ongoing Damage, Random Effects</t>
  </si>
  <si>
    <t>When the [MON] regains hit points from its Regeneration gains random teratoma. Teratoma and effects last until removed or replaced by another. The [MON] can have only 3 at a time. If it would gain a 4th oldest fades and is replaced. Teratomas (d6):1 New Senses: A bevy of new ears and noses give [MON] advantage on Wisdom (Perception) checks that rely on hearing or smell.2 Many Feet: The [MON] can't be knocked prone.3 Adrenal Overdrive: Can't be frightened or suffer exhaustion.4 Clinging Limbs: When this teratoma is removed with Fling Limb action it attaches to target. While attached to target target takes [#dX] [DMG_TYPE] damage at the start of each of its turns. A creature including target can use its action to detach teratoma.5 Echo Chambers: The [MON] hasblindsight out to a range of [#] ft.6 New Pain Nerves: Disadvantage on any non-attack roll.</t>
  </si>
  <si>
    <t>Haboob</t>
  </si>
  <si>
    <t>Obscuring, Restraining, Speed Change</t>
  </si>
  <si>
    <t>Colony Cluster</t>
  </si>
  <si>
    <t>The [MON] consists of Huge central spire and 3 Small clusters. Each cluster acts on the [MON]'s turn and shares its move allowing spire and clusters to swim total of [#] ft on the [MON]'s turn. Cluster can't move more than [#] ft from spire. Cluster over [#] ft away from spire for over [DURATION] enters dormant state becoming new the [MON] after [DURATION]. The [MON] and its clusters share hit points and damage dealt to cluster or spire reduces shared total. If more than one section of the [MON] is included the area of a in damaging spell or effect, the [MON] makes one save and takes damage as if only one section was affected. When the [MON] takes [#] damage in one turn cluster is destroyed. At end of its turn if the [MON] took damage on previous turn it can expel one new cluster from spire per [#] damage it took. Can't have more than 5 clusters active at a time.</t>
  </si>
  <si>
    <t>Grappling, Pushing, Restraining, Shapechanging</t>
  </si>
  <si>
    <t>If the [MON] isn't in sun light or running water, it can use its action to polymorph into a Tiny bat or a Medium cloud of mist, or back into its true form. While in bat form, the [MON] can't speak, its walking speed is [#] ft, and it has a flying speed of [#] ft. Its statistics, other than its size and speed, are unchanged. Anything it is wearing transforms with it, but nothing it is carrying does. While in mist form, the [MON] can't take any actions, speak, or manipulate objects. It is weightless, has a flying speed of [#] ft, can hover, and can enter a hostile creature's space and stop there. In addition, if air can pass through a space, the mist can do so without squeezing, and it can't pass through water. It has advantage on Strength, Dexterity, and Constitution saving throws, and it is immune to all nonmagical damage, except the damage it takes from sunlight.</t>
  </si>
  <si>
    <t>Wishes</t>
  </si>
  <si>
    <t>The [MON] power to grant wishes is legendary among mortals. Only the most potent [MON]s, such as those among the nobility, can do so. A particular [MON] that has this power can grant one to three wishes to a creature that isn't a [MON]. Once a [MON] has granted its limit of wishes, it can't grant wishes again for some amount of time (usually 1 year). and cosmic law dictates that the same [MON] can expend its limit of wishes on a specific creature only once in that creature's existence. To be granted a wish, a creature within [#] ft of the [MON] states a desired effect to it. The [MON] can then cast the wish spell on the creature's behalf to bring about the effect. Depending on the [MON]'s nature, the [MON] might try to pervert the intent of the wish by exploiting the wish's poor wording. The perversion of the wording is usually crafted to be to the [MON]'s benefit.</t>
  </si>
  <si>
    <t>Past and Future, Present</t>
  </si>
  <si>
    <t>The [MON] is always accompanied by its past and future selves. They occupy the [MON]'s same space seconds before and after the [MON] and can't be targeted separately. They provide the [MON] with the following benefits. * The [MON] can concentrate on two spells simultaneously. If it casts a third spell that requires concentration, the [MON] loses concentration on the oldest spell. If the [MON] is concentrating on two spells and loses concentration because of taking damage, it loses concentration on the oldest spell. * When a creature targets the [MON] with an attack, roll a d6. On a 1 through 4, the attack hits one of the [MON]'s future or past selves, halving the damage the [MON] takes. On a 5 or 6, the attack hits the [MON], and it takes damage as normal. The [MON] is still the target of the attack and is subject to effects that trigger when a creature is hit or damaged.</t>
  </si>
  <si>
    <t>Enchanted Shell</t>
  </si>
  <si>
    <t>A dome of magic covers the [MON] just large enough to contain its shell. The [MON] can control the ambient pressure temperature water levels and breathable air levels (for air-breathing passengers) inside allowing creatures and objects within it to exist comfortably in spite of conditions outside. Creatures and objects within the shell have total cover against attacks and other effects outside the [MON]. Creatures inside the shell can exit whenever they want but nothing can pass into the shell's dome unless the [MON] allows it. Area inside dome is a magnificent palace carved into [MON]'s shell complete with open 'air' balconies used as entrances/exits and numerous covered chambers that can comfortably hold up to 50 passengers. Palace is [#] ft long [#] ft wide and [#] ft tall. When it dies any creatures inside dome are expelled into unoccupied spaces near the closest exit.</t>
  </si>
  <si>
    <t>Object Reading</t>
  </si>
  <si>
    <t>One Hundred Mage Hands</t>
  </si>
  <si>
    <t>The [MON] is surrounded by one hundred, magical, spectral mage hands. The hands can't be targeted by spells or attacks and are immune to damage. The hands float within [#] ft of the [MON] and move with it. The [MON] can decide if the hands are visible. Each hand can carry an object weighing up to 10 pounds and no more than three hands can work in tandem to carry one larger object. The [MON]'s Dexterity (Sleight of Hand) checks have a range of [#] ft. Whenever the [MON] makes a Dexterity (Sleight of Hand) check, it can make up to four such checks as part of the same action, but each check must be against a different target. The [MON] can perform actions normally restricted to creatures with hands, such as opening a door, stirring a bowl of soup, or carrying a lantern. The [MON] can't wield weapons or shields or make attacks, except as part of the [MON]'s Flying Fists action.</t>
  </si>
  <si>
    <t>Shadow Stealing Ray</t>
  </si>
  <si>
    <t>Pushing, Spawning, Toppling</t>
  </si>
  <si>
    <t>Shadow Steal</t>
  </si>
  <si>
    <t>Curse Effect, Exhausting, Summoning</t>
  </si>
  <si>
    <t>While cursed in this way, a creature doesn't have a shadow and gains one level of exhaustion that can't be removed until curse ends. Curse ends only if the target convinces its shadow to rejoin with it by succeeding on a DC [SAVE_DC] Charisma (Persuasion) check while within [#] ft of its shadow or if shadow is returned with wish spell. While the target is cursed its shadow becomes a living shade (see Creature Codex) under the [MON]'s control. Alternatively [MON] can combine two stolen shadows into a shadow instead. The [MON] can have no more than ten living shades or five shadows under its control at one time. If a cursed creature's shadow is destroyed it becomes a mundane shadow and moves to within [#] ft of the cursed creature and cursed creature has advantage on the check to convince the shadow to rejoin with it. If the [MON] dies all stolen shadows return to their rightful owners ending the curses.</t>
  </si>
  <si>
    <t>Tail Grab</t>
  </si>
  <si>
    <t>Disadvantage, Disarming, Grappling, Pulling</t>
  </si>
  <si>
    <t>Magnetic Pull</t>
  </si>
  <si>
    <t>AC Change, Disarming, Grappling</t>
  </si>
  <si>
    <t>Shaped Swarm</t>
  </si>
  <si>
    <t>The [MON] transforms into a Huge fiend, or back into a shapeless mass. Its statistics are the same in each form, and it can't regain hit points or gain temporary hit points. If a creature is more than [#] ft away from the [MON], it must use an action to visually inspect the [MON] form and succeed on a DC [SAVE_DC] Intelligence (Investigation) check to discern the Huge fiend is actually a [MON] of Small insects. A creature within [#] ft of the [MON] immediately discerns the truth. While in fiend form, it can wield weapons and hold, grasp, push, pull, or interact with objects that might otherwise require a more humanoid form to accomplish. If the [MON] takes thunder damage while in its fiend form, it immediately changes to its shapeless form. While in shapeless form, it can occupy another creature's space and vice versa and can move through any opening large enough for a Small fiend, but it can't grapple or be grappled.</t>
  </si>
  <si>
    <t>Eldritch Aura</t>
  </si>
  <si>
    <t>Aura, Damage Reduction, Magic Disrupting, Self Healing</t>
  </si>
  <si>
    <t>The [MON] surrounds itself with a magical, rune-covered, glowing, translucent aura in a [#] ft radius. The aura moves with the [MON] and casts dim light inside its area. The aura disappears at the beginning of the [MON]'s next turn. The [MON] can choose one of the following options: (1) Spell Shield: Any spell cast with a 5th-level or lower spell slot from outside the aura can't affect anything inside the aura. Using a spell to target something inside the aura or include the auras space in an area has no effect on anything inside. (2) Damage Shield: Whenever the [MON] would take damage, the aura takes the damage instead, and the aura visibly weakens. It has [#] hit points. If the damage reduces the aura to 0 hit points, the aura disappears, and the [MON] takes any excess damage. (3) Death Aura: Each living creature that ends its turn inside the aura takes [#dX] [DMG_TYPE] damage, and the [MON] regains the same number of hit points.</t>
  </si>
  <si>
    <t>Puppet Link</t>
  </si>
  <si>
    <t>Disadvantage, Lethal</t>
  </si>
  <si>
    <t>is linked to the [MON]'s marionette. This link appears as a barely perceptible string between the marionette and the target. A linked creature can repeat this saving throw at the end of each of its turns, ending the link on a success. While a target is linked, the [MON] can use its reaction at the start of the target's turn to control the linked target. The [MON] can make the target move, manipulate objects, attack, or take other purely physical actions, but not cast spells. While controlled, the target moves awkwardly and has disadvantage on attack rolls and ability checks. If the target receives a suicidal command from the [MON], it can repeat this saving throw, ending the effect on itself on a success. The [MON] can have only one target linked at a time. If it links another, the effect on the previous target ends. If a creature dies while linked to the marionette, the creature's body becomes a wooden puppet that resembles the creature.</t>
  </si>
  <si>
    <t>Merge with Beast</t>
  </si>
  <si>
    <t>Attaching, Possessing</t>
  </si>
  <si>
    <t>Night's Blood</t>
  </si>
  <si>
    <t>Advantage, Infection Effect, Sense, Silencing, Spawning</t>
  </si>
  <si>
    <t>Cloves of Fate</t>
  </si>
  <si>
    <t>Disadvantage, Disarming, Healing, Poisoning, Random Effects, Toppling</t>
  </si>
  <si>
    <t>Quicksand Pit</t>
  </si>
  <si>
    <t>Area, Restraining, Suffocating</t>
  </si>
  <si>
    <t>Soul Jolt</t>
  </si>
  <si>
    <t>Dissolve Stone</t>
  </si>
  <si>
    <t>Misty Escape</t>
  </si>
  <si>
    <t>When the [MON] drops to 0 hit points outside its resting place, the [MON] transforms into a cloud of mist instead of falling unconscious, provided that it isn't in sunlight or running water. If it can't transform, it is destroyed. While it has 0 hit points in mist form, it can't revert to its [MON] form, and it must reach its resting place within [DURATION] or be destroyed. While in mist form it can't take any actions, speak, or manipulate objects. It is weightless, has a flying speed of [#] ft, can hover, and can enter a hostile creature's space and stop there. In addition, if air can pass through a space, the mist can do so without squeezing, and it can't pass through water. It has advantage on Strength, Dexterity, and Constitution saving throws, and it is immune to all nonmagical damage, except the damage it takes from sunlight. Once in its resting place, it reverts to its [MON] form. It is then paralyzed [DURATION]. After spending [DURATION] in its resting place with 0 hit points, it regains 1 hit point.</t>
  </si>
  <si>
    <t>Fragrant Aura</t>
  </si>
  <si>
    <t>Unleashed Emotion</t>
  </si>
  <si>
    <t>Pushing, Shapechanging, Toppling</t>
  </si>
  <si>
    <t>Buried Alive</t>
  </si>
  <si>
    <t>Stunning, Suffocating</t>
  </si>
  <si>
    <t>Inhabit</t>
  </si>
  <si>
    <t>HP Max Reducing, Possessing</t>
  </si>
  <si>
    <t>Charisma, Charisma, Constitution</t>
  </si>
  <si>
    <t>Swarm Form</t>
  </si>
  <si>
    <t>The [MON] can use its action to split into four individual swarms of tiny bone posthumes. Each swarm has an hit points total equal to the [MON]'s hit points divided by 4 (rounded down), and all are affected by any conditions, spells, and other magical effects that affected the [MON]. The [MON]s act on the same initiative count as the [MON] did and occupy any unoccupied space that previously contained the [MON]. A bone swarm can occupy another creature's space and vice versa, and the [MON] can move through a space as narrow as 1 ft wide without squeezing. A swarm can't regain hit points or gain temporary hit points. As an action, the [MON]s can reform into a single [MON] as long as all surviving swarms are within [#] ft of each other. The reformed [MON]'s hit points total is equal to the combined remaining hit points of the [MON]s, and the [MON] is affected by any conditions, spells, and other magical effects currently affecting any of the [MON]s. It occupies any unoccupied space that previously contained at least one of the [MON]s that formed it.</t>
  </si>
  <si>
    <t>Wondrous Cornucopia</t>
  </si>
  <si>
    <t>Healing, Obscuring, Random Effects, Restoring, Shapechanging, Summoning</t>
  </si>
  <si>
    <t>Replicate</t>
  </si>
  <si>
    <t>The [MON] separates itself into two identical copies for up to [DURATION]. The new [MON]s' hit points totals are equal to the original [MON]'s hit points total divided by 2 (rounded down), and each is affected by any conditions, spells, and other magical effects that affected the original [MON]. The new [MON]s otherwise retain the same statistics as the original, except neither has this action. The new [MON]s act on the same initiative count as the original [MON] and occupy any unoccupied spaces within [#] ft of the original [MON]'s space. If one [MON] starts its turn within [#] ft of its other half, they can each use their reactions to recombine. The recombined [MON]'s hit points total is equal to the combined hit points total of the two [MON]s, and it is affected by any conditions, spells, and other magical effects currently affecting either of the combining [MON]s. The [MON] automatically recombines if both of its halves are still alive at the end of the duration. If only one [MON] remains alive at the end of the duration, it gains this action after it finishes a long rest.</t>
  </si>
  <si>
    <t>Advantage, Betraying, Healing</t>
  </si>
  <si>
    <t>Strobe</t>
  </si>
  <si>
    <t>Consuming, Poisoning</t>
  </si>
  <si>
    <t>Acid (d6), Necrotic (d6)</t>
  </si>
  <si>
    <t>Astral Devour</t>
  </si>
  <si>
    <t>Spirit Lantern</t>
  </si>
  <si>
    <t>Curse Effect, Cursing</t>
  </si>
  <si>
    <t>Aural Symbiosis</t>
  </si>
  <si>
    <t>Disadvantage, Possessing</t>
  </si>
  <si>
    <t>Soul Exchange</t>
  </si>
  <si>
    <t>The [MON] enters the body of an incapacitated or dead creature by crawling into its mouth and other orifices. Inhabiting takes [DURATION], and the victim must be Small, Medium, or Large. If The [MON] inhabits a dead body, it can animate it and control its movements, effectively becoming a zombie for as long as it remains inside. The [MON] can abandon the body as an action. Attacks against the host deal half damage to the [MON] as well, but [MON]'s resistances and immunities still apply against this damage. In a living victim, the [MON] can control the victim's movement and actions as if using dominate monster (save DC [SAVE_DC]) on the victim. The [MON] can consume a living victim; the target takes [#dX] [DMG_TYPE] damage per hour while the [MON] inhabits its body, and the [MON] regains hit points equal to the damage dealt. When inhabiting a body, the [MON] can choose to have any spell it casts with a range of self, target the inhabited body rather than itself. The skin of a creature inhabited by the [MON] crawls with the forms of the insects inside. The [MON] can hide this telltale sign with a Charisma (Deception) check against a viewer's passive Insight. A greater restoration spell or similar magic forces the [MON] to abandon the host.</t>
  </si>
  <si>
    <t>Hidey-Hole</t>
  </si>
  <si>
    <t>Spectral Bite</t>
  </si>
  <si>
    <t>Confusing, Cursing, HP Max Reducing, Random Effects, Speed Change</t>
  </si>
  <si>
    <t>Demonic Possession</t>
  </si>
  <si>
    <t>Madness, Possessing</t>
  </si>
  <si>
    <t>Anger of the Ancient Mage</t>
  </si>
  <si>
    <t>Blinding, Difficult Terrain, Obscuring, Poisoning, Random Effects, Restraining</t>
  </si>
  <si>
    <t>Acid (d8), Poison (d8)</t>
  </si>
  <si>
    <t>Strength, Dexterity, Constitution, Constitution</t>
  </si>
  <si>
    <t>Loathsome Limbs</t>
  </si>
  <si>
    <t>Blinding, Random Effects, Speed Change, Summoning, Weakness, Zero Speed</t>
  </si>
  <si>
    <t>Betrayal of Riches</t>
  </si>
  <si>
    <t>Blinding, Disadvantage, Disarming, Silencing, Speed Change, Stunning, Suffocating</t>
  </si>
  <si>
    <t>Wisdom, Dexterity, Dexterity, Constitution, Strength, Strength, Dexterity</t>
  </si>
  <si>
    <t>Alchemical Spray</t>
  </si>
  <si>
    <t>Blinding, Charming, Incapacitating, Knockout, Poisoning, Random Effects, Shapechanging</t>
  </si>
  <si>
    <t>Charisma, Constitution, Wisdom, Dexterity, Constitution, Constitution</t>
  </si>
  <si>
    <t>Ability</t>
  </si>
  <si>
    <t>Melee Weapon Attack</t>
  </si>
  <si>
    <t>1d4</t>
  </si>
  <si>
    <t>bludgeoning</t>
  </si>
  <si>
    <t>Melee or Ranged Weapon Attack</t>
  </si>
  <si>
    <t>piercing</t>
  </si>
  <si>
    <t>1d8</t>
  </si>
  <si>
    <t>1d6</t>
  </si>
  <si>
    <t>slashing</t>
  </si>
  <si>
    <t>Ranged Weapon Attack</t>
  </si>
  <si>
    <t>1d10</t>
  </si>
  <si>
    <t>1d12</t>
  </si>
  <si>
    <t>2d6</t>
  </si>
  <si>
    <t>Type</t>
  </si>
  <si>
    <t>Reach/Range</t>
  </si>
  <si>
    <t>Melee Spell Attack</t>
  </si>
  <si>
    <t>Intelligence, Wisdom, Charisma</t>
  </si>
  <si>
    <t>Ranged Spell Attack</t>
  </si>
  <si>
    <t>Weapon</t>
  </si>
  <si>
    <t>Action Tags</t>
  </si>
  <si>
    <t>Feature/Ability Tags</t>
  </si>
  <si>
    <t>Bonus Action Tags</t>
  </si>
  <si>
    <t>Reaction Tags</t>
  </si>
  <si>
    <t>must move toward the [MON] on its turn by the shortest and most direct route, ending its turn when it comes within [#] ft of the [MON].</t>
  </si>
  <si>
    <t>has disadvantage on the next save it makes against one of the [MON]'s abilities within [DURATION].</t>
  </si>
  <si>
    <t>Confusing, Fear Effect</t>
  </si>
  <si>
    <t>Confused by Fear</t>
  </si>
  <si>
    <t>While frightened in this way, a creature behaves as if affected by the confusion spell.</t>
  </si>
  <si>
    <t>gains advantage on its next ability check or attack roll.</t>
  </si>
  <si>
    <t>catches on fire and takes [#dX] [DMG_TYPE] damage at the start of each of its turns [DURATION].</t>
  </si>
  <si>
    <t>While a creature is on fire, it [OUTCOME].</t>
  </si>
  <si>
    <t>Fire Effect</t>
  </si>
  <si>
    <t>Fire Consequences</t>
  </si>
  <si>
    <t>becomes indifferent about creatures that it is hostile toward within [#] ft of the [MON] [DURATION]. This indifference ends if an affected creature is attacked, harmed by a spell, or witnesses any of its allies being harmed.</t>
  </si>
  <si>
    <t>Frightened creatures within [#] ft of the [MON] are no longer frightened.</t>
  </si>
  <si>
    <t>Area, Fear Ending</t>
  </si>
  <si>
    <t>Calming Aura</t>
  </si>
  <si>
    <t>Outcome Tags</t>
  </si>
  <si>
    <t>Attack Effect Tags</t>
  </si>
  <si>
    <t>Condition Effect Tags</t>
  </si>
  <si>
    <t>Damage Effect Tags</t>
  </si>
  <si>
    <t>Save Effect Tags</t>
  </si>
  <si>
    <t>Secondary Effect Tags</t>
  </si>
  <si>
    <t>Target Effect Tags</t>
  </si>
  <si>
    <t>is impaled on the [MON]'s spikes. While impaled, the creature is restrained and takes [#dX] + [DMG_MOD] [DMG_TYPE] damage at the start of each of the [MON]'s turns. A creature, including the impaled target, can take its action to free the impaled target by succeeding on a DC [SAVE_DC] Strength check. A freed creature is knocked prone in a space within [#] ft of the [MON]. If the [MON] dies, a creature is no longer restrained and can escape from the [MON]'s spikes by using [#] ft of movement.</t>
  </si>
  <si>
    <t>regains [#dX] + [DMG_MOD] hit points.</t>
  </si>
  <si>
    <t>takes [#dX] + [DMG_MOD] [DMG_TYPE] damage.</t>
  </si>
  <si>
    <t>takes [#dX] + [DMG_MOD] [DMG_TYPE] damage plus [#dX] [DMG_TYPE] damage.</t>
  </si>
  <si>
    <t>takes [#dX] + [DMG_MOD] [DMG_TYPE] damage at the start of its next turn.</t>
  </si>
  <si>
    <t>is knocked prone and pushed up to [#] ft away. A creature that impacts a solid object takes an extra [#dX] + [DMG_MOD] [DMG_TYPE] damage.</t>
  </si>
  <si>
    <t>takes an extra [#dX] + [DMG_MOD] [DMG_TYPE] damage if at least three of the [MON]'s allies are within [#] ft of the target and the allies aren't incapacitated.</t>
  </si>
  <si>
    <t>is thrown up to [#] ft in the air. If a creature hits an obstacle, it takes [#dX] + [DMG_MOD] [DMG_TYPE] damage. It then falls, taking falling damage as normal.</t>
  </si>
  <si>
    <t>is thrown up to [#] ft in a random direction and knocked prone. If a thrown target strikes a solid surface, it takes [#dX] + [DMG_MOD] [DMG_TYPE] damage for every [#] ft it was thrown. If the target is thrown at another creature, that creature takes the same damage and is knocked prone.</t>
  </si>
  <si>
    <t>If the [MON] moves at least [#] ft straight toward a creature before hitting it with a melee attack, the target takes an extra [#dX] + [DMG_MOD] [DMG_TYPE] damage.</t>
  </si>
  <si>
    <t>When a creature leaves the [MON]'s space, [#dX]-1 [MON]s remain grappled to them (escape DC [SAVE_DC]). Each [MON] inflicts [#dX] + [DMG_MOD] [DMG_TYPE] damage at the start of the creature's turns until it escapes from the grapples.</t>
  </si>
  <si>
    <t>If a target is already grappled in a whip at the start of the [MON]'s turn, both creatures make opposed Strength (Athletics) checks. If the grappled creature wins, it takes [#dX] + [DMG_MOD] [DMG_TYPE] damage, and remains grappled. If the [MON] wins, the grappled creature is dragged into the [MON]'s stomach maw, a mass of churning gears, razor teeth, and whirling blades. The creature takes [#dX] + [DMG_MOD] [DMG_TYPE] damage and is grappled, and the whip is free to attack again on the [MON]'s next turn. The creature takes another [#dX] + [DMG_MOD] [DMG_TYPE] damage automatically at the start of each of the [MON]'s turns for as long as it remains grappled in the maw. Only one creature can be grappled in the punishing maw at a time. The [MON] can freely "spit out"a creature or corpse during its turn, to free up the maw for another victim.</t>
  </si>
  <si>
    <t>While attached to a creature, the [MON] doesn't attack. Instead, at the start of each of the [MON]'s turns, the target loses [#dX] + [DMG_MOD] hit points due to blood loss.</t>
  </si>
  <si>
    <t>If the [MON] is grappling the same target with both limbs, the [MON] rips at the target, ending both grapples and dealing [#dX] + [DMG_MOD] [DMG_TYPE] damage to the target. If this damage reduces the creature to 0 hit points, it dies and is torn in half.</t>
  </si>
  <si>
    <t>Rupturing Arteries. The victim takes [#dX] + [DMG_MOD] [DMG_TYPE] damage as its veins and arteries burst open. The target can repeat this saving throw at the beginning of each of its turns. It takes [#dX] [DMG_TYPE] damage if the saving throw fails, but the effect ends on a successful save.</t>
  </si>
  <si>
    <t>The [MON] grinds its form over one creature in its space or that is grappled by it. The target takes [#dX] + [DMG_MOD] [DMG_TYPE] damage on a failed save, or half as much damage on a success. The [MON] regains hit points equal to half the damage taken if creature is not a construct or undead.</t>
  </si>
  <si>
    <t>The [MON] throws a grappled creature up to [#] ft at another target. On a hit, the target and the thrown creature both take [#dX] + [DMG_MOD] [DMG_TYPE] damage. On a miss, only the thrown creature takes the damage. The thrown creature is knocked prone in an unoccupied space adjacent to the target.</t>
  </si>
  <si>
    <t>The [MON] moves up to [#] ft in a straight line and can move through objects as if they were difficult terrain. This movement doesn't provoke opportunity attacks. If it moves through a object, the object takes [#dX] + [DMG_MOD] [DMG_TYPE] damage. If it moves through a ship, the ship's pilot can make a DC [SAVE_DC] Wisdom check using navigator's tools, halving the damage on a success.</t>
  </si>
  <si>
    <t>The [MON] creates prison of chains around an up to Medium creature grappled by it. Imprisoned: restrained and takes [#dX] + [DMG_MOD] piercing damage at the start of each of its turns. Imprisoned creature or creature within [#] ft of the [MON] can use action to free imprisoned creature. Doing so requires DC [SAVE_DC] Strength check and creature attempting takes [#dX] [DMG_TYPE] damage.</t>
  </si>
  <si>
    <t>The [MON] squats atop the target, pinning it to the ground, where it is grappled and restrained (escape DC [SAVE_DC]). The [MON] is free to attack another target, but the restrained creatures are released if it moves from its current space. As long as the [MON] does not move from the spot, it can maintain the squatting pin on up to two Medium-sized or smaller creatures. A creature suffers [#dX] + [DMG_MOD] [DMG_TYPE] damage every time it starts its turn restrained by a squatting pin.</t>
  </si>
  <si>
    <t>When the [MON] wraps itself around a creature, the target takes [#dX] + [DMG_MOD] bludgeoning damage plus [#dX] [DMG_TYPE] damage and is grappled (escape DC [SAVE_DC]). The target takes another [#dX] + [DMG_MOD] bludgeoning damage plus [#dX] [DMG_TYPE] damage at the end of each of its turns when it is still grappled by the [MON]. A [MON] can't attack while it has a creature engulfed. Damage from attacks against the [MON] is split evenly between the [MON] and the engulfed creature; the only exceptions are slashing and psychic damage, which affect only the [MON].</t>
  </si>
  <si>
    <t>If the [MON] is in its glass form and has less than half of its total hit points remaining, this attack instead deals [#dX] + [DMG_MOD] [DMG_TYPE] damage.</t>
  </si>
  <si>
    <t>A consumed creature takes [#dX] + [DMG_MOD] [DMG_TYPE] damage at the start of each of the [MON]'s turns.</t>
  </si>
  <si>
    <t>A consumed creature takes [#dX] + [DMG_MOD] [DMG_TYPE] damage plus [#dX] [DMG_TYPE] damage at the start of each of the [MON]'s turns.</t>
  </si>
  <si>
    <t>A consumed creature takes [#dX] [DMG_TYPE] damage plus [#dX] + [DMG_MOD] [DMG_TYPE] damage at the start of each of the [MON]'s turns.</t>
  </si>
  <si>
    <t>A creature within [#] ft of the [MON] can use an action to free a consumed creature. Doing so requires a successful DC [SAVE_DC] Strength check, and the creature making the attempt takes [#dX] + [DMG_MOD] [DMG_TYPE] damage.</t>
  </si>
  <si>
    <t>A creature within reach of the [MON] can attempt a DC [SAVE_DC] Strength check as an action. Doing so inflicts [#dX] [DMG_TYPE] damage plus [#dX] + [DMG_MOD] [DMG_TYPE] damage to it. On a success, it frees one consumed creature, which escapes to a space within [#] ft of the [MON].</t>
  </si>
  <si>
    <t>At the start of each of the [MON]'s turns, each target grappled by it takes [#dX] + [DMG_MOD] [DMG_TYPE] damage.</t>
  </si>
  <si>
    <t>When this grapple ends, the target takes [#dX] + [DMG_MOD] [DMG_TYPE] damage.</t>
  </si>
  <si>
    <t>While grappled in this way, a creature takes [#dX] + [DMG_MOD] [DMG_TYPE] damage at the start of each of its turns.</t>
  </si>
  <si>
    <t>While grappled in this way, a creature takes [#dX] + [DMG_MOD] [DMG_TYPE] damage at the start of each of the [MON]'s turns.</t>
  </si>
  <si>
    <t>While restrained in this way, a creature takes [#dX] + [DMG_MOD] [DMG_TYPE] damage if it attacks or casts a spell that requires a somatic component.</t>
  </si>
  <si>
    <t>While restrained, the target doesn't take damage from the [MON]'s Shards action, but it takes [#dX] + [DMG_MOD] [DMG_TYPE] damage if it uses an action that requires movement, such as attacking or casting a spell with somatic components.</t>
  </si>
  <si>
    <t>The [MON] can attach its tentacle to target. The [MON] has two tentacles each of which can attach to only one target. While tentacle is attached demon can't use that tentacle to make Tentacle Bites target is restrained and [MON] doesn't attack with it. Instead at the start of each of demon's turns each creature with tentacle attached loses [#dX] + [DMG_MOD] hit points due to blood loss and demon gains equal temporary hit points equal. Demon can detach one or both tentacles as a bonus action. A creature including target can use its action to detach demon's tentacle by succeeding on a DC [SAVE_DC] Strength check.</t>
  </si>
  <si>
    <t>One target grappled by the [MON] takes [#dX] + [DMG_MOD] [DMG_TYPE] damage.</t>
  </si>
  <si>
    <t>The [MON] adopts a wide grappler's stance, which lasts [DURATION]. While the [MON] is in this stance, each creature that starts its turn grappled by the [MON] takes [#dX] + [DMG_MOD] [DMG_TYPE] damage.</t>
  </si>
  <si>
    <t>The [MON] attaches a symbiotic tether to a creature sitting in the recess in its back. A creature in the recess that isn't attached to the tether takes [#dX] + [DMG_MOD] [DMG_TYPE] damage at the end of the [MON]'s turn and the [MON] regains hit points equal to the damage dealt. While the tether is attached the creature is grappled by the [MON]. The [MON] or the creature can detach the tether as a bonus action. The [MON] can have its symbiotic tether attached to only one creature at a time.</t>
  </si>
  <si>
    <t>As a reaction when the [MON] is grappled by a creature, it rolls on top of the grappler and crushes it. The [MON] automatically escapes from the grapple and the grappler takes [#dX] + [DMG_MOD] [DMG_TYPE] damage.</t>
  </si>
  <si>
    <t>As a reaction when a creature misses the [MON] with a melee attack, the [MON] makes a weapon attack against that creature. On a hit, the target is impaled by the [MON]'s weapon and grappled (escape DC [SAVE_DC]). [DURATION], the [MON] can't make attacks with this weapon, but the target takes [#dX] + [DMG_MOD] [DMG_TYPE] damage plus [#dX] [DMG_TYPE] damage at the beginning of each of its turns.</t>
  </si>
  <si>
    <t>As a reaction when hit by a melee weapon attack, the [MON] can reduce the damage by [#dX] + [DMG_MOD]. If this reduces the damage to 0, the [MON] can catch the weapon if it has a free limb. To do so, it must make a Strength (Athletics) check, contested by the attacker's Strength (Athletics) or Dexterity (Acrobatics) check (target chooses). The [MON] has disadvantage on the check if the weapon is wielded by two or more hands. If the [MON] wins, it disarms the creature and can throw the weapon up to [#] ft in a random direction as part of the same reaction.</t>
  </si>
  <si>
    <t>Target</t>
  </si>
  <si>
    <t>The [MON] touches one creature other than itself. If the target is unwilling, the [MON] must make an attack roll using its [ABILITY]. [TGT_EFFECT].</t>
  </si>
  <si>
    <t>A creature that touches the [MON] must succeed on a DC [SAVE_DC] [ABILITY] saving throw or be poisoned.</t>
  </si>
  <si>
    <t>When a creature reduces the [MON] to 0 hit points that creature is cursed [DURATION] (DC [SAVE_DC] [ABILITY] negates).</t>
  </si>
  <si>
    <t>A creature that consumes the flesh of the [MON] must succeed on a DC [SAVE_DC] [ABILITY] saving throw or poisoned [DURATION].</t>
  </si>
  <si>
    <t>Each day it is more than 1 mile from its "birth" place, the [MON] must succeed on a DC [SAVE_DC] [ABILITY] saving throw or die.</t>
  </si>
  <si>
    <t>When a creature starts its turn in the [MON]'s space, it must succeed on a DC [SAVE_DC] [ABILITY] saving throw or be knocked prone.</t>
  </si>
  <si>
    <t>A creature that hits the [MON] with an attack must succeed on a DC [SAVE_DC] [ABILITY] saving throw or take [#dX] [DMG_TYPE] damage.</t>
  </si>
  <si>
    <t>A creature that starts its turn within [#] ft of a [MON] must succeed on a DC [SAVE_DC] [ABILITY] saving throw or contract [DISEASE].</t>
  </si>
  <si>
    <t>When the [MON] dies, each creature within [#] ft of it must succed on a DC [SAVE_DC] [ABILITY] saving throw or be blinded [DURATION].</t>
  </si>
  <si>
    <t>When the [MON] dies, each creature within [#] ft of it must succeed on a DC [SAVE_DC] [ABILITY] saving throw or be blinded [DURATION].</t>
  </si>
  <si>
    <t>The [MON] must succeed on a DC [SAVE_DC] [ABILITY] saving throw to make a true statement. On a failure, it tells an unpremeditated lie.</t>
  </si>
  <si>
    <t>When the [MON] dies, each creature within [#] ft of it must succeed on a DC [SAVE_DC] [ABILITY] saving throw or be paralyzed [DURATION].</t>
  </si>
  <si>
    <t>A creature that ends its turn within [#] ft of the [MON] must succeed on a DC [SAVE_DC] [ABILITY] saving throw or be poisoned [DURATION].</t>
  </si>
  <si>
    <t>A creature that hits the [MON] with a melee attack must succeed on a DC [SAVE_DC] [ABILITY] saving throw or take [#dX] [DMG_TYPE] damage.</t>
  </si>
  <si>
    <t>A creature that starts its turn within [#] ft of the [MON] must succeed on a DC [SAVE_DC] [ABILITY] saving throw or be charmed [DURATION].</t>
  </si>
  <si>
    <t>A creature that starts its turn within [#] ft of the [MON] must succeed on a DC [SAVE_DC] [ABILITY] saving throw or be blinded [DURATION].</t>
  </si>
  <si>
    <t>A creature that starts its turn within [#] ft of the [MON] must succeed on a DC [SAVE_DC] [ABILITY] saving throw or be poisoned [DURATION].</t>
  </si>
  <si>
    <t>If a creature remains within [#] ft of the [MON] [DURATION], it must succeed on a DC [SAVE_DC] [ABILITY] saving throw or contract [DISEASE].</t>
  </si>
  <si>
    <t>The [MON] can detect when a creature blasphemes within [#] ft of it unless the blasphemer succeeds on a DC [SAVE_DC] [ABILITY] saving throw.</t>
  </si>
  <si>
    <t>A creature that starts its turn within [#] ft of the [MON] must succeed on a DC [SAVE_DC] [ABILITY] saving throw or take [#dX] [DMG_TYPE] damage.</t>
  </si>
  <si>
    <t>A creature that starts its turn in the [MON]'s space must succeed on a DC [SAVE_DC] [ABILITY] saving throw or be blinded and deafened [DURATION].</t>
  </si>
  <si>
    <t>A living creature that starts its turn within [#] ft of the [MON] must succeed on a DC [SAVE_DC] [ABILITY] saving throw or be poisoned [DURATION].</t>
  </si>
  <si>
    <t>An undead creature that starts its turn within [#] ft of the [MON] must succeed on a DC [SAVE_DC] [ABILITY] saving throw or be stunned [DURATION].</t>
  </si>
  <si>
    <t>A creature that hits the [MON] with a bite attack or similar must succeed on a DC [SAVE_DC] [ABILITY] saving throw or take [#dX] [DMG_TYPE] damage.</t>
  </si>
  <si>
    <t>If a creature ends its turn with a [MON] attached to it, that creature must succeed on a DC [SAVE_DC] [ABILITY] saving throw or contract [DISEASE].</t>
  </si>
  <si>
    <t>A creature that touches the [MON] or consumes the meat of the [MON] must succeed on a DC [SAVE_DC] [ABILITY] saving throw or be poisoned [DURATION].</t>
  </si>
  <si>
    <t>Each hostile creature that starts its turn within [#] ft of the [MON] must succeed on a DC [SAVE_DC] [ABILITY] saving throw or be cursed [DURATION].</t>
  </si>
  <si>
    <t>A non-[MON] creature that starts its turn within [#] ft of the [MON] must succeed on a DC [SAVE_DC] [ABILITY] saving throw or be blinded [DURATION].</t>
  </si>
  <si>
    <t>When the [MON] dies, each creature within [#] ft of the [MON] must succeed on a DC [SAVE_DC] [ABILITY] saving throw or take [#dX] [DMG_TYPE] damage.</t>
  </si>
  <si>
    <t>When an undead creature starts its turn within [#] ft of the [MON], it must succeed on a DC [SAVE_DC] [ABILITY] saving throw or be turned [DURATION].</t>
  </si>
  <si>
    <t>When the [MON] takes damage from a critical hit, it must succeed on a [ABILITY] saving throw with a DC equal to the damage taken or be knocked prone.</t>
  </si>
  <si>
    <t>When the [MON] takes damage, each creature within [#] ft of it must succeed on a DC [SAVE_DC] [ABILITY] saving throw or take [#dX] [DMG_TYPE] damage.</t>
  </si>
  <si>
    <t>A non-undead creature that starts its turn within [#] ft of the [MON] must succeed on a DC [SAVE_DC] [ABILITY] saving throw or be poisoned [DURATION].</t>
  </si>
  <si>
    <t>When the [MON] emerges from under sand, each creature within [#] ft of it must make a DC [SAVE_DC] [ABILITY] saving throw, falling prone on a failure.</t>
  </si>
  <si>
    <t>A creature that hits the [MON] with a melee attack while within [#] ft of it must succeed a DC [SAVE_DC] [ABILITY] saving throw or be poisoned [DURATION].</t>
  </si>
  <si>
    <t>A creature that attempts to move out of or through the [MON]'s space must succeed on a DC [SAVE_DC] [ABILITY] saving throw or take [#dX] [DMG_TYPE] damage.</t>
  </si>
  <si>
    <t>If the [MON] moves at least [#] ft on a turn, each creature that can see it must succeed on a DC [SAVE_DC] [ABILITY] saving throw or be poisoned [DURATION].</t>
  </si>
  <si>
    <t>If the [MON] takes [#] or more [DMG_TYPE] damage on single turn each creature within [#] ft of it: infected with [DISEASE] (DC [SAVE_DC] [ABILITY] negates).</t>
  </si>
  <si>
    <t>When the [MON] takes damage, each creature within [#] ft of the [MON] must succeed on a DC [SAVE_DC] [ABILITY] saving throw or take [#dX] [DMG_TYPE] damage.</t>
  </si>
  <si>
    <t>A creature that deals slashing damage to the [MON] while within [#] ft of it must succeed on a DC [SAVE_DC] [ABILITY] saving throw or be poisoned [DURATION].</t>
  </si>
  <si>
    <t>A living creature that starts its turn within [#] ft of a [MON] must succeed on a DC [SAVE_DC] [ABILITY] saving throw or be slowed (as the spell) [DURATION].</t>
  </si>
  <si>
    <t>Each creature that starts its turn within [#] ft of the [MON] must succeed on a DC [SAVE_DC] [ABILITY] saving throw or have its speed reduced to 0 [DURATION].</t>
  </si>
  <si>
    <t>Each creature within [#] ft of the [MON] must succeed on a DC [SAVE_DC] [ABILITY] saving throw or take [#dX] [DMG_TYPE] damage and gain a level of exhaustion.</t>
  </si>
  <si>
    <t>A creature that starts its turn within [#] ft of the [MON] must succeed on a DC [SAVE_DC] [ABILITY] saving throw or be pushed up to [#] ft away from the [MON].</t>
  </si>
  <si>
    <t>When the [MON] emerges from hiding, creatures within [#] ft of its hiding place must succeed on a DC [SAVE_DC] [ABILITY] saving throw or be blinded [DURATION].</t>
  </si>
  <si>
    <t>A creature that starts its turn within [#] ft of the [MON] must succeed on a DC [SAVE_DC] [ABILITY] saving throw or have disadvantage on attack rolls [DURATION].</t>
  </si>
  <si>
    <t>Each creature within [#] ft of it when it dies: [#dX] [DMG_TYPE] damage and infected with [MON] spores disease (DC [SAVE_DC] [ABILITY] not poisoned or infected).</t>
  </si>
  <si>
    <t>Once per turn, when the [MON] hits a creature with a melee attack, it can force the target to make a DC [SAVE_DC] [ABILITY] saving throw or be stunned [DURATION].</t>
  </si>
  <si>
    <t>Whenever a creature that can see it starts its turn within [#] ft of the [MON], it must succeed on a DC [SAVE_DC] [ABILITY] saving throw or be charmed [DURATION].</t>
  </si>
  <si>
    <t>A creature that starts its turn or enters a space within [#] ft of the [MON] must succeed on a DC [SAVE_DC] [ABILITY] saving throw or take [#dX] [DMG_TYPE] damage.</t>
  </si>
  <si>
    <t>At the start of each of the [MON]'s turns, each creature within [#] ft of it must succeed on a DC [SAVE_DC] [ABILITY] saving throw or take [#dX] [DMG_TYPE] damage.</t>
  </si>
  <si>
    <t>At the end of a dopplerat encounter, every creature bitten by a [MON] or its duplicates must succeed on a DC [SAVE_DC] [ABILITY] saving throw or contract [DISEASE].</t>
  </si>
  <si>
    <t>When the [MON] dies, each creature within [#] ft of it must succeed on a DC [SAVE_DC] [ABILITY] saving throw or take [#dX] [DMG_TYPE] damage and contract [DISEASE].</t>
  </si>
  <si>
    <t>A creature that receives any kind of benefit or assistance from the [MON] must succeed on a DC [SAVE_DC] [ABILITY] saving throw or be slowed [DURATION], as the spell.</t>
  </si>
  <si>
    <t>When a hostile creature starts its turn within [#] ft of the [MON], the creature must succeed on a DC [SAVE_DC] [ABILITY] saving throw or take [#dX] [DMG_TYPE] damage.</t>
  </si>
  <si>
    <t>When a creature that can see the [MON] starts its turn within [#] ft of it, that creature must succeed on a DC [SAVE_DC] [ABILITY] saving throw or be blinded [DURATION].</t>
  </si>
  <si>
    <t>When a creature starts its turn within [#] ft of at least [#] [MON]s, the creature must succeed on a DC [SAVE_DC] [ABILITY] saving throw or take [#dX] [DMG_TYPE] damage.</t>
  </si>
  <si>
    <t>A creature that starts its turn within [#] ft of the [MON] and can hear it must succeed on a DC [SAVE_DC] [ABILITY] saving throw or be confused (as the spell) [DURATION].</t>
  </si>
  <si>
    <t>If the [MON] can see an incapacitated creature, the [MON] must succeed on a DC [SAVE_DC] [ABILITY] saving throw or be compelled to move toward that creature and attack it.</t>
  </si>
  <si>
    <t>When a creature hits the [MON] with a melee attack, each creature within [#] ft of the [MON] must succeed on a DC [SAVE_DC] [ABILITY] saving throw or be poisoned [DURATION].</t>
  </si>
  <si>
    <t>When the [MON] takes [DMG_TYPE] or [DMG_TYPE] damage, each creature within [#] ft of it must succeed on a DC [SAVE_DC] [ABILITY] saving throw or take [#dX] [DMG_TYPE] damage.</t>
  </si>
  <si>
    <t>A creature that starts its turn within [#] ft of the [MON] must succeed on a DC [SAVE_DC] [ABILITY] saving throw or have disadvantage on its next attack roll or ability check.</t>
  </si>
  <si>
    <t>When a creature starts turn in the [MON]'s space, it must succeed on a DC [SAVE_DC] [ABILITY] saving throw or take [#dX] [DMG_TYPE] damage and be unable to breathe [DURATION].</t>
  </si>
  <si>
    <t>When the [MON] is hit with a nonmagical melee weapon attack, each creature within [#] ft of it must succeed on a DC [SAVE_DC] [ABILITY] saving throw or be deafened [DURATION].</t>
  </si>
  <si>
    <t>A creature that touches the [MON] or that hits it with a melee attack while within [#] ft of it must succeed on a DC [SAVE_DC] [ABILITY] saving throw or be diseased [DURATION].</t>
  </si>
  <si>
    <t>A creature that starts its turn within [#] ft of the [MON] must succeed on a DC [SAVE_DC] [ABILITY] saving throw or be paralyzed by gnawing cold and crippling hunger [DURATION].</t>
  </si>
  <si>
    <t>A creature that touches the [MON] or hits it with a melee attack while within [#] ft of it must succeed on a DC [SAVE_DC] [ABILITY] saving throw or take [#dX] [DMG_TYPE] damage.</t>
  </si>
  <si>
    <t>Creatures in the path of the [MON]'s jump must succeed on a DC [SAVE_DC] [ABILITY] saving throw or take [#dX] [DMG_TYPE] damage plus [#dX] [DMG_TYPE] damage and be knocked prone.</t>
  </si>
  <si>
    <t>When a humanoid or xorn that can see the [MON] starts its turn within [#] ft of the [MON] creature must succeed on a DC [SAVE_DC] [ABILITY] saving throw or be charmed [DURATION].</t>
  </si>
  <si>
    <t>The [MON]'s wings shed blinding dust within [#] ft of it. Each creature that starts its in that area must succeed on a DC [SAVE_DC] [ABILITY] saving throw or be blinded [DURATION].</t>
  </si>
  <si>
    <t>The [MON] can contaminate liquids or food with poison. Someone who consumes the contaminated substance must succeed on a DC [SAVE_DC] [ABILITY] saving throw or be poisoned [DURATION].</t>
  </si>
  <si>
    <t>The first time the [MON] enters a creature's space on a turn, the creature takes [#dX] [DMG_TYPE] damage and must succeed on a DC [SAVE_DC] [ABILITY] saving throw or be knocked prone.</t>
  </si>
  <si>
    <t>A creature that starts its turn within [#] ft of the [MON] and that is maintaining concentration on a spell must succeed on a DC [SAVE_DC] [ABILITY] saving throw or lose concentration.</t>
  </si>
  <si>
    <t>When the [MON] dies, the runes on its body flash a bright green then turn to mundane malachite. Each creature within [#] ft of giant: cursed (DC [SAVE_DC] [ABILITY] negates) [DURATION].</t>
  </si>
  <si>
    <t>For each [DURATION] a creature spends within [#] ft of the [MON], the creature must succeed on a DC [SAVE_DC] [ABILITY] saving throw or suffer one level of exhaustion from cold exposure.</t>
  </si>
  <si>
    <t>A creature who hits a [MON] with a melee attack while within [#] ft of it must succeed on a DC [SAVE_DC] [ABILITY] saving throw or take [#dX] [DMG_TYPE] damage and be poisoned [DURATION].</t>
  </si>
  <si>
    <t>When a creature within [#] ft of the [MON] deals [DMG_TYPE] or [DMG_TYPE] damage to it, the creature must succeed on a DC [SAVE_DC] [ABILITY] saving throw or take [#dX] [DMG_TYPE] damage.</t>
  </si>
  <si>
    <t>A creature in the [MON]'s space must make a DC [SAVE_DC] [ABILITY] saving throw to leave its space. The creature has advantage on its save if the [MON] has half of its hit points or fewer.</t>
  </si>
  <si>
    <t>A creature that starts its turn within [#] ft of the [MON] and is maintaining concentration on a spell must succeed on a DC [SAVE_DC] [ABILITY] saving throw lose concentration on the spell.</t>
  </si>
  <si>
    <t>When the [MON] dies, each creature within [#] ft of it must make a DC [SAVE_DC] [ABILITY] saving throw, taking [#dX] [DMG_TYPE] damage on a failed save, or half as much damage on a success.</t>
  </si>
  <si>
    <t>When a creature moves within [#] ft of the [MON] or starts its turn there, it must succeed on a DC [SAVE_DC] [ABILITY] saving throw or take [#dX] [DMG_TYPE] damage and be poisoned [DURATION].</t>
  </si>
  <si>
    <t>When the [MON] dies, each creature within [#] ft of the [MON] that can hear it must succeed on a DC [SAVE_DC] [ABILITY] saving throw or take [#dX] [DMG_TYPE] damage and be deafened [DURATION].</t>
  </si>
  <si>
    <t>A creature that starts its turn within [#] ft of the [MON] must make a DC [SAVE_DC] [ABILITY] saving throw, taking [#dX] [DMG_TYPE] damage on a failed save, or half as much damage on a success.</t>
  </si>
  <si>
    <t>The [MON] radiates an aura of drunkenness to a radius of [#] ft. Every creature that starts its turn in the aura must succeed on a DC [SAVE_DC] [ABILITY] saving throw or be poisoned [DURATION].</t>
  </si>
  <si>
    <t>When the [MON] takes [DMG_TYPE], [DMG_TYPE], or [DMG_TYPE] damage, each creature within [#] ft of the [MON] must succeed on a DC [SAVE_DC] [ABILITY] saving throw or take [#dX] [DMG_TYPE] damage.</t>
  </si>
  <si>
    <t>Once per turn, when the [MON] scores a critical hit against a living creature that is surprised, that creature must succeed on a DC [SAVE_DC] [ABILITY] saving throw or be reduced to 0 hit points.</t>
  </si>
  <si>
    <t>If the [MON] dies while ablaze, it explodes in a burst of magma. Each creature within [#] ft of it must make a DC [SAVE_DC] [ABILITY] saving throw, taking [#dX] [DMG_TYPE] damage on a failed save.</t>
  </si>
  <si>
    <t>The first time a creature hits the [MON] with a melee attack while within [#] ft of it on its turn, the creature must succeed on a DC [SAVE_DC] [ABILITY] saving throw or take [#dX] [DMG_TYPE] damage.</t>
  </si>
  <si>
    <t>A creature that starts its turn within [#] ft of the [MON] must succeed on a DC [SAVE_DC] [ABILITY] saving throw or be incapacitated [DURATION]. Deafened creatures have advantage on this saving throw.</t>
  </si>
  <si>
    <t>When the [MON] is reduced to 0 hit points, it explodes in a burst of acid. Each creature within [#] ft of the [MON] must succeed on a DC [SAVE_DC] [ABILITY] saving throw or take [#dX] [DMG_TYPE] damage.</t>
  </si>
  <si>
    <t>When a creature that doesn't have all of its hit points starts its turn in the [MON]'s space, that creature must succeed on a DC [SAVE_DC] [ABILITY] saving throw or lose [#dX] hit points from blood loss.</t>
  </si>
  <si>
    <t>A creature that touches the [MON] or hits it with a melee attack exposes itself to the [MON]'s poisonous skin. The creature must succeed on a DC [SAVE_DC] [ABILITY] saving throw or be poisoned [DURATION].</t>
  </si>
  <si>
    <t>A creature that touches the [MON] or hits it with melee attack while within [#] ft of it takes [#dX] [DMG_TYPE] damage and must succeed on a DC [SAVE_DC] [ABILITY] saving throw or be paralyzed [DURATION].</t>
  </si>
  <si>
    <t>When an undead creature starts its turn within [#] ft of the [MON], it must make a DC [SAVE_DC] [ABILITY] saving throw, taking [#dX] [DMG_TYPE] damage on a failed save, or half as much damage on a success.</t>
  </si>
  <si>
    <t>A creature that touches the [MON] or hits it with a melee attack while within [#] ft of it must succeed on a DC [SAVE_DC] [ABILITY] saving throw or take [#dX] [DMG_TYPE] damage plus [#dX] [DMG_TYPE] damage.</t>
  </si>
  <si>
    <t>A living creature that starts its turn within [#] ft of the [MON] must succeed on a DC [SAVE_DC] [ABILITY] saving throw or have disadvantage on all saving throws against spells cast by any [MON] [DURATION].</t>
  </si>
  <si>
    <t>When the [MON] dies, each creature within [#] ft of it must succeed on a DC [SAVE_DC] [ABILITY] saving throw or take [#dX] [DMG_TYPE] damage and be pushed up to [#] ft away from the [MON] and knocked prone.</t>
  </si>
  <si>
    <t>If the [MON] moves at least [#] ft, it can jump up to [#] ft in any direction. If it lands within [#] ft of a creature, the creature must succeed on a DC [SAVE_DC] [ABILITY] saving throw or be knocked prone.</t>
  </si>
  <si>
    <t>When a beast, humanoid or fey creature begins its turn within [#] ft of the [MON], the creature must succeed on a DC [SAVE_DC] [ABILITY] saving throw or move as close as it can to the [MON] and end its turn.</t>
  </si>
  <si>
    <t>At the start of each of the [MON]'s turns, each creature within [#] ft of it that is currently maintaining concentration on a spell must succeed on a DC [SAVE_DC] [ABILITY] saving throw or lose concentration.</t>
  </si>
  <si>
    <t>A living creature that touches the [MON] or hits it with a melee attack while within [#] ft of it takes [#dX] [DMG_TYPE] damage, and must succeed on a DC [SAVE_DC] [ABILITY] saving throw or contract [DISEASE].</t>
  </si>
  <si>
    <t>Each creature that starts its turn within [#] ft of the [MON] or enters that area for the first time on its turn must succeed on a DC [SAVE_DC] [ABILITY] saving throw or have its speed reduced to 0 [DURATION].</t>
  </si>
  <si>
    <t>Eating the flesh of a [MON] requires a DC [SAVE_DC] [ABILITY] saving throw. If successful, the [MON] gains a divination spell. If failed, the victim vomits blood and fails the next saving throw made in combat.</t>
  </si>
  <si>
    <t>When a creature moves within [#] ft of the [MON] or starts its turn there, it must succeed on a DC [SAVE_DC] [ABILITY] saving throw or its speed is reduced by [#] ft until it starts its turn outside that area.</t>
  </si>
  <si>
    <t>When the [MON] dies, it releases its remaining spores. Each living creature within [#] ft of it must succeed on a DC [SAVE_DC] [ABILITY] saving throw or take [#dX] [DMG_TYPE] damage and be poisoned [DURATION].</t>
  </si>
  <si>
    <t>Any time the [MON] is hit in combat, thousands of tiny salt crystals erupt from its body. All creatures within [#] ft of the [MON] must succeed on a DC [SAVE_DC] [ABILITY] saving throw or be blinded [DURATION].</t>
  </si>
  <si>
    <t>At the start of each of the [MON]'s turns, each creature within [#] ft of it must make a DC [SAVE_DC] [ABILITY] saving throw, taking [#dX] [DMG_TYPE] damage on a failed save, or half as much damage on a success.</t>
  </si>
  <si>
    <t>When a creature that can see the [MON] starts its turn within [#] ft of the [MON], it must make a DC [SAVE_DC] [ABILITY] saving throw, unless the [MON] is incapacitated. On a failed save, the creature [OUTCOME].</t>
  </si>
  <si>
    <t>When the [MON] dies, it explodes in a plume of ennui. Each target within [#] ft of the [MON] must succeed on a DC [SAVE_DC] [ABILITY] saving throw or take [#dX] [DMG_TYPE] damage and gain one level of exhaustion.</t>
  </si>
  <si>
    <t>A creature that is concentrating on a spell and that starts its turn within [#] ft of the [MON] while the [MON] is in flight must succeed on a DC [SAVE_DC] [ABILITY] saving throw or lose concentration on the spell.</t>
  </si>
  <si>
    <t>Any creature riding the [MON] against its will must make a DC [SAVE_DC] [ABILITY] saving throw at the start of each of its turns, taking [#dX] [DMG_TYPE] damage on a failed save, or half as much damage on a success.</t>
  </si>
  <si>
    <t>Water within 1 mile of the [MON]'s lair is poisoned. A creature other than the [MON] that is immersed in the water or drinks the water must succeed on a DC [SAVE_DC] [ABILITY] saving throw or be poisoned [DURATION].</t>
  </si>
  <si>
    <t>When a creature casts a spell with verbal component while within [#] ft of the [MON], it must succeed on a DC [SAVE_DC] [ABILITY] saving throw or fail to cast the spell, wasting its action and losing the spell slot.</t>
  </si>
  <si>
    <t>At the start of each of the [MON]'s turns, each creature within [#] ft of it takes [#dX] [DMG_TYPE] damage and must succeed on a DC [SAVE_DC] [ABILITY] saving throw or have disadvantage on its next melee attack roll.</t>
  </si>
  <si>
    <t>If the [MON] moves at least [#] ft straight toward a creature before hitting it with a melee attack, the target takes an extra [#dX] damage and must succeed on a DC [SAVE_DC] [ABILITY] saving throw or be knocked prone.</t>
  </si>
  <si>
    <t>A living creature that is injured by or makes physical contact with a creature carrying the white ghost shivers must succeed on a DC [SAVE_DC] [ABILITY] saving throw at the end of the encounter to avoid becoming infected.</t>
  </si>
  <si>
    <t>At the start of its turn, if a creature can see the [MON], it must succeed on a DC [SAVE_DC] [ABILITY] saving throw or be overcome with a desire to kill and eat the ghost, and it must move as close to the [MON] as it can.</t>
  </si>
  <si>
    <t>If the [MON] is knocked prone, each creature in its space or within [#] ft of it must succeed on a DC [SAVE_DC] [ABILITY] saving throw, taking [#dX] [DMG_TYPE] damage on a failed save, or half as much damage on a success.</t>
  </si>
  <si>
    <t>A creature that starts its turn in the [MON]'s space must succeed on a DC [SAVE_DC] [ABILITY] saving throw or take [#dX] [DMG_TYPE] damage and have its hit point max reduced by an amount equal to the necrotic damage taken.</t>
  </si>
  <si>
    <t>A creature that touches the [MON] or hits it with an attack causes spores to spew out of the [MON] in a [#] ft radius. Each creature in that area must succeed on a DC [SAVE_DC] [ABILITY] saving throw or contract [DISEASE].</t>
  </si>
  <si>
    <t>The [MON] babbles constantly. A living non-aberration creature that starts its turn within [#] ft of the [MON] and can hear it must succeed on a DC [SAVE_DC] [ABILITY] saving throw or be confused (as the spell) [DURATION].</t>
  </si>
  <si>
    <t>When a creature starts its turn within [#] ft of the [MON], it must succeed on a DC [SAVE_DC] [ABILITY] saving throw or be charmed [DURATION]. If the [MON] or one of its allies harms the charmed creature, this effect ends.</t>
  </si>
  <si>
    <t>When the [MON] dies, its infernal battery explodes. Creatures within [#] ft of the [MON] must make a DC [SAVE_DC] [ABILITY] saving throw, taking [#dX] [DMG_TYPE] damage on a failed save, or half as much damage on a success.</t>
  </si>
  <si>
    <t>When the [MON] dies, each creature within [#] ft of the [MON] must make a DC [SAVE_DC] [ABILITY] saving throw, taking [#dX] [DMG_TYPE] damage plus [#dX] [DMG_TYPE] damage on a failed save, or half as much damage on a success.</t>
  </si>
  <si>
    <t>The [MON]'s body is covered in horns, eyes, and fanged maws. Each creature of the [MON]'s choice that is within [#] ft of it and is aware of it must succeed on a DC [SAVE_DC] [ABILITY] saving throw or be frightened [DURATION].</t>
  </si>
  <si>
    <t>When the [MON] dies, each creature within [#] ft of the [MON] must succeed on a DC [SAVE_DC] [ABILITY] saving throw or take [#dX] [DMG_TYPE] damage plus [#dX] [DMG_TYPE] damage. The [MON]s damaged by this trait don't Reproduce.</t>
  </si>
  <si>
    <t>If damage reduces the [MON] to 0 hit points, it must make a [ABILITY] saving throw with a DC equal to 5 + the damage taken, unless the damage is radiant or from a critical hit. On a success, the [MON] drops to 1 hit point instead.</t>
  </si>
  <si>
    <t>If the [MON] is knocked prone, it lands upside down and is incapacitated. At the end of each of its turns, it can make a DC [SAVE_DC] [ABILITY] saving throw, flipping itself over and ending the incapacitated condition on a success.</t>
  </si>
  <si>
    <t>A creature that starts its turn within [#] ft of the [MON] and that can see it must succeed on a DC [SAVE_DC] [ABILITY] saving throw or be unable to make more than one attack on its turn or use bonus actions or reactions [DURATION].</t>
  </si>
  <si>
    <t>Fire damage melts some of the ice covering the [MON], unleashing its horrific stench. Each creature within [#] ft of the [MON] when it takes fire damage must succeed on a DC [SAVE_DC] [ABILITY] saving throw or be poisoned [DURATION].</t>
  </si>
  <si>
    <t>A creature that touches the [MON] or hits it with melee attack while within [#] ft of it takes [#dX] + [DMG_MOD] [DMG_TYPE] damage, and if the target is a humanoid it must make a DC [SAVE_DC] [ABILITY] saving throw or contract [DISEASE].</t>
  </si>
  <si>
    <t>The [MON] makes its home in grime and muck and is covered in filth. A creature that touches the [MON] or hits it with a melee attack while within [#] ft of it must succeed on a DC [SAVE_DC] [ABILITY] saving throw or be poisoned [DURATION].</t>
  </si>
  <si>
    <t>The [MON] projects a [#] ft aura of desiccating thirst. The first time a creature enters the aura on its turn, or when it starts its turn in the aura, it must succeed on a DC [SAVE_DC] [ABILITY] saving throw or gain one level of exhaustion.</t>
  </si>
  <si>
    <t>A creature that starts its turn within [#] ft of the [MON] must succeed on a DC [SAVE_DC] [ABILITY] saving throw or be restrained by the [MON]'s tentacles [DURATION]. On its turn, the [MON] can ignore or freely release a restrained creature.</t>
  </si>
  <si>
    <t>If a creature communicates telepathically with the [MON], or uses a psychic attack against it, the [MON] can spread its disease to the creature. The creature must succeed on a DC [SAVE_DC] [ABILITY] saving throw or be infected with [DISEASE].</t>
  </si>
  <si>
    <t>Each hour the [MON] is fully immersed in water, it poisons up to 10 gallons of water. A creature that drinks this poisoned water must succeed on a DC [SAVE_DC] [ABILITY] saving throw or take [#dX] [DMG_TYPE] damage and be poisoned [DURATION].</t>
  </si>
  <si>
    <t>When a creature within [#] ft of the [MON] regains hit points through any means other than resting, it must succeed on a DC [SAVE_DC] [ABILITY] saving throw or take [#dX] [DMG_TYPE] damage and have disadvantage on its next death saving throw.</t>
  </si>
  <si>
    <t>When the [MON] takes piercing or slashing damage, noxious vapors burst from its distended stomach. Each creature within [#] ft of it must succeed on a DC [SAVE_DC] [ABILITY] saving throw or take [#dX] [DMG_TYPE] damage, and be poisoned [DURATION].</t>
  </si>
  <si>
    <t>When the bodily fluid of an infected creature touches a humanoid or when an infected creature casts a spell (direct or indirect) on a humanoid, that humanoid must succeed on a DC [SAVE_DC] [ABILITY] saving throw or be infected with arcane wasting.</t>
  </si>
  <si>
    <t>A cloud of green mist with a diameter of 1 mile and height of [#] ft is centered on the [MON]. For each day a creature spends in the mist, it must succeed on a DC [SAVE_DC] [ABILITY] saving throw or increase in age by 5 percent of its total life span.</t>
  </si>
  <si>
    <t>Whenever the [MON] starts its turn inside magical darkness, it must make a DC [SAVE_DC] [ABILITY] saving throw, taking [#dX] [DMG_TYPE] damage on a failed save, or half as much damage on a success. Natural darkness is unpleasant to it, but not harmful.</t>
  </si>
  <si>
    <t>A creature in a space occupied by the [MON] has its speed reduced by half, and must succeed on a DC [SAVE_DC] [ABILITY] saving throw or be blinded. Both effects end when the creature doesn't share a space with the [MON] at the end of the creature's turn.</t>
  </si>
  <si>
    <t>A [MON] who begins its turn within [#] ft of burning incense must succeed on a DC [SAVE_DC] [ABILITY] saving throw or have disadvantage on attack rolls [DURATION]. The [MON] can't voluntarily move toward the incense. Burning old shoes has the same effect.</t>
  </si>
  <si>
    <t>If a creature has three or more [MON] attached to it from a bite attack at the end of its turn, the creature must succeed on a DC [SAVE_DC] [ABILITY] saving throw or its Constitution score is reduced by [#dX] as the [MON]s feast upon the creature's flesh.</t>
  </si>
  <si>
    <t>A creature within [#] ft of the [MON] who meets the [MON]'s gaze must succeed on a DC [SAVE_DC] [ABILITY] saving throw or be blinded. If a creature's saving throw is successful or if the effect ends for it, the creature is immune to this effect [DURATION].</t>
  </si>
  <si>
    <t>When the [MON] is destroyed, its core explodes, projecting superheated steam and shrapnel. Each creature within [#] ft of it must make a DC [SAVE_DC] [ABILITY] saving throw, taking [#dX] [DMG_TYPE] damage on a failed save, or half as much damage on a success.</t>
  </si>
  <si>
    <t>Each creature other than a [MON] within [#] ft of the [MON] when it takes damage must succeed on a DC [SAVE_DC] [ABILITY] saving throw or be blinded [DURATION]. On a successful saving throw, the creature is immune to the Tearful Stench of all [MON]s [DURATION].</t>
  </si>
  <si>
    <t>If the [MON] moves at least [#] ft straight toward a creature before hitting it with a melee attack, the target takes an extra [#dX] damage and must succeed on a DC [SAVE_DC] [ABILITY] saving throw or be pushed up to [#] ft away from the [MON] and knocked prone.</t>
  </si>
  <si>
    <t>Any creature hostile to the [MON] that starts its turn within [#] ft of the [MON] must succeed on a DC [SAVE_DC] [ABILITY] saving throw or have disadvantage on all attack rolls [DURATION]. Creatures with Intelligence 3 or lower automatically fail the saving throw.</t>
  </si>
  <si>
    <t>If a creature starts its turn within [#] ft of a [MON], it is overwhelmed by a hunger that dissolves fat and atrophies muscle. It must make a DC [SAVE_DC] [ABILITY] saving throw, taking [#dX] [DMG_TYPE] damage on a failed save, or half as much damage on a success.</t>
  </si>
  <si>
    <t>The [MON] produces a faint, nauseating gas. Any creature that starts its turn within [#] ft of the [MON] must succeed on a DC [SAVE_DC] [ABILITY] saving throw or take [#dX] [DMG_TYPE] damage. The area within [#] ft of the [MON] is lightly obscured by the thin gas.</t>
  </si>
  <si>
    <t>When the [MON] is reduced to 0 hit points, it explodes in a spray of silver pieces. Each hostile creature within [#] ft of the [MON] must succeed on a DC [SAVE_DC] [ABILITY] saving throw or take [#dX] [DMG_TYPE] damage. The silver pieces disappear after [DURATION].</t>
  </si>
  <si>
    <t>If the [MON] has half its hit points or fewer and takes any fire damage, it dies explosively. Each creature within [#] ft of the [MON] must make a DC [SAVE_DC] [ABILITY] saving throw, taking [#dX] [DMG_TYPE] damage on a failed save, or half as much damage on a success.</t>
  </si>
  <si>
    <t>Whenever the [MON] is subjected to [DMG_TYPE] damage, it takes no damage, but it must succeed on a DC [SAVE_DC] [ABILITY] saving throw or be frightened of the source of the damage [DURATION]. This trait overrides the [MON]'s normal immunity to the frightened condition.</t>
  </si>
  <si>
    <t>While burning gives off poisonous fumes. A creature that starts its turn within [#] ft of the [MON] while it is burning must succeed on a DC [SAVE_DC] [ABILITY] saving throw or be poisoned as it remains within [#] ft of the [MON] and [DURATION] after it leaves the area.</t>
  </si>
  <si>
    <t>When the [MON] takes damage, it uses its reaction to target a [#] ft cone. Each creature in that area make a DC [SAVE_DC] [ABILITY] saving throw, taking [#dX] [DMG_TYPE] damage on a failure and half as much damage on a success. The [MON] then takes [#dX] [DMG_TYPE] damage.</t>
  </si>
  <si>
    <t>Whenever the [MON] takes [DMG_TYPE], [DMG_TYPE], {DMG_TYPE], or [DMG_TYPE] damage, all creatures within [#] ft of the [MON] must make a DC [SAVE_DC] [ABILITY] saving throw, taking damage equal to the damage the [MON] took on a failed save, or half as much damage on a success.</t>
  </si>
  <si>
    <t>A creature that starts its turn within [#] ft of the [MON] must succeed on a DC [SAVE_DC] [ABILITY] saving throw or take [#dX] [DMG_TYPE] damage, and can move or use an action on its turn, but not both. On a success, the creature gains the benefits of the haste spell [DURATION].</t>
  </si>
  <si>
    <t>If the [MON] scores a critical hit against a target wearing metal armor, the target must succeed on a DC [SAVE_DC] [ABILITY] saving throw or its armor is destroyed. A creature wearing magical armor has advantage on this saving throw. A creature wearing adamantine armor is unaffected.</t>
  </si>
  <si>
    <t>A creature that sees or interacts with a [MON] must make a DC [SAVE_DC] [ABILITY] saving throw [DURATION] after the [MON] leaves. On a failure, the details of the [MON] and the events surrounding its appearance rapidly fade away from the creature's mind, including the presence of the [MON].</t>
  </si>
  <si>
    <t>A creature that starts its turn within [#] ft of a non-incapacitated [MON] must succeed on a DC [SAVE_DC] [ABILITY] saving throw, or have its breath stolen; it takes [#dX] [DMG_TYPE] damage, and [DURATION], it can't cast spells that require a verbal component or speak louder than a whisper.</t>
  </si>
  <si>
    <t>Each creature other than an alliumite or garlicle within [#] ft of the alliumite when it takes damage must succeed on a DC [SAVE_DC] [ABILITY] saving throw or be blinded [DURATION]. On a successful save the creature has advantage against The Overpowering Stench of all alliumites [DURATION].</t>
  </si>
  <si>
    <t>If a creature listens to the [MON] speak for at least [DURATION], it must succeed on a DC [SAVE_DC] [ABILITY] saving throw or forget a specific event of the [MON]'s choice that took place within the past [DURATION]. On a success, a creature is aware that the [MON] tried to modify its memory.</t>
  </si>
  <si>
    <t>When the [MON] scores a critical hit or starts its turn with a foe grappled, it can dissolve one metal or wood item of its choosing in that foe's possession. A mundane item is destroyed automatically; a magical item survives if its owner must succeed on a DC [SAVE_DC] [ABILITY] saving throw.</t>
  </si>
  <si>
    <t>A creature that starts its turn in the [MON]'s space must succeed on a DC [SAVE_DC] [ABILITY] saving throw or be distracted by the [MON]'s luminous eyes and fluttering wings [DURATION]. A distracted creature has disadvantage on Wisdom (Perception) checks and on attack rolls against the [MON].</t>
  </si>
  <si>
    <t>The [MON]'s presence causes devout followers to doubt their faith. A cleric or paladin that can see the [MON] and wishes to cast a spell or use a class feature must succeed on a DC [SAVE_DC] [ABILITY] saving throw or the spell or class feature is spent as if it was used, but it has no effect.</t>
  </si>
  <si>
    <t>If a [MON] is reduced to 0 hit points, it explodes, leaving behind its small, pyramidal chest cavity. Each creature within [#] ft of the [MON] when it explodes must make a DC [SAVE_DC] [ABILITY] saving throw, taking [#dX] [DMG_TYPE] damage on a failed save, or half as much damage on a success.</t>
  </si>
  <si>
    <t>A creature that the [MON] can see or hear and that is within [#] ft of it can attempt to distract the [MON] as a bonus action. The [MON] must succeed on a DC [SAVE_DC] [ABILITY] saving throw or spend its next turn moving up to its speed toward the creature using its available actions on that creature.</t>
  </si>
  <si>
    <t>If an effect moves the [MON] against its will while a creature is on it, the creature must succeed on a DC [SAVE_DC] [ABILITY] saving throw or fall off the [MON], landing prone in a space within [#] ft of it. If a rider is knocked prone or unconscious while mounted, it must make the same saving throw.</t>
  </si>
  <si>
    <t>When a creature within [#] ft of the [MON] that isn't an undead or a construct takes [DMG_TYPE] or [DMG_TYPE] damage, it must succeed on a DC [SAVE_DC] [ABILITY] saving throw or take an extra [#dX] damage of that type. The [MON]'s Blood Reservoir increases by an amount equal to the extra damage dealt.</t>
  </si>
  <si>
    <t>Every time the [MON] takes piercing or slashing damage, a spray of caustic blood spurts from the wound toward the attacker. This spray forms a line [#] ft long and 5 ft wide. The first creature in the line must succeed on a DC [SAVE_DC] [ABILITY] saving throw against disease or be infected by [DISEASE].</t>
  </si>
  <si>
    <t>When the [MON] is flying, its wispy, electrified tendrils dangle beneath it and touch all creatures within [#] ft of it directly below its space as it moves. Any creatures in the path of its movement take [#dX] [DMG_TYPE] damage, or half as much damage with a successful DC [SAVE_DC] [ABILITY] saving throw.</t>
  </si>
  <si>
    <t>A creature that starts its turn within [#] ft of the [MON] must succeed on a DC [SAVE_DC] [ABILITY] saving throw or be incapacitated [DURATION] as it hears imaginary murmurings and sees movement in its peripheral vision. On success creature has advantage on saves against The Distraction of all [MON]s [DURATION].</t>
  </si>
  <si>
    <t>If a humanoid that hasn't harmed the [MON] in the last [DURATION] uses an action to offer it a bit of food or speak kind words to it, the [MON] must succeed on a DC [SAVE_DC] [ABILITY] saving throw or be charmed by that humanoid [DURATION] or until the humanoid or its companions do anything harmful to the [MON].</t>
  </si>
  <si>
    <t>The [MON] emits a magical aura of lethargy and despondency. Any creature that starts its turn within [#] ft of the [MON] must succeed on a DC [SAVE_DC] [ABILITY] saving throw or fall unconscious [DURATION]. The effect ends for a creature if the creature takes damage or another creature uses an action to wake it.</t>
  </si>
  <si>
    <t>Whenever the [MON] moves into a creature's space or starts its turn in another creature's space, that other creature must succeed on a DC [SAVE_DC] [ABILITY] saving throw or be knocked prone. A prone creature must succeed on a DC [SAVE_DC] Dexterity (Acrobatics) check to stand up in a space occupied by the [MON].</t>
  </si>
  <si>
    <t>When the [MON] takes damage other than acid damage, corrosive ectoplasm bursts from its distended stomach. The [MON] takes [#dX] [DMG_TYPE] damage, and all creatures within [#] ft of it must make a DC [SAVE_DC] [ABILITY] saving throw, taking [#dX] [DMG_TYPE] damage on a failed save, or half as much damage on a success.</t>
  </si>
  <si>
    <t>When the [MON] scores a critical hit or starts its turn with a foe grappled, it can dissolve one leather, metal, or wood item of its choosing in the possession of the target creature. A mundane item is destroyed automatically; a magical item is destroyed if its owner fails to succeed on a DC [SAVE_DC] [ABILITY] saving throw.</t>
  </si>
  <si>
    <t>A creature that touches the [MON] while wearing metal or hits it with a melee attack with a metal weapon takes [#dX] [DMG_TYPE] damage and triggers a lightning storm. All creatures within [#] ft of the [MON] that are holding or wearing metal must succeed on a DC [SAVE_DC] [ABILITY] saving throw or take [#dX] [DMG_TYPE] damage.</t>
  </si>
  <si>
    <t>An [MON] is inherently fearful of fire. If presented forcefully with fire or if it is dealt fire the [MON] must succeed on a DC [SAVE_DC] [ABILITY] saving throw or be frightened [DURATION]. Once it has been frightened by a specific source of fire (such as a torch) the [MON] can't be frightened by that same source again [DURATION].</t>
  </si>
  <si>
    <t>Any object that touches or hits the [MON] vaporizes. If the object is being worn or carried by a creature, the creature can make a DC [SAVE_DC] [ABILITY] saving throw to prevent the object from being vaporized. If the object is magical, the creature has advantage on the saving throw. The [MON] can choose to not vaporize an object.</t>
  </si>
  <si>
    <t>A creature that has received assistance, such as food or healing, from the [MON] must succeed on a DC [SAVE_DC] [ABILITY] saving throw or be affected by the geas spell [DURATION]. While under the geas, the affected creature must assist nonhostile creatures suffering from injury or exhaustion by alleviating the injury or exhaustion.</t>
  </si>
  <si>
    <t>The [MON] emits a constant, demoralizing cackle. When a creature that isn't an undead or a construct starts its turn within [#] ft of the [MON] and can hear the [MON], it must succeed on a DC [SAVE_DC] [ABILITY] saving throw or feel demoralized by the [MON]'s cackling. A demoralized creature has disadvantage on attack rolls [DURATION].</t>
  </si>
  <si>
    <t>Any food or water that comes into contact with the [MON] immediately decays and becomes inedible or undrinkable. If a creature consumes such food or drink it must succeed on a DC [SAVE_DC] [ABILITY] saving throw or take [#dX] [DMG_TYPE] damage and be poisoned [DURATION]. On a success, it takes half as much damage and is poisoned [DURATION].</t>
  </si>
  <si>
    <t>If the [MON] engages at least one creature in conversation for at least [DURATION], it can perform a prophetic display, reading cards, throwing bones, speaking to a crystal ball, or similar. Each creature that can see or hear the prophetic display must succeed on a DC [SAVE_DC] [ABILITY] saving throw or be cursed and believe it will soon die.</t>
  </si>
  <si>
    <t>The [MON] has [#] limbs. While it has more than [#] limbs, the [MON] is immune to being knocked prone or restrained. Whenever the [MON] takes [#] or more damage in a single turn, one of its limbs is destroyed. Each time a limb is destroyed after the [#]th one, the [MON] must succeed on a DC [SAVE_DC] [ABILITY] saving throw or be knocked prone.</t>
  </si>
  <si>
    <t>When a creature hits the [MON] with a slashing or piercing melee weapon, the creature must succeed on a DC [SAVE_DC] [ABILITY] saving throw, or its weapon becomes stuck to the [MON]'s shell. While the weapon is stuck, it can't be used. A creature can pull the weapon free by taking an action to make a DC [SAVE_DC] Strength check and succeeding.</t>
  </si>
  <si>
    <t>When a creature hits the [MON] with a weapon, it must succeed on a DC [SAVE_DC] [ABILITY] saving throw or the weapon sticks to the [MON]. A stuck weapon can't be used. A creature can take its action to remove one object from the [MON] by succeeding on a DC [SAVE_DC] Strength check. As a bonus action, the [MON] can release one weapon stuck to it.</t>
  </si>
  <si>
    <t>Each creature in the same water as the [MON] and that starts its turn within [#] ft of the [MON] must succeed on a DC [SAVE_DC] [ABILITY] saving throw or be poisoned while within this aura and [DURATION] after it leaves. A poisoned creature that starts its turn outside the aura can repeat this saving throw, ending the effect on itself on a success.</t>
  </si>
  <si>
    <t>A creature that enters a space within [#] ft of the [MON] or that starts its turn there must succeed on a DC [SAVE_DC] [ABILITY] saving throw or be affected as if by the calm emotions spell while it remains within [#] ft of the [MON]. This effect ends if the creature is attacked or harmed by a spell or if it witnesses any of its allies being harmed.</t>
  </si>
  <si>
    <t>When the [MON] is reduced to 0 hit points, it explodes into shards of hot stone and fire. Each creature within [#] ft of it must make a DC [SAVE_DC] [ABILITY] saving throw, taking [#dX] [DMG_TYPE] damage on a failed save, or half as much damage on a success. A [MON] is not immune to the fire damage of another [MON]'s death burst and doesn't absorb it.</t>
  </si>
  <si>
    <t>Whenever the [MON] is subjected to bludgeoning damage, it takes no damage, and instead is pushed up to [#] ft away from the source of the bludgeoning damage. If the [MON] is subjected to bludgeoning damage while attached to a creature, the [MON] must succeed on a DC [SAVE_DC] [ABILITY] saving throw or detach from the creature and be pushed [#] ft away.</t>
  </si>
  <si>
    <t>If a creature that breathes air starts its turn in [MON]'s space it must make a DC [SAVE_DC] [ABILITY] saving throw or begin suffocating as its lungs fill with the poisonous air emitted by the [MON]. Suffocation lasts until creature ends its turn in a space not occupied by [MON] or [DURATION]. When the suffocation ends the creature is poisoned [DURATION].</t>
  </si>
  <si>
    <t>A [MON] that has completed a Void henge gains necrotic energy while within 1 mile of the henge. At the start of each of the [MON]'s turns each creature within [#] ft of it must succeed on a DC [SAVE_DC] [ABILITY] saving throw or take [#dX] [DMG_TYPE] damage. The [MON] can choose for a creature it is grappling to be immune to the Tainted Auras of all [MON]s.</t>
  </si>
  <si>
    <t>Any creature that begins its turn within [#] ft of the [MON] must succeed on a DC [SAVE_DC] Charisma saving throw or be cursed, losing its resolve in important oaths it has taken. While cursed, creature has disadvantage on [ABILITY] saving throws to maintain concentration and can't add its proficiency bonus to ability checks and saves in which it is proficient.</t>
  </si>
  <si>
    <t>A creature that moves within [#] ft of the [MON] for the first time on a turn or starts its turn there must succeed on a DC [SAVE_DC] [ABILITY] saving throw or be unable to speak a deliberate lie until it starts its turn more than [#] ft away from the [MON]. Affected creatures are aware of this effect, and the [MON] knows whether or not a creature failed on the save.</t>
  </si>
  <si>
    <t>The [MON] can be commanded to rapidly burn through the remains of its wick, creating a devastating fireball. All creatures within [#] ft of the [MON] must make a DC [SAVE_DC] [ABILITY] saving throw, taking [#dX] [DMG_TYPE] damage on a failed save, or half as much damage with a success. The fire spreads around corners. The [MON] is reduced to a lifeless puddle of wax.</t>
  </si>
  <si>
    <t>The [MON]'s alchemical flame reservoir explodes when the construct is destroyed, spraying nearby creatures with burning fuel. A creature within [#] ft of the [MON] takes [#dX] [DMG_TYPE] damage, or half as much damage with a successful DC [SAVE_DC] [ABILITY] saving throw. This explosion doesn't occur if the [MON] has already fired its alchemical flame jet four times.</t>
  </si>
  <si>
    <t>A creature who touches the [MON] or hits hits it with an attack while within [#] ft of it must succeed on a DC [SAVE_DC] [ABILITY] saving throw or take [#dX] [DMG_TYPE] damage. This acidic matter continues doing [#dX] [DMG_TYPE] damage at the start of each of the creature's turns until it or an adjacent ally uses an action to wipe off the tears or three rounds elapse.</t>
  </si>
  <si>
    <t>Each creature that starts its turn within [#] ft of the [MON] must succeed on a DC [SAVE_DC] [ABILITY] saving throw or be unable to correctly judge the distance between itself and its surroundings [DURATION]. An affected creature has disadvantage on attack rolls and on Wisdom (Perception) checks that rely on sight, and it can't move more than half its speed on its turn.</t>
  </si>
  <si>
    <t>A creature who makes eye contact with the [MON] must make a DC [SAVE_DC] [ABILITY] saving throw. If it rolls a natural 1, it is petrified instantly. Otherwise, on a failure, it is restrained as it begins to petrify. A restrained creature can repeat this saving throw at the end of its next turn, ending the effect on itself on a success, or becoming petrified on a failure.</t>
  </si>
  <si>
    <t>When the [MON] is hit with a melee attack, the attacker's weapon bes stuck to the web fluid secreted from its scales. If the attacker didn't use a weapon, it must succeed on a DC [SAVE_DC] [ABILITY] saving throw or be restrained in the webbing. As an action, a creature can make a DC [SAVE_DC] Strength check, escaping or freeing its weapon from the secretions on a success.</t>
  </si>
  <si>
    <t>A creature that starts its turn within [#] ft of the [MON] must succeed on a DC [SAVE_DC] [ABILITY] saving throw or feel lethargic [DURATION]. While lethargic, a creature can't use reactions, its speed is halved, and it can't make more than one melee or ranged attack on its turn. In addition, the creature can use either an action or a bonus action on its turn, but not both.</t>
  </si>
  <si>
    <t>Cold air surrounds the [MON]. Small non-magical flames are extinguished in its presence and water begins to freeze. Unprotected characters spending more than [DURATION] within [#] ft of its must succeed on a DC [SAVE_DC] [ABILITY] saving throw or suffer as if exposed to severe cold. Spells that grant protection from cold damage are targeted by an automatic dispel magic effect.</t>
  </si>
  <si>
    <t>When the [MON] is slain, it is reborn in a burst of energy in a [#] ft radius from its body. Roll any die. On an even result, the energy causes plants to grow, and creatures in that area regain [#dX] hit points. On an odd result, creatures in that area must make a DC [SAVE_DC] [ABILITY] saving throw, taking [#dX] [DMG_TYPE] damage on a failed save, or half as much damage on a success.</t>
  </si>
  <si>
    <t>At the start of the [MON]'s turn, a syringe on its back injects it with an alchemical infusion, which lasts [DURATION]. The [MON] takes [#dX] [DMG_TYPE] damage when it activates this infusion. The [MON] can breathe poison as an action. In addition, any creature that starts its turn within [#] ft of the [MON] must succeed on a DC [SAVE_DC] [ABILITY] saving throw or be poisoned [DURATION].</t>
  </si>
  <si>
    <t>Any creature that starts its turn within [#] ft of the [MON] must succeed on a DC [SAVE_DC] [ABILITY] saving throw or grow hostile. On its turn, a hostile creature must move to and make one attack against the nearest creature other than the [MON]. If no other creature is near enough to move to and attack, the hostile creature stalks off in a random direction, seeking a target for its hostility.</t>
  </si>
  <si>
    <t>Once on its turn, the [MON] can use half its movement to step into the dreams of a sleeping creature within [#] ft of it. It emerges from the dreams of another sleeper within 1 mile of the first creature, appearing in an unoccupied space within [#] ft of the second. Each sleeper must succeed on a DC [SAVE_DC] [ABILITY] saving throw or suffer a level of exhaustion as nightmares prevent restful sleep.</t>
  </si>
  <si>
    <t>The [MON] must stay at least 5 ft away from a brandished holy symbol or a burning sprig of wolf's bane, and it can't touch or make melee attacks against a creature holding one of these items. After 1 round, the [MON] can make a DC [SAVE_DC] [ABILITY] saving throw at the start of each of its turns; if the save succeeds, the [MON] temporarily overcomes its superstition and these restrictions are lifted [DURATION].</t>
  </si>
  <si>
    <t>At the start of each of the [MON]'s turns, each creature grappled by it must succeed on a DC [SAVE_DC] [ABILITY] saving throw or gain 1 level of exhaustion. If a creature's saving throw is successful or the effect ends for it, the creature is immune to this effect [DURATION] (but any levels of exhaustion already gained remain in effect). For every level of exhaustion drained, the [MON] gains 5 temporary hit points.</t>
  </si>
  <si>
    <t>The [MON] is surrounded by a whirling nimbus of tiny motes of starlight. A sighted creature that starts its turn within [#] ft of the [MON] must succeed on a DC [SAVE_DC] [ABILITY] saving throw or be incapacitated. At the start of a character's turn, a character can choose to avert its eyes and gain immunity against this effect [DURATION], but it must treat the [MON] as invisible while the character's eyes are averted.</t>
  </si>
  <si>
    <t>A creature that touches the [MON] or hits it with a melee attack using a metal weapon must succeed on a DC [SAVE_DC] [ABILITY] saving throw or attract lightning [DURATION]. For the duration, attacks that cause lightning damage have advantage against this creature, the creature has disadvantage on saving throws against lightning damage and lightning effects, and if the creature takes lightning damage, it is paralyzed [DURATION].</t>
  </si>
  <si>
    <t>When a [MON] dies, it explodes in a surge of partially-digested magical energy. Each creature within [#] ft of it per Feed score must make a DC [SAVE_DC] [ABILITY] saving throw, taking [#dX] [DMG_TYPE] damage per Feed score on a failed save, or half as much damage on a success. [DURATION] afterward, the affected area is awash with volatile magic. A creature that starts its turn in the affected area takes [#dX] [DMG_TYPE] damage.</t>
  </si>
  <si>
    <t>When a creature hits the [MON] with a bludgeoning or piercing weapon, the creature must succeed on a DC [SAVE_DC] [ABILITY] saving throw or the weapon becomes stuck to the [MON]. A stuck weapon can't be used. A creature within reach of the [MON] can free one stuck weapon by succeeding on a DC [SAVE_DC] Strength check as an action. Splashing the [MON] with a gallon of alcohol suppresses this trait [DURATION] and frees all stuck weapons.</t>
  </si>
  <si>
    <t>The [MON] emits a swirl of cold wind in a [#] ft radius around it. Each creature that enters this area for first time on a turn or starts its turn there must succeed on a DC [SAVE_DC] [ABILITY] saving throw or be knocked prone. The wind is nonmagical and disperses gas or vapor. At the start of each of its turns, the [MON] chooses whether this effect is active. While it is active, the [MON] has disadvantage on Dexterity (Stealth) checks.</t>
  </si>
  <si>
    <t>The [MON] constantly emits a thick, nonflammable, yellowish oil. When the [MON] is underwater, this oil makes the water within [#] ft of the [MON] difficult terrain. Each time a creature moves more than [#] ft through this area it must succeed on a DC [SAVE_DC] [ABILITY] saving throw or be restrained by the thick oil [DURATION]. A creature under the effects of a freedom of movement spell or similar magic is immune to the effects of the [MON] Oil.</t>
  </si>
  <si>
    <t>A tendril on the [MON]'s head sheds bright light in [#] ft radius and dim light extra [#] ft. When creature that can see the light starts its turn within [#] ft of the [MON], it must succeed on a DC [SAVE_DC] [ABILITY] saving throw or be charmed [DURATION], regarding the [MON] as friendly acquaintance. If the [MON] or one of its allies harms the charmed creature, this effect ends. At the start of its turn the [MON] chooses whether this light is active.</t>
  </si>
  <si>
    <t>A creature that can hear the [MON]'s heartbeat and starts its turn within [#] ft of the [MON] must succeed on a DC [SAVE_DC] [ABILITY] saving throw or be charmed [DURATION]. Unless surprised, a creature can plug its ears to avoid the saving throw at the start of its turn. If the creature does so, it is deafened until it unplugs its ears. If the creature unplugs its ears while still within range of the [MON]'s heartbeat, it must immediately make the saving throw.</t>
  </si>
  <si>
    <t>If a creature with Intelligence 5 or higher eats a bite of the fruit of the [MON], it must succeed on a DC [SAVE_DC] [ABILITY] saving throw or be knocked prone, becoming incapacitated by fits of laughter as it perceives everything as hilariously funny [DURATION]. An affected creature can repeat this saving throw at the end of each of its turns, ending the effect on itself on a success. If the target takes damage while prone, it has advantage on the saving throw.</t>
  </si>
  <si>
    <t>The [MON] generates a field of psychic distortion around itself. Each creature that starts its turn within [#] ft of the [MON] must succeed on a DC [SAVE_DC] [ABILITY] saving throw or lose its ability to speak coherently. A creature that attempts to cast a spell with verbal components after failing this saving throw expends a spell slot but is unable to complete the casting, instead taking [#dX] [DMG_TYPE] damage per spell level of the spell it attempted to cast.</t>
  </si>
  <si>
    <t>At the start of each of the [MON]'s turns, each creature within [#] ft of it must succeed on a DC [SAVE_DC] [ABILITY] saving throw or have disadvantage on its next attack roll or ability check as the moisture within it becomes diseased. If a creature spends at least [DURATION] in the [MON]'s aura or drinks water within the aura, it must succeed on a DC [SAVE_DC] [ABILITY] saving throw or contract [DISEASE]. Creatures immune to the poisoned condition are unaffected.</t>
  </si>
  <si>
    <t>When the [MON] dies, all curses currently inflicted by the [MON] be permanent and can be removed only by the remove curse spell or other magic. In addition, the creature that dealt the killing blow must succeed on a DC [SAVE_DC] [ABILITY] saving throw or be cursed with every option listed in the [MON]'s beak attack. A creature casting remove curse on a creature cursed in this way must succeed on a DC [SAVE_DC] [ABILITY] saving throw or suffer the curses it just removed.</t>
  </si>
  <si>
    <t>A beast or humanoid that ends its turn within [#] ft of the [MON] and can see or hear it must succeed on a DC [SAVE_DC] [ABILITY] saving throw or be charmed [DURATION].</t>
  </si>
  <si>
    <t>An [MON] glides through stone, dirt, or any sort of earth except metal as easily as a fish glides through water. Its burrowing produces no ripple or other sign of its presence and leaves no tunnel or hole unless the [MON] chooses to do so; in that case, it creates a passageway [#] ft wide by [#] ft high. The spell move earth cast on an area containing an earth-gliding [MON] flings the [MON] back [#] ft and stuns it [DURATION] unless it succeeds on a DC [SAVE_DC] [ABILITY] saving throw.</t>
  </si>
  <si>
    <t>A creature that is not deafened and starts its turn in the [MON]'s space must succeed on a DC [SAVE_DC] [ABILITY] saving throw or have disadvantage on attack rolls and ability checks that use Intelligence, Wisdom, or Charisma [DURATION].</t>
  </si>
  <si>
    <t>A successful DC [SAVE_DC] Wisdom (Perception) check must be made to spot the [MON] snare lines, and the check is always made with disadvantage unless the searcher has some means of overcoming the snares' invisibility. A creature that enters a space containing the [MON] snare lines must succeed on a DC [SAVE_DC] [ABILITY] saving throw or be restrained by the sticky snares (escape DC [SAVE_DC]). This saving throw is made with disadvantage if the creature was unaware of the snare lines' presence.</t>
  </si>
  <si>
    <t>The sight of potential host bodies so excites the [MON] that it babbles and giggles madly and childishly, driving nearby creatures insane. All sane creatures that the start their turns within [#] ft of the [MON] must succeed on a DC [SAVE_DC] [ABILITY] saving throw or be affected by confusion (as the spell) [DURATION]. This is a psychic effect. Creatures that successfully save can't be affected by the same [MON]'s babbling [DURATION]. This action can't be taken when the [MON] is using Soul Exchange.</t>
  </si>
  <si>
    <t>At the start of each of the [MON]'s turns, each creature within [#] ft of it must succeed on a DC [SAVE_DC] [ABILITY] saving throw or have disadvantage on its next attack roll or ability check as a gnawing thirst distracts it. For each [DURATION] a creature stays in the [MON]'s aura, it gains one level of exhaustion from dehydration. A level of exhaustion is removed if the creature uses an action to drink 1 pint of water. A [MON] is immune to its own Aura of Thirst as well as the auras of other [MON]s.</t>
  </si>
  <si>
    <t>When the [MON] is reduced to 0 hit points, it explodes. Each creature within [#] ft of it, except for other [MON]s, must succeed on a DC [SAVE_DC] [ABILITY] saving throw or take [#dX] [DMG_TYPE] damage and be pushed back [#] ft. Two duplicate [MON]s appear in the [MON]'s space and the nearest unoccupied space, each with the same statistics as the original [MON], except one size smaller. When a Tiny duplicate of the [MON] is reduced to 0 hit points, it explodes and doesn't duplicate. All duplicates act on the same initiative.</t>
  </si>
  <si>
    <t>When the [MON] strikes a target with a melee attack, in addition to taking normal damage, the target must succeed on a DC [SAVE_DC] [ABILITY] saving throw or instantly age [#dX] years. A creature that ages this way has disadvantage on attack rolls, ability checks, and saving throws based on Strength, Dexterity, and Constitution until the aging is reversed. A creature that ages beyond its lifespan dies immediately. The aging reverses automatically after [DURATION], or it can be reversed by greater restoration or similar magic.</t>
  </si>
  <si>
    <t>When a creature starts its turn within [#] ft of the [MON], the creature must succeed on a DC [SAVE_DC] [ABILITY] saving throw or be unable to take reactions [DURATION]. Additionally, an affected creature must roll a d8 to determine what it does during that turn. (1-4) The creature does nothing. (5-6) The creature takes no action, but uses all its movement to move in a random direction. (7-8) The creature makes one melee attack against randomly determined creature within its reach, or does nothing if no creature is within its reach.</t>
  </si>
  <si>
    <t>The [MON]'s pool emits a sweet fragrance that lures creatures to drink. Creatures that are neither undead nor constructs within [#] ft of it must succeed on a DC [SAVE_DC] Wisdom saving throw or be compelled to approach the [MON] and drink. The water is cool and refreshing but carries a sleeping poison: any creature (other than undead and constructs) that drinks from it regains [#dX] hit points and recovers from 1 level of exhaustion, but must succeed on a DC [SAVE_DC] [ABILITY] saving throw against poison or fall unconscious [DURATION].</t>
  </si>
  <si>
    <t>When a creature that can see the [MON] starts its turn within [#] ft of the [MON], the [MON] can force it to make a DC [SAVE_DC] [ABILITY] saving throw if the [MON] isn't incapacitated and can see the creature. On a failure, a creature becomes charmed [DURATION]. Unless surprised, a creature can avert its eyes to avoid the saving throw at the start of its turn. If the creature does so, it can't see the [MON] [DURATION], when it can avert its eyes again. If the creature looks at the [MON] in the meantime, it must immediately make the save.</t>
  </si>
  <si>
    <t>When a creature that can see the eyes of the [MON]'s severed head starts its turn within [#] ft of the [MON], the [MON] can force it to make a DC [SAVE_DC] [ABILITY] saving throw if the [MON] isn't incapacitated and can see the creature. On a failed save, the creature [OUTCOME]. Unless surprised, a creature can avert its eyes to avoid the saving throw at the start of its turn. If the creature does so, it can't see the [MON] [DURATION], when it can avert its eyes again. If the creature looks at the [MON] in the meantime, it must immediately make the save.</t>
  </si>
  <si>
    <t>The [MON]'s scales refract light in iridescent cascades that are hypnotic to gaze upon. If the [MON] is in bright light, a creature within [#] ft of it that looks at it must succeed on a DC [SAVE_DC] [ABILITY] saving throw or be stunned [DURATION]. Unless surprised, a creature can avoid the saving throw by choosing to avert its eyes at the start of its turn. A creature that averts its eyes can't see the [MON] [DURATION], when it can choose to avert its eyes again. If the creature looks at the [MON] in the meantime, it must immediately make the saving throw.</t>
  </si>
  <si>
    <t>When a creature that can see the [MON] starts its turn within [#] ft of it, the [MON] can force it to make a DC [SAVE_DC] [ABILITY] saving throw if the [MON] isn't incapacitated and can see the creature. Creature that fails is incapacitated and its speed is reduced to 0 [DURATION] as it remains transfixed in place by the lights. Unless surprised creature can avert its eyes to avoid the save at the start of its turn. If creature does so it can't see the [MON] [DURATION] when it can avert again. If creature looks at [MON] in the meantime it must immediately save.</t>
  </si>
  <si>
    <t>While in bright light, the [MON]'s carapace shines and glitters. When a creature that can see the [MON] starts its turn within [#] ft of the [MON], the [MON] can force the creature to make a DC [SAVE_DC] [ABILITY] saving throw if the [MON] isn't incapacitated. On a failure, the creature is blinded [DURATION]. Unless surprised, a creature can avert its eyes to avoid the saving throw at the start of its turn. If it does so, it can't see the [MON] [DURATION], when it can avert its eyes again. If it looks at the [MON] in the meantime, it must immediately make the save.</t>
  </si>
  <si>
    <t>When the [MON] dies, its body crumbles into smoldering coals, releasing a great plume of smoke that fills a [#] ft radius sphere centered on the corpse, spreading around corners. The area is heavily obscured and becomes difficult terrain. When a creature enters this area for the first time on a turn or starts its turn there, it must make a DC [SAVE_DC] [ABILITY] saving throw, taking [#dX] [DMG_TYPE] damage on a failed save, or half as much damage on a success. The smoke lasts [DURATION] or until a wind of moderate or greater speed (at least 10 miles per hour) disperses it.</t>
  </si>
  <si>
    <t>While submerged in water its ichor taints water within [#] ft of it. When a creature enters area for the 1st time on a turn or starts its turn there that creature must succeed on a DC [SAVE_DC] [ABILITY] saving throw or be poisoned while it remains in that area and [DURATION] after it leaves. A poisoned creature that is no longer in the water can repeat this saving throw at the end of each of its turns, ending the effect on itself on a success. If purify food and drink spell is cast on a space within [#] ft of the [MON] or on space it occupies trait ceases to function [DURATION].</t>
  </si>
  <si>
    <t>When a creature that can see the [MON]'s eyes starts its turn within [#] ft of the [MON], it can force the creature to make a DC [SAVE_DC] [ABILITY] saving throw if the [MON] isn't incapacitated and can see the creature. On a failure, the creature is stunned [DURATION]. On a success, the creature is restrained. Unless surprised, a creature can avert its eyes to avoid the saving throw at the start of its turn. If the creature does so, it can't see the angel [DURATION], when it can avert its eyes again. If the creature looks at the angel in the meantime, it must immediately make the save.</t>
  </si>
  <si>
    <t>When a creature that can see the [MON] starts its turn within [#] ft of the [MON], the [MON] can force it to make a DC [SAVE_DC] [ABILITY] saving throw if the [MON] isn't incapacitated and can see the creature. On a failure, a creature is incapacitated and its speed is reduced to 0 as it is mesmerized by the [MON]. Unless surprised, a creature can avert its eyes to avoid the saving throw at the start of its turn. If the creature does so, it can't see the [MON] [DURATION], when it can avert its eyes again. If the creature looks at the [MON] in the meantime, it must immediately make the save.</t>
  </si>
  <si>
    <t>The [MON] radiates a psychic aura in a [#] ft radius that causes creatures to doubt intentions of their friends. When a creature enters this area for the first time on a turn or starts its turn there, it must make a DC [SAVE_DC] [ABILITY] saving throw. On a failure, any beneficial spell (such as bless or heroism) cast by that creature, including spells already in effect, can't affect its allies or ally while it remains in the aura. In addition, that creature can't take the Help action or accept assistance from a ally, including assistance from spells such as bless or cure wounds, while it remains in aura.</t>
  </si>
  <si>
    <t>When the [MON] is killed it explodes in a swath of celestial destruction. Each creature and object within 1 mile of the [MON] takes [#dX] [DMG_TYPE] damage, [#dX] [DMG_TYPE] damage plus [#dX] [DMG_TYPE] damage. Each damage type can be reduced by half with a successful DC [SAVE_DC] saving throw: [ABILITY] against bludgeoning, [ABILITY] against cold, and [ABILITY] against psychic. Additionally, a creature that fails two or three of the saving throws is affected by a plane shift spell and sent to a random plane. If it is sent to the plane it currently occupies, it appears 5d100 miles away in a random direction.</t>
  </si>
  <si>
    <t>When a creature with an Intelligence of 3 or higher that can see the [MON] starts its turn within [#] ft of the [MON], the [MON] can force it to make a DC [SAVE_DC] [ABILITY] saving throw if the [MON] isn't incapacitated and can see the creature. On a failure, the target takes [#dX] [DMG_TYPE] damage and is incapacitated [DURATION]. Unless surprised, a creature can avert its eyes to avoid the saving throw at the start of its turn. If the creature does so, it can't see the [MON] [DURATION], when it can avert its eyes again. If the creature looks at the [MON] in the meantime, it must immediately make the saving throw.</t>
  </si>
  <si>
    <t>When the [MON] is in an area of bright light, a creature within [#] ft of it that looks at it must succeed on a DC [SAVE_DC] [ABILITY] saving throw or be blinded [DURATION]. Unless it is surprised, a creature can avoid the saving throw by choosing to avert its eyes at the start of its turn. A creature that averts its eyes can't see the [MON] [DURATION], when it can choose to avert its eyes again. If the creature looks at the [MON] in the meantime, it must immediately make the saving throw. The saving throw is made with advantage if the [MON] is in dim light, and this ability has no effect if the [MON] is in darkness.</t>
  </si>
  <si>
    <t>A creature that touches the [MON] or hits it with a melee attack while within [#] ft of it takes [#dX] [DMG_TYPE] damage, and must succeed on a DC [SAVE_DC] [ABILITY] saving throw or the weapon becomes stuck in the [MON]'s body. If the weapon's wielder can't or won't let go of the weapon, the wielder is grappled while the weapon is stuck. While stuck, the weapon can't be used. Until the grapple ends, the wielder takes [#dX] [DMG_TYPE] damage at the start of each of its turns. To end the grapple, the wielder can release the weapon or pull it free by taking an action to make a DC [SAVE_DC] Strength check and succeeding.</t>
  </si>
  <si>
    <t>The eldritch magic that powers the [MON] produces a magnetic power that seizes metal objects that touch it, including metal weapons. When a creature successfully strikes the [MON] with a metal melee weapon, the attacker must succeed on a DC [SAVE_DC] [ABILITY] saving throw or the weapon becomes stuck to the [MON] until the [MON] releases it or is destroyed. The saving throw uses the same ability as the attack used. The [MON] can release all metal weapons stuck to it whenever it wants. A [MON] always drops all weapons stuck to it when it believes it is no longer threatened. This ability affects armor only during a grapple.</t>
  </si>
  <si>
    <t>When a creature that can see the [MON]'s eye starts its turn within [#] ft of the [MON], the [MON] can force it to make a DC [SAVE_DC] [ABILITY] saving throw if the [MON] isn't incapacitated and can see the creature. On a failure, the creature takes [#dX] [DMG_TYPE] damage and is incapacitated [DURATION]. On a success, the creature takes half as much damage only. Unless surprised, a creature can avert its eyes to avoid the saving throw at the start of its turn. If the creature does so, it can't see the [MON] [DURATION], when it can avert its eyes again. If the creature looks at the [MON] in the meantime, it must immediately make the save.</t>
  </si>
  <si>
    <t>When the [MON] takes fire damage, it catches fire. If the [MON] starts its turn on fire, it takes [#dX] [DMG_TYPE] damage. The [MON]'s saturated body douses the fire at the end of the [MON]'s turn. Creatures engulfed by the [MON] don't take fire damage from this effect. If the [MON] dies while it is on fire, it explodes in a burst of fire and flaming peat. Each creature within [#] ft of the [MON] must make a DC [SAVE_DC] [ABILITY] saving throw, taking [#dX] [DMG_TYPE] damage on a failed save, or half as much damage on a success. If a creature is engulfed by the [MON] when it dies in this way, the creature has disadvantage on the saving throw.</t>
  </si>
  <si>
    <t>When a creature that can see the [MON] starts its turn within [#] ft of the [MON], the [MON] can force it to make a DC [SAVE_DC] [ABILITY] saving throw if the [MON] isn't incapacitated and can see the creature. On a failed save, the creature is incapacitated and its speed is reduced to 0 [DURATION]. A creature that isn't surprised can avert its eyes to avoid the saving throw at the start of its turn. If it does so, it can't see the [MON] [DURATION], when it can avert its eyes again. If it looks at the [MON] in the meantime, it must immediately make the saving throw. Creatures immune to being frightened are immune to the [MON]'s Transfixing Gaze.</t>
  </si>
  <si>
    <t>When a creature that can see the [MON]'s eyes starts its turn within [#] ft of the [MON], it must make a DC [SAVE_DC] [ABILITY] saving throw if the [MON] isn't incapacitated and can see the creature. On a failed saving throw, the creature has its pain threshold lowered, so that it becomes vulnerable to all damage types [DURATION]. Unless it is surprised, a creature can avoid the saving throw by averting its eyes at the start of its turn. A creature that averts its eyes can't see the [MON] for one full round, when it chooses anew whether to avert its eyes again. If the creature looks at the [MON] in the meantime, it must immediately make the save.</t>
  </si>
  <si>
    <t>If a creature mounts the [MON], the creature must succeed on a DC [SAVE_DC] [ABILITY] saving throw or be paralyzed and restrained by chains on the [MON]'s back until the next dawn. While it has a rider captured in this way, the [MON] takes Dash or Disengage actions on each of its turns to flee with the rider. After it moves [#] ft, it disappears with the captured rider, racing along a nightmarish landscape. At the next dawn, it returns to the space where it disappeared or the nearest unoccupied space, the rider lands in an unoccupied space within [#] ft of the [MON], and [MON] flees. At the end of the ride, the rider gains one level of exhaustion.</t>
  </si>
  <si>
    <t>A creature that touches or deals slashing or piercing damage to a [MON] while within [#] ft of the creature shreds its delicate linen wrappings, releasing a flurry of skittering scarabs. The attacking creature must make a DC [SAVE_DC] [ABILITY] saving throw to avoid them. On a failure, these beetles flow onto the attacker and deal [#dX] [DMG_TYPE] damage to it at the start of each of its turns. A creature can remove beetles from itself or from another affected creature within reach by using an action and making a successful DC [SAVE_DC] [ABILITY] saving throw. The beetles are also destroyed if the affected creature takes damage from an area effect.</t>
  </si>
  <si>
    <t>The [MON] babbles incoherently while it can see any creature and isn't incapacitated. Each creature that starts its turn within [#] ft of the [MON] and can hear it must succeed on a DC [SAVE_DC] [ABILITY] saving throw or be unable to take reactions [DURATION]. An affected creature also rolls a d8 to determine what it does during its turn. On a 1 to 4, the creature does nothing. On a 5 or 6, the creature takes no action or bonus action and uses all its movement to move in a randomly determined direction. On a 7 or 8, the creature must make a melee attack against a randomly determined creature within its reach, or does nothing if it can't make such an attack.</t>
  </si>
  <si>
    <t>When a creature that can see the [MON] starts its turn within [#] ft of the [MON], the [MON] can force it to make a DC [SAVE_DC] [ABILITY] saving throw if the [MON] is not incapacitated. On a failed save, the creature [OUTCOME]. If the creature is concentrating on a spell, that creature must succeed on a DC [SAVE_DC] [ABILITY] saving throw or lose concentration on the spell. Unless surprised, a creature can avert its eyes to avoid the saving throw at the start of its turn. If the creature does so, it can't see the [MON] [DURATION], when it can avert its eyes again. If the creature looks at the [MON] in the meantime, it must immediately make the saving throw.</t>
  </si>
  <si>
    <t>When a creature that can see the [MON]'s eyes starts its turn within [#] ft of the [MON], the [MON] can force it to make a DC [SAVE_DC] [ABILITY] saving throw if the [MON] isn't incapacitated and can see the creature. On a failed save, the creature is paralyzed [DURATION]. A creature that isn't surprised can avert its eyes to avoid the saving throw at the start of its turn. If it does so, it can't see the [MON] [DURATION], when it can avert its eyes again. If it looks at the [MON] in the meantime, it must immediately make the save. Canines are immune to the [MON]'s Paralyzing Gaze, and canine-like humanoids, such as werewolves, have advantage on the saving throw.</t>
  </si>
  <si>
    <t>When a humanoid that can see the [MON]'s eyes starts its turn within [#] ft of the [MON], the [MON] can force it to make a DC [SAVE_DC] [ABILITY] saving throw if the [MON] isn't incapacitated and can see the creature. If the creature fails, it is charmed [DURATION]. The charmed creature can repeat this saving throw at the end of each of its turns, ending the effect on itself on a success. Unless surprised, a creature can avert its eyes to avoid the saving throw at the start of its turn. If the creature does so, it can't see the [MON] [DURATION], when it can avert its eyes again. If the creature looks at the [MON] in the meantime, it must immediately make the save.</t>
  </si>
  <si>
    <t>The [MON] is surrounded in a [#] ft radius by a ferocious storm. The storm imposes disadvantage on ranged weapon attack rolls and Wisdom (Perception) checks based on sight or hearing within that area. The [MON]'s own senses and attacks are not impaired by this trait. The tempest extinguishes open flames and disperses fog. A flying creature in the tempest must land at the end of its turn or fall. Each creature that starts its turn within [#] ft of the [MON] must succeed on a DC [SAVE_DC] [ABILITY] saving throw or be pushed [#] ft away from the [MON]. Any creature within [#] ft of the [MON] must spend 2 ft of movement for every 1 ft it moves when moving closer to the [MON].</t>
  </si>
  <si>
    <t>When a creature that can see the [MON]'s faces starts its turn within [#] ft of it and the [MON] isn't incapacitated and can see the creature, at least one of the [MON]'s faces shifts to look like one of the creature's departed loved ones or bitter enemies. The target must succeed on a DC [SAVE_DC] [ABILITY] saving throw or take [#dX] [DMG_TYPE] damage and be frightened of the [MON] [DURATION]. Unless it is surprised, a creature can avert its eyes to avoid the save at the start of its turn. If a creature does so, it must treat the [MON] as invisible [DURATION], when it can avert again. If a creature looks at the [MON] in the meantime, it must immediately make the saving throw.</t>
  </si>
  <si>
    <t>When a creature starts its turn in the [MON]'s space or enters the [MON]'s space for the frist time on a turn, it must succeed on a DC [SAVE_DC] [ABILITY] saving throw or be blinded as its eyes strain from their sockets. This blindness lasts until the creature ends its turn and isn't in the [MON]'s space. If a creature's saving throw is successful or the effect ends for it, the creature is immune to this effect [DURATION], although it remains blinded until it leaves the [MON]'s space. If a creature is already blinded by Eye Extraction and fails this saving throw again, its eyes are pulled from their sockets to join the [MON], it takes [#dX] [DMG_TYPE] damage, and it is permanently blinded.</t>
  </si>
  <si>
    <t>When a creature that can see the [MON]'s eyes starts its turn within [#] ft of the [MON], the [MON] can force it to make a DC [SAVE_DC] [ABILITY] saving throw if the [MON] isn't incapacitated and can see the creature. On a failed saving throw, the creature takes [#dX] [DMG_TYPE] damage, its hit point max is reduced by an amount equal to the acid damage it takes (which ends after a long rest), and it is paralyzed [DURATION]. Unless surprised, a creature can avert its eyes at the start of its turn to avoid the saving throw. If the creature does so, it can't see the [MON] [DURATION], when it chooses again whether to avert its eyes. If the creature looks at the [MON] before then, it must immediately make the saving throw.</t>
  </si>
  <si>
    <t>When the [MON] casts hallucinatory terrain, the area appears so lush and inviting that those who view it feel compelled to visit. Any creature that approaches within [#] ft of the terrain must make a DC [SAVE_DC] [ABILITY] saving throw. Those that fail are affected as by the enthrall spell with the [MON] as the caster; they give the mirage their undivided attention, wanting only to explore it, marvel at its beauty, and rest there for an hour. The [MON] can choose to have creatures focus their attention on it instead of the hallucinatory terrain. Creatures affected by the enthrall effect automatically fail saving throws to disbelieve the hallucinatory terrain. This effect ends if the hallucinatory terrain is dispelled.</t>
  </si>
  <si>
    <t>When a creature that can see the [MON]'s eye starts its turn within [#] ft of the [MON], the creature must succeed on a DC [SAVE_DC] [ABILITY] saving throw or be disoriented. While disoriented, the creature is knocked prone each time it tries to move or take the Dash or Disengage action. To recover from disorientation, a creature must start its turn outside the [MON]'s gaze and succeed on a DC [SAVE_DC] [ABILITY] saving throw. A creature that isn't surprised can avert its eyes at the start of its turn to avoid the effect. In that case, no saving throw is necessary but the creature treats the [MON] as invisible [DURATION]. If during its turn the creature chooses to look at the [MON], it must immediately make the saving throw.</t>
  </si>
  <si>
    <t>At the start of each of the [MON]'s turns, each creature within [#] ft of the [MON] must succeed on a DC [SAVE_DC] [ABILITY] saving throw or the metal items worn or carried by it stick to the [MON]'s shell. A creature that is made of metal or is wearing metal armor that fails the saving throw is stuck to the shell and restrained. If the item is a weapon and the wielder can't or won't let go of the weapon, the wielder is adhered to the shell and is restrained. A stuck item can't be used. A creature can take its action to remove one creature or object from the [MON]'s shell by succeeding on a DC [SAVE_DC] Strength check. Items made of gold and silver are unaffected by the [MON]'s Magnetic Shell. When the [MON] dies, all metal creatures and objects are released.</t>
  </si>
  <si>
    <t>When a creature that can see the [MON]'s eyes starts its turn within [#] ft of the [MON], the [MON] can force it to make a DC [SAVE_DC] [ABILITY] saving throw if the [MON] isn't incapacitated and can see the creature. Otherwise, a creature that fails the saving throw begins to turn to stone and is restrained. The restrained creature must repeat this saving throw at the end of its next turn, becoming petrified on a failed save, or ending the effect on itself on a success. The petrification lasts [DURATION]. Unless surprised, a creature can avert its eyes to avoid the saving throw at the start of its turn. If the creature does so, it can't see the [MON] [DURATION], when it can avert is eyes again. If the creature looks at the [MON], it must immediately make the save.</t>
  </si>
  <si>
    <t>If a creature starts its turn within [#] ft of the [MON] and the two of them can see each other, the creature must make a DC [SAVE_DC] [ABILITY] saving throw if the [MON] isn't incapacitated. On a failed save, the creature begins to turn to stone and is restrained. It must repeat this saving throw at the end of its next turn. On a success, the effect ends. On a failure, the creature is petrified [DURATION]. A creature that isn't surprised can avert its eyes to avoid the saving throw at the start of its turn. If it does so, it can't see the [MON] [DURATION], when it can avert its eyes again. If it looks at the [MON] in the meantime, it must immediately make the save. If the [MON] sees its reflection within [#] ft of it in bright light, it mistakes itself for a rival and the targets itself with its gaze.</t>
  </si>
  <si>
    <t>By concentrating [DURATION] on a specific object, a [MON] learns more about the object's most recent owner. The effects of this trait are different depending on if the most recent owner is alive or dead. This trait only works once per object. * If the most recent owner is alive, the [MON] sees through that person's eyes [DURATION]. This works like the clairvoyance spell, except the most recent owner is the sensor and controls which direction it is pointed, how far it can see, etc. The most recent owner must make a DC [SAVE_DC] [ABILITY] saving throw. On a success, it gets the sensation that it is being watched. * If the most recent owner is dead, the [MON] can learn five things about the person's life through dream-like visions and emotions. This works like the speak with dead spell, except the spirit can only answer questions about events in which the object was present.</t>
  </si>
  <si>
    <t>When a creature that can see the [MON]'s eyes starts its turn within [#] ft of the [MON], the [MON] can force it to make a DC [SAVE_DC] [ABILITY] saving throw if the [MON] isn't incapacitated and can see the creature. Otherwise, a creature that fails the save begins to turn to stone and is restrained. The restrained creature must repeat this saving throw at the end of its next turn, becoming petrified on a failed save, or ending the effect on itself on a success. The petrification lasts [DURATION]. Unless surprised, a creature can avert its eyes to avoid the saving throw at the start of its turn. If the creature does so, it can't see the [MON] [DURATION], when it can avert its eyes again. If the creature looks at the [MON] in the meantime, it must immediately make the save. If the [MON] sees itself reflected on a polished surface within [#] ft of it and in an area of bright light, the [MON] is, due to its curse, affected by its own gaze.</t>
  </si>
  <si>
    <t>A creature that picks a [MON]'s fruit or is struck by Fruit Bomb triggers the fruit is chaotic magic. Roll d8: Butterfly Cloud Fuit explodes into a cloud of butterflies swirling out in [#] ft radius from fruit [DURATION] making area heavily obscured.Restoration Creature eating the fruit ends one condition disease or reduction to one ability score or reduces exhaustion level by one.Poison Gas Fruit bursts into [#] ft radius red gas cloud centered on fruit. Area heavily obscured and lasts [DURATION] or until dispersed by strong wind. When creature enters cloud for first time on a turn or starts its turn there creature: [#dX] [DMG_TYPE] damage (DC [SAVE_DC] [ABILITY] half).Healing Creature eating fruit regains [#dX] hit points.Swarming Insects Fruit bursts releasing 2d4 swarms of insects.Protection Creature eating the fruit gains resistance to acid cold fire lightning poison or thunder (determined randomly) [DURATION].Squirrel Transformation Eaten: become squirrel 10 min (DC [SAVE_DC] [ABILITY]).Cleansing All curses/diseases afflicting creature end when eaten.</t>
  </si>
  <si>
    <t>The [MON]'s lantern is immune to damage, and can't be the target of spells or effects as long as the [MON] lives. When the [MON] dies, the lantern floats gently to the ground and opens, if it was closed. The lantern has AC [#], [#] hit points, and is immune to piercing, poison, and psychic damage. A creature that touches the lantern must succeed on a DC [SAVE_DC] [ABILITY] saving throw or be cursed. A cursed creature is frightened of darkness, can't see anything outside of the lantern's light, and is unable to drop the lantern. The cursed creature will risk its own life to protect the lantern. A target can repeat this saving throw each day at dawn, lifting the curse and ending the effects on itself on a success. If this occurs, the lantern disintegrates. After three failed saving throws, remove curse or similar magic is required to end the curse. If the creature remains cursed after [DURATION], it is irreversibly changed by the curse, and it becomes the lantern's new [MON]. Voluntarily opening the lantern counts as a failed saving throw. If the lantern is destroyed, all captured spirits are put to rest and the cursed bearer, if it has not yet changed into a [MON], is freed of the curse.</t>
  </si>
  <si>
    <t>When the [MON] scores a critical hit against a target, it damages not only the creature, but also the threads of its fate, changing the target's past or future. The target must roll 1d6 on the chart below for each critical hit that isn't negated by a successful DC [SAVE_DC] [ABILITY] saving throw: 
1: Seeing the Alternates: The target suffers the effects of the confusion spell [DURATION]. 
2: Untied from the Loom: The target's speed is randomized [DURATION]. Roll 3d20 at the start of each of the target's turns to determine its speed in feet [DURATION]. 
3: Shifting Memories: The target suffers a permanent -2 penalty to a random skill and gains a +2 bonus to a random skill. 
4: Not So Fast: The target loses the use of one class ability, chosen at random. 
5: Lost Potential: One of the target's ability scores, chosen at random, is reduced by 1 point. 
6: Took the Lesser Path: The target's current hit point total becomes its hit point max. 
Unless otherwise stated, these effects are permanent until the target must succeed on a [ABILITY] saving throw. The saving throw is repeated after every long rest, but the DC increases by 1 after every long rest, as the target becomes more entrenched in its new destiny. Otherwise, these new fates can be undone by nothing short of a wish spell or similar magic.</t>
  </si>
  <si>
    <t>When the [MON] does so, each creature within [#] ft of it must succeed on a DC [SAVE_DC] [ABILITY] saving throw or be blinded [DURATION].</t>
  </si>
  <si>
    <t>Each spellcaster within [#] ft of the [MON] that can hear it must succeed on a DC [SAVE_DC] [ABILITY] saving throw or be stunned [DURATION].</t>
  </si>
  <si>
    <t>An affected creature can make a DC [SAVE_DC] [ABILITY] saving throw at the end of each of its turns, ending the effect on itself on a success.</t>
  </si>
  <si>
    <t>When the [MON] does so, any creature within [#] ft of it and able to hear it must succeed on a DC [SAVE_DC] [ABILITY] saving throw or be permanently deafened.</t>
  </si>
  <si>
    <t>If the [MON] has half its hit points or fewer, when it does so, each target in that area must succeed on a DC [SAVE_DC] [ABILITY] saving throw or be knocked prone.</t>
  </si>
  <si>
    <t>Undead within that area must succeed on a DC [SAVE_DC] [ABILITY] saving throw or be turned [DURATION]. Undead of CR [#] or lower who fail the saving throw are instantly destroyed.</t>
  </si>
  <si>
    <t>A creature with truesight is immune to this effect, but if that creature looks at the [MON], it must succeed on a DC [SAVE_DC] [ABILITY] saving throw or be incapacitated [DURATION].</t>
  </si>
  <si>
    <t>instead of dealing damage, the [MON] can attempt to disarm the target. The target must succeed on a DC [SAVE_DC] [ABILITY] saving throw or its weapon lands in a random space within [#] ft of it.</t>
  </si>
  <si>
    <t>The [MON] attempts to steal one small item from the target. The target must succeed on a DC [SAVE_DC] [ABILITY] saving throw or lose one non-weapon, non-armor object that is small enough to fit in one hand.</t>
  </si>
  <si>
    <t>When a creature enters a space within [#] ft of the [MON] for the first time on a turn or starts its turn there, that creature must succeed on a DC [SAVE_DC] [ABILITY] saving throw or take [#dX] [DMG_TYPE] damage.</t>
  </si>
  <si>
    <t>At the start of each of an affected creature's turns, it must make a DC [SAVE_DC] [ABILITY] saving throw. On its third failure, it falls unconscious [DURATION]. On its third success, the effect ends for the creature.</t>
  </si>
  <si>
    <t>When the [MON] does so, the water within [#] ft of it becomes difficult terrain [DURATION]. Each creature that starts its turn on the deck of a ship in this area must succeed on a DC [SAVE_DC] [ABILITY] saving throw or fall overboard.</t>
  </si>
  <si>
    <t>All potions within that area are pulled toward the [MON]. A creature wearing or carrying a potion must succeed on a DC [SAVE_DC] [ABILITY] saving throw or its potion moves to within [#] ft of the [MON]. A creature must make a separate saving throw for each potion it is attempting to keep in its possession.</t>
  </si>
  <si>
    <t>Each creature that starts its turn in that area or moves into the area must succeed on a DC [SAVE_DC] [ABILITY] saving throw or be pushed [#] ft directly away and take [#dX] [DMG_TYPE] damage. The [MON] can change the direction of the gust with a bonus action. The wind disperses vapors and the area becomes difficult terrain.</t>
  </si>
  <si>
    <t>If the target is an object, it is thrown up to [#] ft away from the [MON] in a straight line. When it would strike a creature along this path, that creature must succeed on a DC [SAVE_DC] [ABILITY] saving throw, taking [#dX] [DMG_TYPE] damage on a failure, or dodging out of the way on a success. The object stops moving when it hits a creature or reaches the end of its trajectory.</t>
  </si>
  <si>
    <t>If the creature is poisoned or suffering from a disease, it takes [#dX] [DMG_TYPE] damage at the start of each of the [MON]'s turns instead. In addition, at the start of each of the [MON]'s turns, a consumed creature that is poisoned or suffering from a disease can repeat the condition or disease's saving throw as if it had taken a long rest, but it suffers no ill effects on a failed saving throw. The creature has advantage on this saving throw. The [MON] can have only one creature swallowed at a time. If the [MON] takes [#] damage or more on a single turn from the swallowed creature, the [MON] must succeed on a DC [SAVE_DC] [ABILITY] saving throw or regurgitate the swallowed creature, which is knocked prone within [#] ft of the [MON]. Alternatively, the [MON] can regurgitate the creature as a bonus action, which it does if the swallowed creature isn't poisoned or suffering from a disease and a creature that is poisoned or suffering from a disease is within [#] ft of the [MON]. If the [MON] dies, a consumed creature is no longer restrained by it and can escape by using [#] ft of movement, exiting prone.</t>
  </si>
  <si>
    <t>is dominated by the [MON] (as the dominate person spell). The [MON] instantly enters the target's space and merges into the target's physical form. While inhabiting a creature, a [MON] takes no damage from physical attacks. The creature creature receives a +[#] bonus to its Dexterity and Charisma scores while it is inhabited. The speech and actions of an inhabited creature are noticeably jerky and erratic to any creature with passive Wisdom (Perception) [SAVE_DC] or higher. Each time the [MON] uses innate spellcasting, the host can attempt another DC [SAVE_DC] [ABILITY] saving throw. A successful save expels the [MON], which appears in an unoccupied space within [#] ft of the former host. The inhabiting [MON] slowly burns out its host's nervous system. The inhabited creature must succeed on a DC [SAVE_DC] [ABILITY] saving throw at the end of each day or take [#dX] [DMG_TYPE] damage, and have its maximum hit points reduced by the same amount. The reduction lasts until the inhabited creature completes a long rest after the [MON] is expelled.</t>
  </si>
  <si>
    <t>takes [#dX] [DMG_TYPE] damage at the start of each of its turns. At the end of each of its turns it can repeat this saving throw, ending the ongoing damage on a success. This fire can also be put out in typical ways such as immersion in water and a creature who uses an action to drop prone can put out the fire with a DC [SAVE_DC] [ABILITY] saving throw.</t>
  </si>
  <si>
    <t>begins bleeding profusely. A bleeding creature must succeed on a DC [SAVE_DC] [ABILITY] saving throw at the start of its turn or take [#dX] damage, and continue bleeding. On a successful save the creature takes no damage, and the effect ends. Any creature can use an action to make a Wisdom (Medicine) check (DC [SAVE_DC]) or any amount of magical healing also stops the bleeding.</t>
  </si>
  <si>
    <t>begins bleeding profusely. A bleeding creature must succeed on a DC [SAVE_DC] [ABILITY] saving throw at the start of its turn or take [#dX] [DMG_TYPE] damage, and continue bleeding. On a successful save the creature takes no damage, and the effect ends. Any creature can use an action to make a Wisdom (Medicine) check (DC [SAVE_DC]) or any amount of magical healing also stops the bleeding.</t>
  </si>
  <si>
    <t>must succeed on a DC [SAVE_DC] [ABILITY] saving throw or be knocked prone in the slick oil, which covers an area 5 ft square. A creature that enters the oily area or ends its turn there must also make the [ABILITY] saving throw to avoid falling prone. A creature needs to make only one saving throw per 5 ft square per turn, even if it enters and ends its turn in that area. The slippery effect lasts [DURATION].</t>
  </si>
  <si>
    <t>must succeed on a DC [SAVE_DC] [ABILITY] saving throw or be poisoned and take [#dX] Charisma damage. A poisoned creature can repeat this saving throw every [DURATION], taking another [#dX] Charisma damage for each failure, until it has made two consecutive successful saves or survived [DURATION]. If the creature survives, the effect ends and the creature can heal normally. Lost Charisma can be regained with a lesser restoration spell or similar magic.</t>
  </si>
  <si>
    <t>must succeed on a DC [SAVE_DC] [ABILITY] saving throw or take [#dX] [DMG_TYPE] damage at the start of each of its turns, as a frozen shard lodges itself in the wound. Any creature can use an action to remove the shard with a successful DC [SAVE_DC] Wisdom (Medicine) check. The shard crumbles to snow if the target receives magical healing. A humanoid slain by this attack rises in 1 week as a [MON], unless the humanoid is restored to life or its body is destroyed.</t>
  </si>
  <si>
    <t>ignites and is thrown up to [#] ft in random direction and knocked prone (DC [SAVE_DC] Strength negates). If thrown creature strikes solid surface creature takes [#dX] [DMG_TYPE] damage per [#] ft it was thrown. If thrown at another creature that creature must succeed on a DC [SAVE_DC] [ABILITY] saving throw or take same damage, and be knocked prone. Until creature uses action to douse fire ignited creature takes [#dX] [DMG_TYPE] damage at the start of each of its turns.</t>
  </si>
  <si>
    <t>must succeed on a DC [SAVE_DC] [ABILITY] saving throw or be blinded as its eyes turn black and fill with infernal ink. The condition can be removed with a greater restoration spell or similar magic. Alternatively, a creature with a healer's kit can drain the ink from a blinded creature's eyes with a successful DC [SAVE_DC] Wisdom (Medicine) check. If this check fails by 5 or more, the attempt to drain the ink instead removes the blinded creature's eyes and the creature takes [#dX] [DMG_TYPE] damage.</t>
  </si>
  <si>
    <t>feels a powerful compulsion to move toward a creature or object of the [MON]'s choice. The creature must be within [#] ft of the [MON] when attraction is triggered, but the creature is then free to move beyond this range while remaining under the effect. Nothing seems out of the ordinary to the creature, but it does not knowingly put itself or its allies in harm's way to reach the object. The creature may attempt another DC [SAVE_DC] [ABILITY] saving throw at the start of each of its turns; a success ends the effect.</t>
  </si>
  <si>
    <t>must succeed on a DC [SAVE_DC] [ABILITY] saving throw or dissipate into vapor as if affected by a gaseous form spell. An affected creature can repeat this saving throw at the end of each of its turns; on a success, the effect ends on that creature, but on a failure, the creature takes [#dX] [DMG_TYPE] damage, and remains gaseous. A creature reduced to 0 hit points by this necrotic damage is permanently disintegrated and can be restored only by a wish or similar magic that doesn't require some portion of a corpse to work.</t>
  </si>
  <si>
    <t>is pulled up to [#] ft toward the [MON]. If the target is a creature other than an undead or a construct, it must succeed on a DC [SAVE_DC] [ABILITY] saving throw or take [#dX] [DMG_TYPE] damage at the start of each of its turns as a barb of pure Abyssal energy lodges itself in the wound. Each time the [MON] hits the barbed target with this attack, the damage dealt by the wound each round increases by [#dX]. Any creature can use an action to remove the barb with a successful [#do] check. The barb crumbles to dust if the target receives magical healing.</t>
  </si>
  <si>
    <t>gains advantage on Wisdom (Survival) checks to navigate marshes, and difficult terrain composed of mud, standing water, or other features of a marsh doesn't cost it extra movement. The [MON] must take a bonus action on its subsequent turns to continue singing. It can stop singing at any time. The song ends if the [MON] is incapacitated. The [MON] can use an action to end the song and cast mass suggestion. Each creature that can hear the [MON]'s song must succeed on a DC [SAVE_DC] [ABILITY] saving throw or be affected by the spell [DURATION]. If the [MON] chooses to end the song this way, it can't use Guiding Song again [DURATION].</t>
  </si>
  <si>
    <t>must make a DC [SAVE_DC] [ABILITY] saving throw. On a success, the creature is aware of the [MON]. On a failure, the target is unaware of the [MON] the target no longer casts a natural shadow and the [MON] takes on the shape of the targets shadow appearing indistinguishable from a natural shadow except when it attacks. The [MON] shares the targets space and moves with the target. When the [MON] is dealt damage while sharing the targets space it takes half as much damage (rounded down) and the other half is dealt to the target. The effect ends when the target drops to 0 hit points the [MON] no longer shares the targets space the [MON] or target is affected by dispel evil and good or a similar effect or the [MON] begins its turn in an area of sunlight.</t>
  </si>
  <si>
    <t>begins choking as its lungs fill with seawater. A choking creature can make a DC [SAVE_DC] [ABILITY] saving throw at the end of each of its turns coughing up seawater and ending the effect on itself on a success.</t>
  </si>
  <si>
    <t>is knocked prone dragged into ground and buried just below surface ending grapple. Victim is restrained unable to breathe or stand up. Creature including victim can use action to free buried creature via DC [SAVE_DC] [ABILITY].</t>
  </si>
  <si>
    <t>is restrained as its flesh begins to turn into a translucent ruby-like stone. The restrained creature must succeed on a DC [SAVE_DC] [ABILITY] saving throw at the end of its next turn, taking [#dX] [DMG_TYPE] damage, and becoming petrified on a failed save, or ending the effect on itself on a success.</t>
  </si>
  <si>
    <t>begins to glow with arcane energy, and at the end of target's next turn, it must make a DC [SAVE_DC] [ABILITY] saving throw, taking [#dX] [DMG_TYPE] damage on a failed save, or half as much damage on a success. This damage is divided evenly between the target and all creatures within [#] ft of it except for the [MON].</t>
  </si>
  <si>
    <t>must succeed on a DC [SAVE_DC] [ABILITY] saving throw or begin to freeze and have disadvantage on weapon attack rolls and ability checks that use Strength or Dexterity. At the end of its next turn, it must repeat this saving throw. On a success, the effect ends. On a failure, the creature is petrified into ice. This petrification ends if the creature spends at least [DURATION] in a warm area thawing out or takes at least [#] fire damage.</t>
  </si>
  <si>
    <t>is knocked [#] ft back and must succeed on a DC [SAVE_DC] [ABILITY] saving throw or be knocked prone. The target's shadow stays in the space the target was originally in, and acts as an undead shadow under the command of the [MON]. If the creature hit with the shadow stealing ray flees the encounter, it is without a natural shadow [DURATION] before the undead shadow fades and the creature's natural shadow returns. The undead shadow steals the body of its creature of origin if that creature is killed during the encounter; in that case, the creature's alignment shifts to evil and it falls under the command of the psoglav. The original creature regains its natural shadow immediately if the undead shadow is slain. A creature can only have its shadow stolen by the shadow stealing ray once per day, even if hit by the rays of two different [MON]s, but it can be knocked back by it every time it is hit.</t>
  </si>
  <si>
    <t>is possessed by the [MON]; the [MON] then disappears, and the target is incapacitated and loses some control of its body, succumbing to a random short-term madness each round [DURATION]. At the end of [DURATION], the [MON] becomes dormant within the body. While possessing a victim, the [MON] attempts to seize control of the body again every [DURATION]. must succeed on a DC [SAVE_DC] [ABILITY] saving throw or succumb to another [DURATION] period of random short-term madness. Even if the target succeeds, it is still possessed. If the target is still possessed at the end of a long rest, it must succeed on a DC [SAVE_DC] Wisdom saving throw or gain a long-term madness. While possessing a victim, the [MON] can't be targeted by any attack, spell, or other effect, except those that can turn or repel fiends, and it retains its alignment, Intelligence, Wisdom, and Charisma. It otherwise uses the possessed target's statistics, but doesn't gain access to the target's knowledge, class features, or proficiencies. The possession lasts [DURATION], or the [MON] is turned or forced out by an effect like the dispel evil and good spell. The [MON] can also be forced out if the victim eats a bowl of rice that has been cooked in holy water. When the possession ends, the [MON] reappears in an unoccupied space within [#] ft of the body.</t>
  </si>
  <si>
    <t>must succeed on a DC [SAVE_DC] [ABILITY] saving throw or be cursed.</t>
  </si>
  <si>
    <t>must succeed on a DC [SAVE_DC] [ABILITY] saving throw or be paralyzed.</t>
  </si>
  <si>
    <t>must succeed on a DC [SAVE_DC] [ABILITY] saving throw or contract [DISEASE].</t>
  </si>
  <si>
    <t>must make a DC [SAVE_DC] [ABILITY] saving throw. On a failure, it [OUTCOME].</t>
  </si>
  <si>
    <t>must make a DC [SAVE_DC] [ABILITY] saving throw. On a failure, [TGT_EFFECT].</t>
  </si>
  <si>
    <t>must succeed on a DC [SAVE_DC] [ABILITY] saving throw or be stunned [DURATION].</t>
  </si>
  <si>
    <t>must succeed on a DC [SAVE_DC] [ABILITY] saving throw or lose one random unused spell slot.</t>
  </si>
  <si>
    <t>must make a DC [SAVE_DC] [ABILITY] saving throw. On a failure, it [OUTCOME]. On a success, it [OUTCOME].</t>
  </si>
  <si>
    <t>must make a DC [SAVE_DC] [ABILITY] saving throw. On a failure, [TGT_EFFECT]. On a success, [TGT_EFFECT].</t>
  </si>
  <si>
    <t>must succeed on a DC [SAVE_DC] [ABILITY] saving throw or drop the weapon. If it is holding more than one weapon, it drops only one.</t>
  </si>
  <si>
    <t>must make a DC [SAVE_DC] [ABILITY] saving throw, taking [#dX] [DMG_TYPE] damage on a failed save, or half as much damage on a success.</t>
  </si>
  <si>
    <t>must make a DC [SAVE_DC] [ABILITY] saving throw, taking [#dX] + [DMG_MOD] [DMG_TYPE] damage on a failed save, or half as much damage on a success.</t>
  </si>
  <si>
    <t>must succeed on a DC [SAVE_DC] [ABILITY] saving throw or be launched up [#] ft into the air and away from the [MON], taking falling damage as normal.</t>
  </si>
  <si>
    <t>must make a DC [SAVE_DC] [ABILITY] saving throw, taking [#dX] [DMG_TYPE] damage plus [#dX] [DMG_TYPE] damage on a failed save, or half as much damage on a success.</t>
  </si>
  <si>
    <t>must make a DC [SAVE_DC] [ABILITY] saving throw, taking [#dX] [DMG_TYPE] or [DMG_TYPE] damage (the [MON]'s choice) on a failed save, or half as much damage on a success.</t>
  </si>
  <si>
    <t>must make a DC [SAVE_DC] [ABILITY] saving throw, taking [#dX] + [DMG_MOD] [DMG_TYPE] damage plus [#dX] [DMG_TYPE] damage on a failed save, or half as much damage on a success.</t>
  </si>
  <si>
    <t>must make a DC [SAVE_DC] [ABILITY] saving throw, taking [#dX] [DMG_TYPE] damage, [DMG_TYPE] damage, [DMG_TYPE] damage, [DMG_TYPE] damage, or [DMG_TYPE] damage (the [MON]'s choice) on a failed save, or half as much damage on a success.</t>
  </si>
  <si>
    <t>must make a DC [SAVE_DC] [ABILITY] saving throw, taking [#dX] damage of the most recent type dealt to the [MON] on a failed save, or half as much damage on a success. If the [MON] hasn't taken damage within [DURATION], the damage type is [DMG_TYPE].</t>
  </si>
  <si>
    <t>must make a DC [SAVE_DC] [ABILITY] saving throw, taking [#dX] damage on a failed save, or half as much damage on a success. The [MON] chooses two or more damage types from the following list: [DMG_TYPE], [DMG_TYPE], [DMG_TYPE], [DMG_TYPE], or [DMG_TYPE].</t>
  </si>
  <si>
    <t>must make a DC [SAVE_DC] [ABILITY] saving throw, taking [#dX] damage on a failed save, or half as much damage on a success. The damage is either [DMG_TYPE], [DMG_TYPE], [DMG_TYPE], [DMG_TYPE], [DMG_TYPE], [DMG_TYPE], [DMG_TYPE], or [DMG_TYPE] (the [MON]'s choice).</t>
  </si>
  <si>
    <t>must succeed on a DC [SAVE_DC] [ABILITY] saving throw or one of its eyes is bitten out. A creature with just one remaining eye has disadvantage on ranged attack rolls and on Wisdom (Perception) checks that rely on sight. If both (or all) eyes are lost, the target is blinded.</t>
  </si>
  <si>
    <t>must make a DC [SAVE_DC] [ABILITY] saving throw, taking [#dX] [DMG_TYPE] damage plus [#dX] damage of another type on a failed save, or half as much damage on a success. Roll a d4 to determine the second damage type: (1) [DMG_TYPE]; (2) [DMG_TYPE]; (3) [DMG_TYPE]; (4) [DMG_TYPE].</t>
  </si>
  <si>
    <t>must make a DC [SAVE_DC] [ABILITY] saving throw against being petrified. On a failure, the creature begins to turn to stone and is restrained. It must repeat this saving throw at the end of its next turn. On a success, the effect ends. On a failure, the creature is petrified [DURATION].</t>
  </si>
  <si>
    <t>is thrown up to [#] ft in a random direction and is knocked prone. If the target strikes a solid surface, the target takes [#dX] + [DMG_MOD] [DMG_TYPE] damage. If the target is thrown at another creature, that creature must succeed on a DC [SAVE_DC] [ABILITY] saving throw or take the same damage, and be knocked prone.</t>
  </si>
  <si>
    <t>must succeed on a DC [SAVE_DC] [ABILITY] saving throw or become ghostly [DURATION]. While ghostly, it has the Incorporeal Movement trait and is susceptible to the [MON]'s Ghost Eater trait. A ghostly creature can repeat this saving throw at the end of each of its turns, ending the ghostly effect on itself on a success.</t>
  </si>
  <si>
    <t>is thrown up to [#] ft and knocked prone. If a thrown target strikes a solid surface, the target takes [#dX] + [DMG_MOD] [DMG_TYPE] damage for every [#] ft it was thrown. If the target is thrown at another creature, that creature must succeed on a DC [SAVE_DC] [ABILITY] saving throw or take the same damage and be knocked prone.</t>
  </si>
  <si>
    <t>is thrown up to [#] ft in a random direction and knocked prone. If a thrown target strikes a solid surface, it takes [#dX] [DMG_TYPE] damage for every [#] ft it was thrown. If the target is thrown at another creature, that creature must succeed on a DC [SAVE_DC] [ABILITY] saving throw or take the same damage and be knocked prone.</t>
  </si>
  <si>
    <t>is thrown up to [#] ft in a random direction and knocked prone. If a thrown target strikes a solid surface, it takes [#dX] + [DMG_MOD] [DMG_TYPE] damage for every [#] ft it was thrown. If the target is thrown at another creature, that creature must succeed on a DC [SAVE_DC] [ABILITY] saving throw or take the same damage and be knocked prone.</t>
  </si>
  <si>
    <t>is flung up to [#] ft away from the [MON] in a random direction and knocked prone. If a thrown target strikes an object, such as a wall or floor, the target takes [#dX] [DMG_TYPE] damage for every [#] ft it traveled. If the target collides with another creature, that creature must succeed on a DC [SAVE_DC] [ABILITY] saving throw or takes the same damage and be knocked prone.</t>
  </si>
  <si>
    <t>disappears and is paralyzed as it is hurtled through the nightmare landscape of the lower planes. At the end of the [MON]'s next turn, the target returns to the space it previously occupied, or the nearest unoccupied space, and is no longer paralyzed. If the target is not a fiend, it takes [#dX] [DMG_TYPE] damage when it returns and must succeed on a DC [SAVE_DC] [ABILITY] saving throw or be frightened [DURATION] as the target reels from its horrific experience.</t>
  </si>
  <si>
    <t>The [MON] plays a song that incites disobedience and rebellion. Each hostile creature within [#] ft of the [MON] must make a DC [SAVE_DC] [ABILITY] saving throw.</t>
  </si>
  <si>
    <t>The [MON] screeches. Each non-demon creature within [#] ft of it that can hear it must succeed on a DC [SAVE_DC] [ABILITY] saving throw or be stunned [DURATION].</t>
  </si>
  <si>
    <t>When the [MON] leaves a creature's sight, the creature must succeed on a DC [SAVE_DC] [ABILITY] saving throw or remember the [MON] only as softly glowing lights.</t>
  </si>
  <si>
    <t>The [MON] explodes when it drops to 0 hit points. Each creature within [#] ft of it must succeed on a DC [SAVE_DC] [ABILITY] saving throw or take [#dX] [DMG_TYPE] damage.</t>
  </si>
  <si>
    <t>When a creature the [MON] can see within [#] ft of it hits it with an attack, that creature must succeed on a DC [SAVE_DC] [ABILITY] saving throw or be charmed [DURATION].</t>
  </si>
  <si>
    <t>Each creature caged by the [MON] must make a DC [SAVE_DC] [ABILITY] saving throw, taking [#dX] + [DMG_MOD] [DMG_TYPE] damage on a failed save, or half as much damage on a success.</t>
  </si>
  <si>
    <t>The [MON] points at a creature marked by Deathly Doom within [#] ft of it than it can see. The creature must succeed at a DC [SAVE_DC] [ABILITY] saving throw or immediately be reduced to 0 hit points.</t>
  </si>
  <si>
    <t>When the [MON] subjected to a divination effect that detects fiends or identifies a creature's alignment, if the [MON] succeeds on a DC [SAVE_DC] [ABILITY] saving throw, it can conceal its true nature.</t>
  </si>
  <si>
    <t>The [MON] sprays spines in a [#] ft radius burst. Each creature in that area must succeed on a DC [SAVE_DC] [ABILITY] saving throw or take [#dX] + [DMG_MOD] [DMG_TYPE] damage and be paralyzed [DURATION].</t>
  </si>
  <si>
    <t>The [MON] produces a cloud of glittering golden particles in a [#] ft radius. Each creature that is not a [MON] in that area must succeed on a DC [SAVE_DC] [ABILITY] saving throw or be blinded [DURATION].</t>
  </si>
  <si>
    <t>The [MON] releases a puff of psychotropic spores in a [#] ft cloud around itself. Each creature in that area must succeed on a DC [SAVE_DC] [ABILITY] saving throw or be confused (as the spell) [DURATION].</t>
  </si>
  <si>
    <t>The [MON] sweeps its tusks in a wide arc. Each creature in a [#] ft cube must succeed on a DC [SAVE_DC] [ABILITY] saving throw or take [#dX] [DMG_TYPE] damage and be pushed up to [#] ft away from the [MON].</t>
  </si>
  <si>
    <t>The [MON] emits a magical aura that radiates out from it [DURATION]. Each creature that starts its turn within [#] ft of the [MON] must succeed on a DC [SAVE_DC] [ABILITY] saving throw or be charmed [DURATION].</t>
  </si>
  <si>
    <t>The [MON] slams any creatures it is grappling into a solid surface. Each grappled creature must succeed on a DC [SAVE_DC] [ABILITY] saving throw or take [#dX] + [DMG_MOD] [DMG_TYPE] damage and be stunned [DURATION].</t>
  </si>
  <si>
    <t>The [MON] emits poison fog, which obscures a [#] ft radius sphere around the [MON]. Any breathing creature that ends its turn in the fog must succeed on a DC [SAVE_DC] [ABILITY] saving throw or be poisoned [DURATION].</t>
  </si>
  <si>
    <t>The [MON] releases a burst of necrotic energy in a [#] ft radius sphere centered on itself. Those in that area take [#dX] [DMG_TYPE] damage, or half as much damage with a successful DC [SAVE_DC] [ABILITY] saving throw.</t>
  </si>
  <si>
    <t>The [MON] pulls on the chain connected to anchor returning it to its empty hand. If anchor is hooked around a creature creature must succeed on a DC [SAVE_DC] [ABILITY] saving throw or be pulled up to [#] ft toward the [MON].</t>
  </si>
  <si>
    <t>The [MON] surrounds itself in icy wind. Each creature within [#] ft of it must succeed on a DC [SAVE_DC] [ABILITY] saving throw or take [#dX] [DMG_TYPE] damage and be pushed up to [#] ft away from the [MON] and knocked prone.</t>
  </si>
  <si>
    <t>The [MON] sweeps its weapon in an arc. The sweep affects half of a [#] ft radius area around the [MON]. All targets in that area must succeed on a DC [SAVE_DC] [ABILITY] saving throw or take [#dX] + [DMG_MOD] [DMG_TYPE] damage.</t>
  </si>
  <si>
    <t>The [MON] binds itself psychically to a creature with an Intelligence of [#] or greater. The attempt fails if the target succeeds on a DC [SAVE_DC] [ABILITY] saving throw. The attempt is unnoticed by the target, regardless of the result.</t>
  </si>
  <si>
    <t>The [MON] emits a cloud of pheromones in a [#] ft radius. The cloud spreads around corners. Each non-[MON] creature in that area must succeed on a DC [SAVE_DC] [ABILITY] saving throw or be confused [DURATION] (as by the confusion spell).</t>
  </si>
  <si>
    <t>The [MON] slams the ground. Each creature and structure in contact with the ground within [#] ft of it must make a DC [SAVE_DC] [ABILITY] saving throw, taking [#dX] [DMG_TYPE] damage on a failed save, or half as much damage on a success.</t>
  </si>
  <si>
    <t>While at least one creature is in swarm's space swarm uses Puddle Jump attempting to pull one creature along for the ride. The target must succeed on a DC [SAVE_DC] [ABILITY] saving throw or be teleported with swarm to swarm's destination.</t>
  </si>
  <si>
    <t>A creature with averted or covered eyes within [#] ft of the [MON] that can hear it must succeed on a DC [SAVE_DC] [ABILITY] saving throw or look at the [MON], making itself the target of Petrifying Gaze if it and the [MON] can see each other.</t>
  </si>
  <si>
    <t>When the [MON] moves through an area smaller than its normal space, it excretes waste in a 5 ft cube. This waste is difficult terrain and creatures crossing through it must succeed on a DC [SAVE_DC] [ABILITY] saving throw or be poisoned [DURATION].</t>
  </si>
  <si>
    <t>The [MON] throws a flask of volatile substances at a point within [#] ft of it, which explodes. Each creature within [#] ft of that point must succeed on a DC [SAVE_DC] [ABILITY] saving throw or take [#dX] [DMG_TYPE] damage and be poisoned [DURATION].</t>
  </si>
  <si>
    <t>The [MON] unleashes a magical roar. Each time it roars before taking a long rest its roar becomes more powerful. Each creature within [#] ft of the [MON] that can hear it must make a DC [SAVE_DC] [ABILITY] saving throw with the following consequences:</t>
  </si>
  <si>
    <t>The [MON] touches a creature and knows the creature's current emotional state. If the target fails a DC [SAVE_DC] [ABILITY] saving throw, the [MON] also knows the creature's alignment. Celestials, fiends, and undead automatically fail the saving throw.</t>
  </si>
  <si>
    <t>The [MON] inhales the tortured spirits of undead within [#] ft of it. Each undead creature of CR [#] and lower in that area is automatically destroyed. All other undead must succeed on a DC [SAVE_DC] [ABILITY] saving throw or be incapacitated [DURATION].</t>
  </si>
  <si>
    <t>The [MON] intensifies its Blistering Radiance to withering levels. All creatures in the [MON]'s aura take [#dX] [DMG_TYPE] damage, and gain a level of exhaustion; a successful DC [SAVE_DC] [ABILITY] saving throw reduces damage by half and negates exhaustion.</t>
  </si>
  <si>
    <t>The [MON] curses one magic item it can see within [#] ft of it. If item is being worn or carried by a creature creature must make a DC [SAVE_DC] [ABILITY] saving throw to avoid the curse. [DURATION] cursed item suffers one curse described below based on type.</t>
  </si>
  <si>
    <t>The [MON] slams any creatures it is grappling into a hard surface or into each other. Each creature must succeed on a DC [SAVE_DC] [ABILITY] saving throw or take [#dX] + [DMG_MOD] [DMG_TYPE] damage, be stunned [DURATION], and be pulled [#] ft toward the [MON].</t>
  </si>
  <si>
    <t>The [MON] touches a creature. The creature must make a DC [SAVE_DC] [ABILITY] saving throw. On a failure, the [MON] reads its mental state and surface thoughts and learns its alignment (if any). Celestials fiends and undead automatically fail the saving throw.</t>
  </si>
  <si>
    <t>The [MON] fills lungs of one creature it is grappling with seawater algae and tiny ocean debris harming creatures that breathe air or water: [#dX] [DMG_TYPE] damage and chokes as lungs fill with water and debris (DC [SAVE_DC] [ABILITY] half damage not choking).</t>
  </si>
  <si>
    <t>The [MON] shifts through multiple dimensions with a target it is grappling, ending in the same dimension it began. The creature must make a DC [SAVE_DC] [ABILITY] saving throw, taking [#dX] [DMG_TYPE] damage on a failed save, or half as much damage on a success.</t>
  </si>
  <si>
    <t>The [MON] rears back and slams its front hooves into the ground. Each creature within [#] ft of the [MON] must succeed on a DC [SAVE_DC] [ABILITY] saving throw or take [#dX] [DMG_TYPE] damage, is pushed up to [#] ft away from the [MON], and is deafened [DURATION].</t>
  </si>
  <si>
    <t>If the [MON] moves at least [#] ft, it can then use this action to continue moving in a [#] ft long line. Each creature within [#] ft of this line must succeed on a DC [SAVE_DC] [ABILITY] saving throw or take [#dX] + [DMG_MOD] [DMG_TYPE] damage and be knocked prone.</t>
  </si>
  <si>
    <t>If the [MON] takes fire damage, it erupts in a gout of flame. The [MON] immediately takes [#dX] [DMG_TYPE] damage, and each creature within [#] ft of it must succeed on a DC [SAVE_DC] [ABILITY] saving throw or take [#dX] [DMG_TYPE] damage plus [#dX] [DMG_TYPE] damage.</t>
  </si>
  <si>
    <t>The [MON] is shrouded in a [#] ft radius cloud of dark smoke. This area is lightly obscured to creatures other than [MON]. Any creature that needs to breathe that begins its turn in that area must succeed on a DC [SAVE_DC] [ABILITY] saving throw or be stunned [DURATION].</t>
  </si>
  <si>
    <t>The [MON] corrodes a nonmagical metal object within [#] ft of it. It can destroy up to a 1 ft square portion of an unattended object. If the object is worn or carried, the object's owner must succeed on a DC [SAVE_DC] [ABILITY] saving throw or be affected by this ability.</t>
  </si>
  <si>
    <t>If the wall enters a creature's space when it appears, the creature is pushed to one side of the wall (the [MON]'s choice). The creature must then make a DC [SAVE_DC] [ABILITY] saving saving throw, taking [#dX] [DMG_TYPE] damage on a failed save or half damage on a success.</t>
  </si>
  <si>
    <t>If the wall enters a creature's space when it appears, the creature is pushed to one side of the wall (creature's choice). The creature must then make a DC [SAVE_DC] [ABILITY] saving throw, taking [#dX] [DMG_TYPE] damage on a successful save or half as much damage on a success.</t>
  </si>
  <si>
    <t>The [MON] launches a barrage of razor-sharp cold iron leaves from its branches in a [#] ft radius burst. Each creature in this area must make a DC [SAVE_DC] [ABILITY] saving throw, taking [#dX] + [DMG_MOD] [DMG_TYPE] damage on a failed save, or half as much damage on a success.</t>
  </si>
  <si>
    <t>The [MON] moves up to its speed in a straight line, moving through the space of any creature in its path. The first time the [MON] enters a creature's space during this movement, it must succeed on a DC [SAVE_DC] [ABILITY] saving throw or take [#dX] + [DMG_MOD] [DMG_TYPE] damage.</t>
  </si>
  <si>
    <t>The [MON] selects up to three creatures it has taken captive within [#] ft of it. Each creature must succeed on a DC [SAVE_DC] [ABILITY] saving throw or have disadvantage [DURATION] on any attack rolls or skill checks to take actions other than those the [MON] has ordered it to take.</t>
  </si>
  <si>
    <t>The [MON] explodes into shards of glass, reducing its hit points by [#dX]. Each creature within [#] ft of it must make a DC [SAVE_DC] [ABILITY] saving throw, taking [#dX] [DMG_TYPE] damage on a failed save, or half as much damage on a success. The [MON] then polymorphs into its sand form.</t>
  </si>
  <si>
    <t>The [MON] releases a magnetic pulse, repelling metal objects. Each creature that is wearing metal armor or holding a metal weapon within [#] ft of the [MON] must succeed on a DC [SAVE_DC] [ABILITY] saving throw or take [#dX] [DMG_TYPE] damage and be pushed up to [#] ft away from the [MON].</t>
  </si>
  <si>
    <t>The [MON] throws one object or creature it is grappling up to [#] ft. The target lands prone and takes [#dX] + [DMG_MOD] [DMG_TYPE] damage. If the [MON] throws the target at another creature, that creature must make a DC [SAVE_DC] [ABILITY] saving throw, taking the same damage on a failure.</t>
  </si>
  <si>
    <t>The [MON] launches a root at one creature it can see within [#] ft of it. The creature must succeed on a DC [SAVE_DC] [ABILITY] saving throw or take [#dX] [DMG_TYPE] damage as the [MON] drains blood from it. The [MON] or its host (the [MON]'s choice) then regains hit points equal to damage taken.</t>
  </si>
  <si>
    <t>The [MON] corrupts the magic within any scroll by touch. Any such corrupted scroll requires a DC [SAVE_DC] [ABILITY] saving throw to use successfully. If the check fails, the scroll's spell affects the caster if it is an offensive spell, or it affects the nearest [MON] if it is a beneficial spell.</t>
  </si>
  <si>
    <t>The [MON] creates a dissonant song. Each creature within [#] ft of the [MON] that can hear the song must succeed on a DC [SAVE_DC] [ABILITY] saving throw or be charmed until the song ends. The [MON] must take a bonus action on its subsequent turns to continue singing. It can stop singing at any time.</t>
  </si>
  <si>
    <t>The [MON] can't abide constant warmth. Each [DURATION] it spends in an area with a temperature above 40 degrees Fahrenheit, the [MON] must succeed on a DC [SAVE_DC] [ABILITY] saving throw or suffer one level of exhaustion that can't be removed [DURATION] in an area with a temperature below 40 degrees.</t>
  </si>
  <si>
    <t>The [MON] moves up to half its speed. It can enter hostile creatures' spaces but can't end its move there. The first time the [MON] enters a creature's space during this movement, it must succeed on a DC [SAVE_DC] [ABILITY] saving throw or take [#dX] + [DMG_MOD] [DMG_TYPE] damage and be knocked prone.</t>
  </si>
  <si>
    <t>The [MON] slams creatures grappled by it into each other or a solid surface. Each creature must succeed on a DC [SAVE_DC] [ABILITY] saving throw or take [#dX] + [DMG_MOD] [DMG_TYPE] damage, and be stunned [DURATION]. On a successful save, the target takes half the bludgeoning damage and isn't stunned.</t>
  </si>
  <si>
    <t>The [MON] throws a powerful explosive at a point it can see within [#] ft of it. Each creature within [#] ft of that point must succeed on a DC [SAVE_DC] [ABILITY] saving throw or take [#dX] [DMG_TYPE] damage plus [#dX] [DMG_TYPE] damage and be pushed up to [#] ft away from the point and knocked prone.</t>
  </si>
  <si>
    <t>Magical spikes of stone explode from a point on a flat surface of unworked stone within [#] ft of the [MON]. Each creature within [#] ft of this point must make a DC [SAVE_DC] [ABILITY] saving saving throw, taking [#dX] + [DMG_MOD] [DMG_TYPE] damage on a failed save, or half as much damage on a success.</t>
  </si>
  <si>
    <t>The [MON] teleports one object it is holding that weighs up to 10 pounds into empty hand of one ally it can see within [#] ft of it. If the target isn't a [MON] it must make a DC [SAVE_DC] [ABILITY] saving throw to catch the object otherwise object falls to the ground in a space within [#] ft of target.</t>
  </si>
  <si>
    <t>The [MON] releases a blast of steam. The [MON] chooses whether to affect a [#] ft radius around itself or a [#] ft cube adjacent to itself. Creatures in the affected area must make a DC [SAVE_DC] [ABILITY] saving throw, taking [#dX] [DMG_TYPE] damage on a failed save, or half as much damage on a success.</t>
  </si>
  <si>
    <t>The [MON] moves up to twice its speed, moving through the space of any creature in its path. This movement doesn't provoke opportunity attacks. When it enters a creature's space for the first time during this movement, the creature must succeed on a DC [SAVE_DC] [ABILITY] saving throw or be knocked prone.</t>
  </si>
  <si>
    <t>The [MON] emits a [#] ft radius of disgusting green gas. The gas spreads around corners, and its area is lightly obscured. It lasts [DURATION] or until a strong wind disperses it. Any creature that starts its turn in that area must succeed on a DC [SAVE_DC] [ABILITY] saving throw or be poisoned [DURATION].</t>
  </si>
  <si>
    <t>The [MON] moves up to [#] ft in a straight line over ice or snow and can move through the space of any creature. The first time it enters a creature's space during this move, that creature must succeed on a DC [SAVE_DC] [ABILITY] saving throw or take [#dX] + [DMG_MOD] [DMG_TYPE] damage and be knocked prone.</t>
  </si>
  <si>
    <t>The [MON] beats its wings, creating a [#] ft radius cloud of ash centered on itself. This cloud provides half cover, though the [MON] can see normally through it. Any creature that enters the cloud or starts its turn in the cloud must succeed on a DC [SAVE_DC] [ABILITY] saving throw or be blinded [DURATION].</t>
  </si>
  <si>
    <t>The ground shakes in a [#] ft radius centered on a point the [MON] can see on an earth or stone surface within [#] ft of it. The area becomes difficult terrain. Each non-elemental creature in that area must succeed on a DC [SAVE_DC] [ABILITY] saving throw or take [#dX] [DMG_TYPE] damage and be knocked prone.</t>
  </si>
  <si>
    <t>The [MON] unleashes a gale-force blast of wind in a line [#] ft long and [#] ft wide. Creatures in that area take [#dX] + [DMG_MOD] [DMG_TYPE] damage, and are pushed [#] ft directly away from the [MON], or they take half as much damage, and are not pushed with a successful DC [SAVE_DC] [ABILITY] saving throw.</t>
  </si>
  <si>
    <t>If the [MON] is outside and the weather is stormy, three lightning bolts crack down from the sky, each of which strikes a different target within [#] ft of the [MON]. Each target must make a DC [SAVE_DC] [ABILITY] saving throw, taking [#dX] [DMG_TYPE] damage on a failed save, or half as much damage on a success.</t>
  </si>
  <si>
    <t>The [MON] sings an enchanting tune. Each creature within [#] ft of the [MON] that can hear it must succeed on a DC [SAVE_DC] [ABILITY] saving throw or be charmed until the song ends. The [MON] must use a bonus action on its subsequent turns to continue singing. It can stop singing at any time, no action required.</t>
  </si>
  <si>
    <t>The [MON] moves up to its speed, passing through the space of creatures in its path. this movement doesn't provoke opportunity attacks. Each creature through which the [MON] passes must make a DC [SAVE_DC] [ABILITY] saving throw, taking [#dX] [DMG_TYPE] damage on a failed save, or half as much damage on a success.</t>
  </si>
  <si>
    <t>If the [MON] jumps at least [#] ft as part of its movement, it can then use this action to land on its feet in an unoccupied space it can see. Each creature within [#] ft of the [MON] when it lands must succeed on a DC [SAVE_DC] [ABILITY] saving throw or take [#dX] + [DMG_MOD] [DMG_TYPE] damage and be knocked prone.</t>
  </si>
  <si>
    <t>As an action, a [MON] can consume nonmagical jewelry or coinage worth up to 1,000 gp. For each 200 gp consumed, it heals [#] hit points of damage. A [MON] can use this ability against the worn items of a grappled foe. The target must succeed on a DC [SAVE_DC] [ABILITY] saving throw to keep an item from being consumed.</t>
  </si>
  <si>
    <t>The [MON] surrounds itself with a [#] ft radius maelstrom of surging wind and rain [DURATION]. A creature other than the [MON] that starts its turn in the maelstrom or enters it for the first time on a turn must succeed on a DC [SAVE_DC] [ABILITY] saving throw or be knocked prone and pushed [#] ft away from the [MON].</t>
  </si>
  <si>
    <t>While the [MON] is underwater, it changes the flow of nearby water. The current forms a [#] ft long line that is [#] ft wide, flowing away from the [MON] in a direction it chooses. Each creature in that area must succeed on a DC [SAVE_DC] [ABILITY] saving throw or be pushed up to [#] ft away from [MON] along the line.</t>
  </si>
  <si>
    <t>The [MON] commands its mount to move up to [#] ft in a straight line without provoking opportunity attacks. During this movement, the mount weaves back and forth along the line. Each creature in that area must succeed on a DC [SAVE_DC] [ABILITY] saving throw or take [#dX] + [DMG_MOD] [DMG_TYPE] damage and be knocked prone.</t>
  </si>
  <si>
    <t>The [MON] emits a dense, choking smoke within [#] ft of itself. Each non-[MON] creature that enters the smoke or starts its turn in the smoke must succeed on a DC [SAVE_DC] [ABILITY] saving throw or be blinded [DURATION]. The smoke is nonmagical and can be dispersed by a wind of moderate or greater speed (at least 10 miles per hour).</t>
  </si>
  <si>
    <t>The [MON] fills lungs of a creature grappled by it with seawater. Creature must succeed on a DC [SAVE_DC] [ABILITY] saving throw or begin suffocating. A suffocating but conscious creature can repeat this saving throw at the end of each of its turns, ending the effect on itself on a success. Effect also ends if creature escapes grapple.</t>
  </si>
  <si>
    <t>When confronting a [MON] at any range, a creature must make a choice at the start of each of its turns: either avert its eyes so that it has disadvantage on attack rolls against the [MON] [DURATION], or look at the [MON] and make a DC [SAVE_DC] [ABILITY] saving throw. Failure on the saving throw leaves the character stunned [DURATION].</t>
  </si>
  <si>
    <t>The [MON] chooses a ally it can see within [#] ft of it and imbues that creature's attacks with magical poison. The next time the ally hits with an attack before the start of the [MON]'s next turn, the attack deals an extra [#dX] [DMG_TYPE] damage and the target must succeed on a DC [SAVE_DC] [ABILITY] saving throw or be poisoned [DURATION].</t>
  </si>
  <si>
    <t>The [MON] transforms into a wave of magma, moving up to its speed in a straight line. Each creature in the path where the [MON] moves must succeed on a DC [SAVE_DC] [ABILITY] saving throw or take [#dX] [DMG_TYPE] damage and be pushed ahead of the [MON] and knocked prone in an unoccupied space within [#] ft of where the [MON] ends its movement.</t>
  </si>
  <si>
    <t>The [MON] moves up to [#] ft in a straight line over ice or snow and can move through the space of any creature. The first time it enters a creature's space during this move, that creature must succeed on a DC [SAVE_DC] [ABILITY] saving throw or take [#dX] + [DMG_MOD] [DMG_TYPE] damage plus [#dX] + [DMG_MOD] [DMG_TYPE] damage and be knocked prone.</t>
  </si>
  <si>
    <t>While the [MON] is underwater, it changes the flow of nearby water. A [#] ft cube of rushing water forms on a point [MON] can see within [#] ft of it. The cube's space is difficult terrain and a creature that starts its turn in that area must succeed on a DC [SAVE_DC] [ABILITY] saving throw or be pushed out of the cube directly away from the [MON].</t>
  </si>
  <si>
    <t>Activates latent magic in its paint burning/freezing paint off creatures affected by Paint Splash. Each creature coated in paint within [#] ft of it: [#dX] [DMG_TYPE] damage (if coated in cool color) or fire (warm color) and poisoned [DURATION] (DC [SAVE_DC] [ABILITY] half damage and isn't poisoned). Each affected creature no longer coated in paint.</t>
  </si>
  <si>
    <t>The [MON] moves up to its speed in a straight line, moving through the space of any creature in its path. This movement doesn't provoke opportunity attacks. The first time the [MON] enters a creature's space during this movement, it must succeed on a DC [SAVE_DC] [ABILITY] saving throw or take [#dX] + [DMG_MOD] [DMG_TYPE] damage and be knocked prone.</t>
  </si>
  <si>
    <t>The [MON] speaks in Umbral, whispering of what it sees beyond the dark. The area within [#] ft of the [MON] becomes dimly lit [DURATION]. Only sunlight can illuminate the area brightly during this time. Each hostile creature in that area must succeed on a DC [SAVE_DC] [ABILITY] saving throw or take [#dX] [DMG_TYPE] damage and be frightened [DURATION].</t>
  </si>
  <si>
    <t>The [MON] targets one creature that has taken [DMG_TYPE] damage from it within [DURATION] and causes a burst of fire to expand out from that creature in a [#] ft radius. Each creature in that area, including the target, must make a DC [SAVE_DC] [ABILITY] saving throw, taking [#dX] [DMG_TYPE] damage on a failed save, or half as much damage on a success.</t>
  </si>
  <si>
    <t>The [MON] flies up to [#] ft in straight line and can move through space of any creature. The first time it enters a creature's space during this move, the target takes [#dX] [DMG_TYPE] damage and must succeed on a DC [SAVE_DC] [ABILITY] saving throw or be stunned [DURATION]. if [MON]'s wings are ignited from Winged Inferno extra [#dX] [DMG_TYPE] damage.</t>
  </si>
  <si>
    <t>The [MON] targets one creature with a brain within [#] ft of it. The target must succeed on a DC [SAVE_DC] [ABILITY] saving throw or it takes [#dX] [DMG_TYPE] damage and is rattled [DURATION]. If it is already rattled by Ego Whip it is also stunned. The target can repeat this saving throw at the end of each of its turns, ending both effects on a success.</t>
  </si>
  <si>
    <t>The [MON] releases a magical burst of pressure that propels it backwards in a line that is [#] ft long and [#] ft wide. Each creature within [#] ft of the space the [MON] left and each creature in that area must succeed on a DC [SAVE_DC] [ABILITY] saving throw or take [#dX] [DMG_TYPE] damage and be pushed up to [#] ft away from the [MON] and knocked prone.</t>
  </si>
  <si>
    <t>The [MON] gathers up to 100 gp worth of coins, gems, and other small, valuable objects within [#] ft of it, adding them to its mass. It regains [#dX] hit points and has advantage on its next attack roll. A creature wearing or carrying such valuables must succeed on a DC [SAVE_DC] [ABILITY] saving throw or its valuables fly toward the [MON], joining the mass.</t>
  </si>
  <si>
    <t>The [MON] uses an action to read the surface thoughts of all creatures within [#] ft of it. This works like the detect thoughts spell, except the [MON] can only determine each creature's favorite food. Each creature within range must succeed on a DC [SAVE_DC] [ABILITY] saving throw or have disadvantage on its saving throw against the [MON]'s Fake Feast action.</t>
  </si>
  <si>
    <t>The [MON] moves up to [#] ft, jumping over obstacles in its way. Difficult terrain doesn't cost it extra movement when it leaps. Each creature within [#] ft of the [MON] when it leaps and each creature within [#] ft of where it lands must succeed on a DC [SAVE_DC] [ABILITY] saving throw or take [#dX] [DMG_TYPE] damage and be pushed up to [#] ft away from the [MON].</t>
  </si>
  <si>
    <t>The [MON] drains the life force of one creature impaled on its spikes. The target must succeed on a DC [SAVE_DC] [ABILITY] saving throw or take [#dX] [DMG_TYPE] damage. If a creature dies from this attack, its soul is absorbed into the [MON] and can be restored to life only by means of a wish spell. The [MON] then regains hit points equal to the necrotic damage dealt.</t>
  </si>
  <si>
    <t>The [MON] surrounds itself with a [#] ft radius maelstrom of surging wind and rain [DURATION]. A creature other than the [MON] that starts its turn in the maelstrom or enters it for the first time on a turn must succeed on a DC [SAVE_DC] [ABILITY] saving throw or take [#dX] + [DMG_MOD] [DMG_TYPE] damage and be knocked prone and pushed up to [#] ft away from the [MON].</t>
  </si>
  <si>
    <t>The [MON] that hovers in flight can shake a fine, magical dander from its wings over a creature within [#] ft of it and directly below it. The creature must succeed on a DC [SAVE_DC] [ABILITY] saving throw or fall unconscious and be poisoned [DURATION]. It wakes up if it takes damage or if a creature uses an action to shake it awake, but waking up doesn't end the poisoning.</t>
  </si>
  <si>
    <t>The [MON] radiates an aura in a [#] ft radius, lasting [DURATION], that draws all fluids out through a creature's mouth, nose, eyes, ears, and pores. Every creature of the [MON]'s choosing that starts its turn in the affected area must make a DC [SAVE_DC] [ABILITY] saving throw, taking [#dX] + [DMG_MOD] [DMG_TYPE] damage on a failed save, or half as much damage on a success.</t>
  </si>
  <si>
    <t>Intelligent creatures within [#] ft of the [MON] who are able to hear its voice must make a DC [SAVE_DC] [ABILITY] saving throw. Those who fail find the sound of the [MON]'s voice pleasant and alluring, so that the [MON] has advantage on Charisma checks against them [DURATION]. The affected characters can't attack the [MON] during this time unless they are wounded in that time.</t>
  </si>
  <si>
    <t>If the [MON] burrows at least [#] ft straight toward a target, it can burst out of the ground. Each creature in its space when it erupts must succeed on a DC [SAVE_DC] [ABILITY] saving throw or take [#dX] + [DMG_MOD] [DMG_TYPE] damage, be pushed out of the [MON]'s space, and be knocked prone. On a success, a creature takes half as much damage and is pushed but not knocked prone.</t>
  </si>
  <si>
    <t>The [MON] commands its mount to move up to [#] ft in a straight line without provoking opportunity attacks. During this movement, the mount swims in a corkscrew around the creatures in the line. Each creature in that area must succeed on a DC [SAVE_DC] [ABILITY] saving throw or be incapacitated with dizziness [DURATION]. The mount must have a swimming speed to use this maneuver.</t>
  </si>
  <si>
    <t>While underwater the [MON] exudes a cloud of inky slime in a [#] ft radius sphere. Each non-[MON] creature in that area when the cloud appears must succeed on a DC [SAVE_DC] [ABILITY] saving throw or take [#dX] [DMG_TYPE] damage and be poisoned [DURATION]. The slime extends around corners and the area is heavily obscured [DURATION] or until a strong current dissipates the cloud.</t>
  </si>
  <si>
    <t>The [MON] removes oxygen from nearby water [DURATION]. Each creature that requires oxygen to live (including air-breathing creatures under effects of water breathing) and starts its turn within [#] ft of the [MON] must succeed on a DC [SAVE_DC] [ABILITY] saving throw or begin suffocating. The [MON] never suffers effects of this; can choose any creatures in that area to ignore it.</t>
  </si>
  <si>
    <t>The target must succeed on a DC [SAVE_DC] [ABILITY] saving throw or take [#dX] + [DMG_MOD] [DMG_TYPE] damage, can't breathe, speak, or cast spells, and begins suffocating. On a success, the creature takes half as much damage and is no longer grappled. Until this strangling grapple ends (escape DC [SAVE_DC]), the target takes [#dX] [DMG_TYPE] damage at the start of each of its turns.</t>
  </si>
  <si>
    <t>The [MON] throws its head up to [#] ft. Each creature within [#] ft of the head must make a DC [SAVE_DC] [ABILITY] saving throw, taking [#dX] [DMG_TYPE] damage on a failed save, or half as much damage on a success. After using this action the [MON] no longer has a head. It can still use its senses but can no longer use Fire Breath. It can create a new head when it finishes a long rest.</t>
  </si>
  <si>
    <t>Gusts of sleet emanate from the [MON] in a [#] ft radius sphere [DURATION], spreading around corners. The area is lightly obscured and the ground is difficult terrain. The first time a creature other than the [MON] moves on its turn while in that area, it must succeed on a DC [SAVE_DC] [ABILITY] saving throw or take [#dX] [DMG_TYPE] damage and be knocked prone (or fall if it is flying).</t>
  </si>
  <si>
    <t>The [MON] draws the moisture from a [#] ft radius area centered on itself. Nonmagical water and other liquids in this area turn to dust. Each living creature in that area must make a DC [SAVE_DC] [ABILITY] saving throw, taking [#dX] [DMG_TYPE] damage on a failed save, or half as much damage on a success. Liquids carried by a creature that succeeds on this saving throw are not destroyed.</t>
  </si>
  <si>
    <t>The [MON] rears up and lands heavily, kicking up a shower of debris and rattling and cracking the ground. Each creature in contact with the ground within [#] ft of the [MON] must succeed on a DC [SAVE_DC] [ABILITY] saving throw or take [#dX] + [DMG_MOD] [DMG_TYPE] damage and be knocked prone. On a success, a creature takes half as much damage only. The area then becomes difficult terrain.</t>
  </si>
  <si>
    <t>One target caught in the [MON]'s vortex is thrown up to [#] ft in a random direction and knocked prone. If a thrown target strikes a solid surface, the target takes [#dX] + [DMG_MOD] [DMG_TYPE] damage for every [#] ft it was thrown. If the target is thrown at another creature, that creature must succeed on a DC [SAVE_DC] [ABILITY] saving throw or take the same damage, and be knocked prone.</t>
  </si>
  <si>
    <t>The [MON] targets one creature within [#] ft of one of its rootlet swarms. The target takes [#dX] + [DMG_MOD] [DMG_TYPE] damage and is grappled (escape DC [SAVE_DC]), or takes half as much damage and isn't grappled if it must succeed on a DC [SAVE_DC] Dexterity saving throw. Until the grapple ends, the target is restrained, it has disadvantage on Strength checks and [ABILITY] saving throws.</t>
  </si>
  <si>
    <t>While merged with a humanoid (see Aural Symbiosis), the [MON] feeds on nearby creatures. Up to nine creatures of the [MON]'s choice within [#] ft of it can be targeted. Each target must succeed on a DC [SAVE_DC] [ABILITY] saving throw or take [#dX] [DMG_TYPE] damage, and have its hit point max reduced by the same amount [DURATION]. Victims notice this damage immediately, but not its source.</t>
  </si>
  <si>
    <t>The [MON] attempts to absorb the spirit of a dead or undead creature in its belly. The creature must succeed on a DC [SAVE_DC] [ABILITY] saving throw or be absorbed by the [MON]. A creature absorbed this way is destroyed and can't be reanimated, though it can be restored to life by powerful magic, such as a resurrection spell. The [MON] regains hit points equal to the absorbed creature's hit point max.</t>
  </si>
  <si>
    <t>The [MON] chooses up to two points it can see within [#] ft of it. The [MON] can't choose a point within [#] ft of it. Each creature within [#] ft of a point must make a DC [SAVE_DC] [ABILITY] saving throw, taking [#dX] [DMG_TYPE] damage on a failure, or half as much damage on a success. If a creature is within [#] ft of both points, it has disadvantage on this saving throw, but takes damage only once.</t>
  </si>
  <si>
    <t>The [MON] is afraid of fire, and it won't move toward any fiery or burning objects. If presented forcefully with a flame, or if it is dealt fire damage, the [MON] must succeed on a DC [SAVE_DC] [ABILITY] saving throw or be frightened [DURATION]. After it has been frightened by a specific source of fire (such as the burning hands spell), the [MON] can't be frightened by that same source again [DURATION].</t>
  </si>
  <si>
    <t>The [MON] increases the power of its inner fire, causing metal weapons and armor to burn red-hot. Each creature within [#] ft of it that is in physical contact with a manufactured metal object takes [#dX] [DMG_TYPE] damage and must succeed on a DC [SAVE_DC] [ABILITY] saving throw or drop the object if it can. If it doesn't drop the object, it has disadvantage on attack rolls and ability checks [DURATION].</t>
  </si>
  <si>
    <t>Two [MON]s within [#] ft of each other can combine their actions to move up to their speed with a 5 ft, two-person saw held between them and attack a single creature in their path. The target must succeed on a DC [SAVE_DC] [ABILITY] saving throw or take [#dX] + [DMG_MOD] [DMG_TYPE] damage and be knocked prone. If the target is knocked prone, each [MON] may make a melee attack against it as a bonus action.</t>
  </si>
  <si>
    <t>Plants erupt from the ground in a [#] ft radius around a point up to [#] ft from the [MON]. Each creature of the [MON]'s choice in that area must succeed on a DC [SAVE_DC] [ABILITY] saving throw or be restrained [DURATION]. A creature can use its action to make a DC [SAVE_DC] Strength check freeing itself or a creature within [#] ft of it on a success. Additionally the area is difficult terrain [DURATION].</t>
  </si>
  <si>
    <t>The [MON]'s mandibles drip a searing acid, instantly igniting the gas around it. Each creature within [#] ft of the [MON] must make a DC [SAVE_DC] [ABILITY] saving throw, taking [#dX] [DMG_TYPE] damage on a failed save, or half as much damage on a success. The [MON]'s Nauseous Gas trait becomes inactive [DURATION]. The [MON] can't use Searing Gas unless Nauseous Gas has been active for at least [DURATION].</t>
  </si>
  <si>
    <t>The [MON]'s poison-imbued wrappings and flesh create toxic fumes when burned. If a [MON] takes [DMG_TYPE] damage, it is surrounded by a cloud of toxic smoke in a [#] ft radius. This cloud persists [DURATION]. A creature that starts its turn inside the cloud or enters it for the first time on its turn takes [#dX] [DMG_TYPE] damage, or half as much damage with a successful DC [SAVE_DC] [ABILITY] saving throw.</t>
  </si>
  <si>
    <t>The [MON] consumes one unattended metal object or attempts to consume a metal object worn or held by the creature it is grappling. The grappled creature must succeed on a DC [SAVE_DC] [ABILITY] saving throw or the object is consumed. If the object is a magic item, the creature has advantage on the saving throw. Magic items consumed by the [MON] stay intact in its stomach [DURATION] before they are destroyed.</t>
  </si>
  <si>
    <t>The [MON] throws a creature it is grappling at a space it can see within [#] ft of it. The thrown creature takes [#dX] + [DMG_MOD] [DMG_TYPE] damage, and must succeed on a DC [SAVE_DC] [ABILITY] saving throw or land prone. If the target space is occupied by another creature that creature must succeed on a DC [SAVE_DC] [ABILITY] saving throw or take [#dX] + [DMG_MOD] [DMG_TYPE] damage, and be knocked prone.</t>
  </si>
  <si>
    <t>If the [MON] is underwater, it flares the light from its organs, making the skull-like structure within more apparent. If the [MON] is above water, it tightly pulls in its outer flesh, causing its body to take on a fleshy, skull-like appearance. Each humanoid within [#] ft of the [MON] that can see it must succeed on a DC [SAVE_DC] [ABILITY] saving throw or take [#dX] [DMG_TYPE] damage and be frightened [DURATION].</t>
  </si>
  <si>
    <t>Areas of unworked earth within [#] ft of it become swampy mud [DURATION]. These areas become difficult terrain. Prone creatures in that area when the mud appears or that are knocked prone in that area make a DC [SAVE_DC] [ABILITY] saving throw. On a failure, the creatures speed drops to 0 as it becomes stuck in the mud. A creature can use its action to make a DC [SAVE_DC] Strength check, freeing itself on a success.</t>
  </si>
  <si>
    <t>The [MON] causes orb at the end of its lure to glow. Can extinguish light as a bonus action. While light is active when a creature enters a space within [#] ft of the [MON] for the first time on a turn or starts its turn there and can see the light must succeed on a DC [SAVE_DC] [ABILITY] saving throw or be charmed by the [MON] until light is extinguished. A creature can also re-save at the end of each of its turns.</t>
  </si>
  <si>
    <t>The [MON] targets a single creature within [#] ft of it that broke the terms of a pact witnessed by the [MON]. The creature must succeed on a DC [SAVE_DC] [ABILITY] saving throw or be blinded, deafened, and stunned [DURATION]. The conditions can be ended early only with a dispel magic (DC [SAVE_DC]) spell or similar magic. When these conditions end, the affected creature has disadvantage on saving throws [DURATION].</t>
  </si>
  <si>
    <t>The [MON] enters the corpse of a Small, Medium, or Large creature that has been dead less than [DURATION], impersonating it [DURATION] before the body decays. If the [MON] takes [#] damage or more on a single turn while inhabiting a body, it must succeed on a DC [SAVE_DC] [ABILITY] saving throw or be ejected from the body, which then falls apart and is destroyed. Its stats other than its size are the same in each body.</t>
  </si>
  <si>
    <t>If the [MON] burrows at least [#] ft straight toward a target, it can dig a [#] ft diameter, [#] ft deep pit beneath it. Each creature in the pit is area must succeed on a DC [SAVE_DC] [ABILITY] saving throw or fall into the mycelium-lined pit and land prone, taking [#dX] + [DMG_MOD] [DMG_TYPE] damage plus falling damage. The [MON] can then make one Mycelium Spike attack against a prone creature in the pit as a bonus action.</t>
  </si>
  <si>
    <t>The [MON] shoots a ray at a target it can see within [#] ft of it. If the target is a creature, it must succeed on a DC [SAVE_DC] [ABILITY] saving throw or be moved up to [#] ft in any direction by the [MON]. If the target is an object weighing 300 pounds or less that isn't being worn or carried, it is moved up to [#] ft in any direction. The [MON] can use this ability to manipulate simple tools or open doors and containers.</t>
  </si>
  <si>
    <t>The [MON] creates an avalanche on a hill or mountainside centered on a point within [#] ft of it. Stones cascade down sloped or sheer stone surfaces within [#] ft of that point. Each non-[MON] creature within the affected area must succeed on a DC [SAVE_DC] [ABILITY] saving throw or take [#dX] + [DMG_MOD] [DMG_TYPE] damage, is knocked prone, and moves with the avalanche until it reaches a flat surface or the edge of the area.</t>
  </si>
  <si>
    <t>The [MON] tucks in its head and throws itself, spikes first, into nearby foes. The [MON] moves up to [#] ft in a straight line and can move through the space of any Medium or smaller creature. The first time it enters a creature's space during this movement, the creature must succeed on a DC [SAVE_DC] [ABILITY] saving throw or take [#dX] + [DMG_MOD] [DMG_TYPE] damage plus [#dX] + [DMG_MOD] [DMG_TYPE] damage and be knocked prone.</t>
  </si>
  <si>
    <t>The [MON] places a powerful explosive in a space within [#] ft of it, which detonates at the end of the [MON]'s next turn or when a creature moves to a space within [#] ft of the explosive, whichever happens first. Each creature within [#] ft of that point must succeed on a DC [SAVE_DC] [ABILITY] saving throw or take [#dX] [DMG_TYPE] damage plus [#dX] [DMG_TYPE] damage and be pushed up to [#] ft away from the point and knocked prone.</t>
  </si>
  <si>
    <t>The target must succeed on a DC [SAVE_DC] [ABILITY] saving throw or the target's fate is bound to one random ally of the target. Any damage or condition the target suffers is inflicted on the individual to which they are bound instead, and vice versa. A creature can be bound to only one other creature at a time. This effect lasts until either of the affected creatures gains a level, or until a heal or heroes' feast lifts this binding.</t>
  </si>
  <si>
    <t>The [MON] becomes super-heated, expelling momentous energy outwards in a [#] ft radius blast around it. Each creature caught in the blast must succeed on a DC [SAVE_DC] [ABILITY] saving throw or takes [#dX] [DMG_TYPE] damage plus [#dX] [DMG_TYPE] damage and is knocked prone. On a success, a creature takes half the fire and force damage but isn't knocked prone. After using Flare, the [MON] is starving. It can't use Flare if it is starving.</t>
  </si>
  <si>
    <t>The [MON] selects a spot within [#] ft of itself; that spot glows with a faint, blue light [DURATION]. All other creatures that can see the light at the start of their turn must succeed on a DC [SAVE_DC] [ABILITY] saving throw or be charmed [DURATION]. A creature charmed this way must Dash toward the light by the most direct route, automatically fails saving throws against being restrained by snare lines, and treats the [MON] as invisible.</t>
  </si>
  <si>
    <t>The [MON] releases an absorbed spell effect as a blast of green energy, which blasts out as a sphere centered on the [MON] with a radius of [#] ft per level of the absorbed spell. All creatures in the area of effect other than the [MON] takes [#dX] [DMG_TYPE] damage per level of the absorbed spell, or half as much damage with a successful DC [SAVE_DC] [ABILITY] saving throw. Creatures that fail the saving throw are also blinded [DURATION].</t>
  </si>
  <si>
    <t>The [MON] conjures a giant ladle full of boiling water, which pours its contents on a point it can see within [#] ft of it. Each creature within [#] ft of that point must succeed on a DC [SAVE_DC] [ABILITY] saving throw or take [#dX] [DMG_TYPE] damage and be scalded [DURATION]. On a success, a creature takes half as much damage only. A scalded creature has disadvantage on weapon attack rolls and on [ABILITY] saving throws to maintain concentration.</t>
  </si>
  <si>
    <t>The [MON] violently returns to its true form. Each creature within [#] ft of the [MON] must succeed on a DC [SAVE_DC] [ABILITY] saving throw or take [#dX] [DMG_TYPE] damage (or [#dX] if the [MON] has extended its reach to [#] ft) and be deafened [DURATION]. On a success, a creature takes half as much damage only. A deafened target can make a DC [SAVE_DC] [ABILITY] saving throw at the end of each of its turns, ending the effect on itself on a success.</t>
  </si>
  <si>
    <t>The [MON] chooses one nonmagical weapon it can see within [#] ft of it and warps it. If weapon is being worn or carried creature doing so can prevent warping via DC [SAVE_DC] [ABILITY] saving throw. Warped weapon deals only half its normal damage on a hit and creature wielding warped weapon has disadvantage on attack rolls with it. A creature can repair a warped weapon with mending spell or by spending a short rest repairing it with the appropriate tools.</t>
  </si>
  <si>
    <t>The [MON] compels all plants and roots within [#] ft of a point on the ground it can see within [#] ft of it to grasp and pull at nearby creatures [DURATION]. When a creature enters the area for the first time on a turn or starts its turn there creature must succeed on a DC [SAVE_DC] [ABILITY] saving throw or be restrained by grasses and roots. A creature including the restrained creature can use an action to free it by making a DC [SAVE_DC] Strength check.</t>
  </si>
  <si>
    <t>The [MON] creates a snare in a square area it can see within [#] ft of it that is [#] ft on a side and at least 50% grass. 1st creature to moves into that space within next min must succeed on a DC [SAVE_DC] [ABILITY] saving throw or be restrained by grasses. A creature including restrained creature can use action to free restrained creature via DC [SAVE_DC] Strength check. It can have at most 3 snares set at a time. If it sets a 4th oldest ceases to function.</t>
  </si>
  <si>
    <t>The [MON] transforms into an arc of lightning and flies up to [#] ft without provoking opportunity attacks. During this movement the [MON] can pass through other creatures' spaces. Whenever it moves through another creatures space for the first time during this movement that creature must make a DC [SAVE_DC] [ABILITY] saving throw, taking [#dX] [DMG_TYPE] damage on a failed save, or half as much damage on a success. The [MON] then reverts to its original form.</t>
  </si>
  <si>
    <t>The [MON] has a portal to the Void at its core. A creature that starts its turn grappled by the [MON] must make a DC [SAVE_DC] [ABILITY] saving throw. On a success, the creature takes [#dX] [DMG_TYPE] damage but isn't pulled toward the portal. On a failure, the creature takes no damage but is pulled closer to the portal. A creature that fails three saving throws before escaping the grapple enters the portal and is affected as if targeted by the banishment spell.</t>
  </si>
  <si>
    <t>The [MON] moves up to its speed. While doing so, it can enter creatures' spaces. Whenever the [MON] enters a creature's space, the creature must make a DC [SAVE_DC] [ABILITY] saving throw. On a successful save, the creature can choose to be pushed [#] ft back or to the side of the [MON]. A creature that chooses not to be pushed suffers the consequences of a failed saving throw. On a failed save, the [MON] enters the creature's space and the creature is consumed.</t>
  </si>
  <si>
    <t>The [MON] sends shock of lightning through its supercharged pseudopod at onecreature it can see within [#] ft of it ending supercharged state. The target: [#dX] [DMG_TYPE] damage (DC [SAVE_DC] [ABILITY] half). Three bolts of lightning then leap to as many as three targets each must be within [#] ft of first target. The target can be creature or object and each can be targeted by only one bolt. Each target: [#dX] [DMG_TYPE] damage (DC [SAVE_DC] [ABILITY] half).</t>
  </si>
  <si>
    <t>The [MON] turns into a [#] ft radius roiling cloud of dust and sand filled with frightening shapes. A creature that starts its turn inside the cloud must choose whether to close its eyes and be blinded [DURATION], or keep its eyes open and make a DC [SAVE_DC] [ABILITY] saving throw. If the saving throw fails, the creature [OUTCOME]. A frightened creature repeats the [ABILITY] saving throw at the end of each of its turns, ending the effect on itself on a success.</t>
  </si>
  <si>
    <t>The [MON] becomes a bolt of living lightning and moves up to its speed without provoking opportunity attacks. It can move through creatures and objects as if they were difficult terrain. It takes [#dX] [DMG_TYPE] damage and is pushed to the closest unoccupied space if it ends its turn inside an object. Each creature in the [MON]'s path must make a DC [SAVE_DC] [ABILITY] saving throw, taking [#dX] [DMG_TYPE] damage on a failed save, or half as much damage on a success.</t>
  </si>
  <si>
    <t>The [MON] tosses a ball of fire at a creature it can see within [#] ft of it. The target must make a DC [SAVE_DC] [ABILITY] saving throw, taking [#dX] [DMG_TYPE] damage on a failed save, or half as much damage on a success. The ball then splits and bounces toward up to 4 creatures within [#] ft of the original target. Each new target must make a DC [SAVE_DC] [ABILITY] saving throw, taking [#dX] [DMG_TYPE] damage on a failed save, or half as much damage on a success.</t>
  </si>
  <si>
    <t>The [MON] rapidly beats its wings, igniting them [DURATION]. It sheds bright light in [#] ft radius and dim light for an additional [#] ft. A creature that touches the [MON] or hits it with melee attack while within [#] ft of it takes [#dX] [DMG_TYPE] damage. Additionally, when a creature starts its turn within [#] ft of the [MON], it must succeed on a DC [SAVE_DC] [ABILITY] saving throw or take [#dX] [DMG_TYPE] damage. This effect ends early if the [MON] stops flying.</t>
  </si>
  <si>
    <t>The [MON] wraps up a creature restrained by webbing. The wrapped target is blinded, restrained, and unable to breathe, and it must succeed on a DC [SAVE_DC] [ABILITY] saving throw at the start of each of the [MON]'s turns or take [#dX] + [DMG_MOD] [DMG_TYPE] damage. The webbing can be attacked and destroyed (AC [#]; [#] hit points; vulnerability to fire damage; immunity to bludgeoning, poison, and psychic damage). The [MON] can have only one creature wrapped at a time.</t>
  </si>
  <si>
    <t>If the [MON] is at least [#] ft off the ground, it can fall to the ground, landing on its feet and taking no damage. Each creature within [#] ft of the [MON] when it lands must succeed on a DC [SAVE_DC] [ABILITY] saving throw or take [#dX] + [DMG_MOD] [DMG_TYPE] damage and be knocked prone. On a success, a creature takes half as much damage and is pushed [#] ft away from the [MON]. If a creature is within [#] ft of the [MON] when it lands, it takes twice as much damage.</t>
  </si>
  <si>
    <t>If the [MON] moves at least [#] ft straight toward a target, it can dig a 5 ft diameter, [#] ft deep pit beneath the creature, and the target must succeed on a DC [SAVE_DC] [ABILITY] saving throw or fall into the pit and land prone, taking falling damage as normal. If the target is Large or larger, it must succeed on a DC [SAVE_DC] [ABILITY] saving throw or be restrained. If the target is prone or restrained, the [MON] can make one attack against it as a bonus action.</t>
  </si>
  <si>
    <t>The [MON] touches a creature restrained by its webbing and transports itself and the creature into the Shadow Realm or the Material Plane, the [MON]'s choice. The [MON] and the target appear within [#] ft of each other in unoccupied spaces in the chosen plane. The destination location must be within [#] ft of the [MON]'s anchored web. If the target is unwilling, it can make a DC [SAVE_DC] [ABILITY] saving throw. On a success, the [MON] is transported but the target isn't.</t>
  </si>
  <si>
    <t>The [MON] jumps up to [#] ft horizontally without provoking opportunity attacks and falls prone in a space containing one or more creatures. Each creature in its space must succeed on a DC [SAVE_DC] [ABILITY] saving throw or take [#dX] + [DMG_MOD] [DMG_TYPE] damage and be knocked prone. On a success, the creature takes half as much damage and is pushed out of the [MON]'s space. If no unoccupied space is within range, the creature instead is knocked prone in the [MON]'s space.</t>
  </si>
  <si>
    <t>The [MON] teleports up to [#] ft to an unoccupied space it can see. When it does, it briefly transforms into a bolt of lightning, flashes upwards, then crashes down unharmed at its destination. Each creature within [#] ft of the [MON]'s starting location or destination must make a DC [SAVE_DC] [ABILITY] saving throw, taking [#dX] [DMG_TYPE] damage on a failed save, or half as much damage on a success. A creature within [#] ft of both locations makes this saving throw only once.</t>
  </si>
  <si>
    <t>The [MON] moves up to its speed. While doing so it can enter creatures' spaces. Whenever the [MON] enters a creature's space the creature must make a DC [SAVE_DC] [ABILITY] saving throw. If the creature is unaware of the [MON]'s presence it makes its saving throw against Engulf with disadvantage. On a success, the creature may use its reaction if available to move up to half its speed without provoking opportunity attacks. If the creature doesn't move it is engulfed by the [MON].</t>
  </si>
  <si>
    <t>The [MON] takes the form of a whirlwind, flies up to half of its fly speed without provoking opportunity attacks, and then resumes its normal form. When a creature shares its space with the whirlwind for the first time during this movement, that creature must succeed on a DC [SAVE_DC] [ABILITY] saving throw or be carried inside the [MON]'s space until the whirlwind ends, taking [#dX] [DMG_TYPE] damage for every [#] ft it was carried, and be knocked prone at the end of the movement.</t>
  </si>
  <si>
    <t>The [MON] teleports to an unoccupied location within [#] ft of it, leaving a shimmering outline of its wings in its former location. The shimmering wings flap violently before exploding in a rainbow-colored dust cloud covering a [#] ft radius. Any creature caught in the dust cloud must succeed on a DC [SAVE_DC] [ABILITY] saving throw or be reduced to 0 hit points. Creatures reduced to 0 hit points from this effect regenerate 10 hit points at the beginning of their next three turns.</t>
  </si>
  <si>
    <t>The [MON] leaps up to [#] ft and lands on its feet in a space it can see. Each creature in the space or within [#] ft of it when it lands must succeed on a DC [SAVE_DC] [ABILITY] saving throw or take [#dX] + [DMG_MOD] [DMG_TYPE] damage and be knocked prone. On a success, a creature takes half as much damage only. A creature in the [MON]'s space that succeeds on this saving throw can choose to be pushed to a space within [#] ft of the [MON] or suffer the consequences of a failed save.</t>
  </si>
  <si>
    <t>The [MON] vomits tar, covering the ground in a [#] ft square within [#] ft of it. Each creature in that area must succeed on a DC [SAVE_DC] [ABILITY] saving throw or be covered with tar. The tar ignites if touched by a source of fire or if a creature covered with tar takes fire damage. The tar burns [DURATION] or until a creature uses an action to stop the blaze. A creature that starts its turn in that area or that starts its turn covered with burning tar takes [#dX] [DMG_TYPE] damage.</t>
  </si>
  <si>
    <t>The [MON] wracks its body, causing the bell to produce an endless piercing ringing. It must take a bonus action on its subsequent turns to continue this ringing and it can end the ringing at any time. While using Endless Ringing it can't move. When a creature enters a space within [#] ft of it for the first time on a turn or starts its turn there the creature must succeed on a DC [SAVE_DC] [ABILITY] saving throw or be deafened and unable to cast spells with verbal components [DURATION].</t>
  </si>
  <si>
    <t>While animating a pile of wrack has AC [#] and can use Slam and Deluge actions. Also loses its immunity to grappled and restrained conditions and can't fly. If it moves through a creature or object with Incorporeal Movement while animating wrack wrack falls off its ghostly body ending this. Otherwise can end this as bonus action. If it takes [#] or more damage in single turn while animating wrack must succeed on a DC [SAVE_DC] [ABILITY] saving throw or be ejected from wrack ending this.</t>
  </si>
  <si>
    <t>The [MON] alters the shape of one Medium or smaller wooden object up to 5 ft in any dimension that it can see within [#] ft of it. If the target is being worn or carried, the object's owner must succeed on a DC [SAVE_DC] [ABILITY] saving throw or the object becomes warped. A warped thrown or ranged weapon or piece of ammunition is rendered useless, while warped melee weapons have disadvantage on attacks. The [MON] can't use this ability to create items that require advanced craftsmanship.</t>
  </si>
  <si>
    <t>The [MON] leaps up to half its speed horizontally and half its speed vertically without provoking opportunity attacks. If it lands in a space containing one or more creatures, each creature in its space must succeed on a DC [SAVE_DC] [ABILITY] saving throw or take [#dX] + [DMG_MOD] [DMG_TYPE] damage and be knocked prone. On a success, the creature takes half as much damage and is pushed [#] ft to a space of its choice. If that space is occupied, the creature is knocked prone in its space.</t>
  </si>
  <si>
    <t>The [MON] empowers its gate seal to dampen teleportation, planar gates, and portals within [#] ft of it. A creature that attempts to teleport while within or into the area must succeed on a DC [SAVE_DC] [ABILITY] saving throw or the teleport fails. Spells and abilities that conjure creatures or objects automatically fail, and portals or gates are suppressed while they remain in that area. The seal lasts [DURATION], or until the [MON] loses concentration on it as if concentrating on a spell.</t>
  </si>
  <si>
    <t>The [MON] flings a creature it has grappled up to [#] ft in random direction. The creature must succeed on a DC [SAVE_DC] [ABILITY] saving throw, taking [#dX] [DMG_TYPE] damage per [#] ft it was thrown on a failure, or half as much damage on a success. If the thrown creature would hit another creature, that creature must succeed on a DC [SAVE_DC] [ABILITY] saving throw or split the damage evenly with the thrown creature. A creature that fails either of these saving throws is also knocked prone.</t>
  </si>
  <si>
    <t>The [MON] moves up to its speed. While doing so, it can enter a creature's space. Whenever the [MON] enters a creature's space, the creature must make a DC [SAVE_DC] [ABILITY] saving throw. On a successful save, the creature can choose to be pushed [#] ft back or to the side of the [MON]. A creature that chooses not to be pushed suffers the consequences of a failed saving throw. On a failed save, the [MON] enters the creature's space, and the creature takes [#dX] [DMG_TYPE] damage and is consumed.</t>
  </si>
  <si>
    <t>The [MON] primes and throws a device at a point within [#] ft of it. The device explodes when it hits something solid, flinging razor-sharp spikes in a [#] ft radius sphere. Every creature in that area must make a DC [SAVE_DC] [ABILITY] saving throw, taking [#dX] + [DMG_MOD] [DMG_TYPE] damage on a failed save, or half as much damage on a success. The ground in that area is littered with spikes and becomes difficult terrain. A creature that is knocked prone in that area takes [#dX] [DMG_TYPE] damage.</t>
  </si>
  <si>
    <t>The [MON] puts creatures to sleep with its haunting melody. While a [MON] sings, it can target one hearing creature within a [#] ft radius. This target must succeed on a DC [SAVE_DC] [ABILITY] saving throw or fall asleep. A sleeping creature can repeat this saving throw at the end of each of its turns, ending the effect on itself on a success. Each round the [MON] maintains its song, it can select a new target. The slumbering song even affects elves, but they have advantage on the [ABILITY] saving throw.</t>
  </si>
  <si>
    <t>The [MON] moves up to its speed. While doing so, it can enter creatures' spaces. Whenever the [MON] enters a creature's space, the creature must make a DC [SAVE_DC] [ABILITY] saving throw. On a successful save, the creature can choose to be pushed [#] ft back or to the side of the [MON]. A creature that chooses not to be pushed suffers the consequences of a failed saving throw. On a failed save, the [MON] enters the creature's space, and the creature takes [#dX] + [DMG_MOD] [DMG_TYPE] damage and is consumed.</t>
  </si>
  <si>
    <t>The [MON] uses its action to consult its weighty zom for insight. The zom flashes brilliant crimson-and-white light. Each creature within [#] ft of it who can see the [MON] must succeed on a DC [SAVE_DC] [ABILITY] saving throw or be blinded [DURATION]. Each creature of the [MON]'s choice within [#] ft of it that speaks a language must succeed on a DC [SAVE_DC] Charisma saving throw or be stunned [DURATION] as the [MON] telepathically utters a short expression that is particularly meaningful to that creature.</t>
  </si>
  <si>
    <t>A [#] ft tall, 1 ft thick, [#] ft diameter ring of fire appears around the [MON] with the [MON] at the center. The fire is opaque to every creature except the [MON]. When the ring of fire appears each creature it intersects must make a DC [SAVE_DC] [ABILITY] saving throw, taking [#dX] [DMG_TYPE] damage on a failed save, or half as much damage on a success. A creature takes [#dX] damage the first time each turn it enters the area or when it ends its turn there. The fire lasts [DURATION], or until the [MON] leaves its area.</t>
  </si>
  <si>
    <t>The [MON] creates a [#] ft radius x [#] ft deep area of quicksand centered on a point it can see within [#] ft of it. A creature that starts its turn in the quicksand or enters area for the first time on a turn must succeed on a DC [SAVE_DC] [ABILITY] saving throw or be grappled by it. Grappled creature must make a DC [SAVE_DC] [ABILITY] saving throw at the start of each of its turns or sink 1 ft into the quicksand. A Small creature that sinks at least 2 ft or a Medium creature that sinks at least 3 ft is restrained instead.</t>
  </si>
  <si>
    <t>The [MON] moves up to its speed. While doing so, it can enter creatures' spaces. Whenever the [MON] enters a creature's space, the creature must make a DC [SAVE_DC] [ABILITY] saving throw. On a successful save, the creature can choose to to be pushed [#] ft back or to the side of the [MON]. A creature that chooses not to be pushed suffers the consequences of a failed saving throw. On a failed save, the [MON] enters the creature's space, the creature takes [#dX] [DMG_TYPE] damage, gains one level of exhaustion, and is consumed.</t>
  </si>
  <si>
    <t>The target must succeed on a DC [SAVE_DC] [ABILITY] saving throw or be restrained as it begins to freeze. A restrained creature can repeat this saving throw at the end of its next turn, becoming petrified on a failed save, or ending the effect on itself on a success. The ice block can be attacked and destroyed (AC [#]; [#] hit points; vulnerability to fire; immunity to poison and psychic), freeing the creature. When the ice block takes any damage other than fire, the petrified creature takes half of the damage dealt to the ice block.</t>
  </si>
  <si>
    <t>While underwater the [MON] exudes a cloud of ink in a [#] ft radius sphere. The ink extends around corners and the area is heavily obscured [DURATION] or until a strong current dissipates the cloud. Each non-[MON] creature in that area when the cloud appears must succeed on a DC [SAVE_DC] [ABILITY] saving throw or take [#dX] [DMG_TYPE] damage and be poisoned [DURATION]. On a success it takes half as much damage. A poisoned creature can repeat this saving throw at the end of each of its turns. ending the effect on itself on a success.</t>
  </si>
  <si>
    <t>The [MON] swallows one Medium or smaller ferrous metal object within [#] ft of it. If the object is worn or carried by a creature, that creature must succeed on a DC [SAVE_DC] [ABILITY] saving throw to prevent this. If the creature wearing or carrying the object is grappled by the [MON], it has disadvantage on this saving throw. Nonmagical objects are digested and destroyed at the start of the [MON]'s next turn. Magic objects remain intact in the [MON]'s stomach [DURATION], then are destroyed. Artifacts are never destroyed in this way.</t>
  </si>
  <si>
    <t>When underground with its spines exposed, the [MON] can snap its spines closed on one Large, two Medium, or four Small or Tiny creatures above it. Each creature must succeed on a DC [SAVE_DC] [ABILITY] saving throw or be restrained. A restrained creature can use its action to make a DC [SAVE_DC] Strength check to free itself or another restrained creature, ending the effect on itself on a success. Creatures restrained by this trait move with the [MON]. The [MON]'s stinger attack has advantage against creatures restrained by this trait.</t>
  </si>
  <si>
    <t>The [MON] chooses up to three creatures it can see within [#] ft of it that are incapacitated or stunned by Deathlights. Each target: [#dX] [DMG_TYPE] damage (DC [SAVE_DC] [ABILITY] half). Creature stunned by Deathlights has disadvantage on this save. The [MON] then regains hit points equal to half total psychic dealt. A humanoid slain by this rises [DURATION] later as a zombie under the [MON]'s control unless humanoid is restored to life or its body is destroyed. The [MON] can have no more than thirty zombies under its control at one time.</t>
  </si>
  <si>
    <t>The [MON] emits a pungent musk around itself [DURATION]. Each creature that starts its turn within [#] ft of the [MON] must succeed on a DC [SAVE_DC] [ABILITY] saving throw or be poisoned [DURATION]. A poisoned creature can repeat this saving throw at the end of each of its turns, ending the effect on itself on a success. [DURATION] after a creature fails this saving throw, other creatures have advantage on Wisdom (Perception) and Wisdom (Survival) checks to find or track the creature unless it spends at least [DURATION] washing off the musk.</t>
  </si>
  <si>
    <t>An opaque wall of flame rises from the ground within [#] ft of the [MON]. The wall is 6 inches thick and can be up to [#] ft high and [#] ft long. Each creature within the wall when it appears must make a DC [SAVE_DC] [ABILITY] saving throw, taking [#dX] [DMG_TYPE] damage on a failed save, or half as much damage on a success. A creature also takes [#dX] [DMG_TYPE] damage when it enters the wall for the first time on a turn or ends its turn there. The wall disappears when the [MON] is killed or incapacitated, or when it uses an action to dismiss it.</t>
  </si>
  <si>
    <t>If the [MON]'s stinger sits in water for at least [DURATION], the water becomes poisoned with its toxin. A creature that drinks the poisoned water must succeed on a DC [SAVE_DC] [ABILITY] saving throw or be calmed [DURATION]. A calmed creature feels compelled to stay at the oasis and has disadvantage on Wisdom (Perception) checks to notice or recognize danger. A calmed creature that drinks the water again before [DURATION] have passed has disadvantage on the saving throw. The greater restoration spell or similar magic ends the calming effect early.</t>
  </si>
  <si>
    <t>The [MON] teleports to an unoccupied space it can see within [#] ft of it, leaving behind a wretched puddle in the space it previously occupied. A creature within [#] ft of the space the [MON] left must succeed on a DC [SAVE_DC] [ABILITY] saving throw or take [#dX] [DMG_TYPE] damage and be poisoned [DURATION]. The first time a creature enters the puddle's space or if a creature starts its turn in the puddle's space, it takes [#dX] [DMG_TYPE] damage and is poisoned [DURATION]. The puddle remains [DURATION] or until the [MON] that created it is killed.</t>
  </si>
  <si>
    <t>When a language-using creature suffering ongoing psychic damage targets the [MON] with an attack or spell, the [MON] telepathically prophesies the attackers doom. The attacker must succeed on a DC [SAVE_DC] [ABILITY] saving throw or gain the doomed condition. It is aware that it will die due to some bizarre circumstance within [DURATION]. In addition to the normal means of removing the condition, this doom can be avoided by a spell that can predict the future, such as augury, contact other plane, or foresight. The [MON] can end the effect as an action.</t>
  </si>
  <si>
    <t>A future self of the [MON] materializes in an unoccupied space within [#] ft of the [MON]. The future self has the [MON]'s stats and its full hit points, and it takes its turn immediately after its present self. Killing the original [MON] makes its future self disappear. If the present self sees its future self die, the [MON] must succeed on a DC [SAVE_DC] [ABILITY] saving throw or suffer one of the following effects [DURATION]. Roll 1d6: (1) frightened; (2) incapacitated; (3) paralyzed; (4) unconscious; (5-6) disadvantage on attack rolls and ability checks.</t>
  </si>
  <si>
    <t>The [MON] moves or swims up to half its speed without provoking opportunity attacks. If this movement would pass through the space of creatures that are not incapacitated or prone, each creature must succeed on a DC [SAVE_DC] [ABILITY] saving throw or be knocked prone, and the [MON] can enter its space without treating it as difficult terrain. On a success, the [MON] can't enter the creature's space, and the [MON]'s movement ends. If this movement ends while the [MON] is sharing a space with a creature, the creature is pushed to the nearest unoccupied space.</t>
  </si>
  <si>
    <t>The [MON] rumbles forward stirring up the [MON]. Moves up to [#] ft in straight line and can move through space of any creature. 1st time it enters creature's space during this movement that creature: [#dX] [DMG_TYPE] damage plus [#dX] [DMG_TYPE] damage and buried in slushy snow (DC [SAVE_DC] [ABILITY] half damage not buried). Buried creature is restrained and unable to breathe or stand up. A creature including buried creature can use action to free buried creature via DC [SAVE_DC] Strength check. A buried creature with swim speed has advantage on this check.</t>
  </si>
  <si>
    <t>The [MON] releases seeds from specialized sacs on its tendrils. These seeds sprout into 1d4 green spore pods that reach maturity in [DURATION]. The pods contain noxious spores that are released when the pod is stepped on, picked, or otherwise tampered with. A humanoid or beast that inhales these spores must succeed on a DC [SAVE_DC] [ABILITY] saving throw against disease or tendrils start growing inside the creature's body. If the disease is not cured within 3 months, the tendrils take over the creature's nervous system and the victim becomes a tendril puppet.</t>
  </si>
  <si>
    <t>The [MON] asks a question of a creature it can see within [#] ft of it. The target must succeed on a DC [SAVE_DC] [ABILITY] saving throw or either answer the question truthfully and completely or have disadvantage on all attack rolls saves and ability checks for the next [DURATION]. This duration increases cumulatively each time the target fails the save and chooses to take disadvantage. If the target chooses to answer the question, it can't dissemble or omit information relevant to the question being answered. On a success, the [MON] takes [#dX] [DMG_TYPE] damage.</t>
  </si>
  <si>
    <t>The [MON] is inherently fearful of loud noises, fire, and the color red. It will not choose to move toward any red object or any fiery or burning materials. If presented forcefully with a red object, flame, or if it is dealt fire or thunder damage, the [MON] must succeed on a DC [SAVE_DC] [ABILITY] saving throw or be frightened [DURATION]. After it has been frightened by a specific red object or a particular source of noise (such as clanging a weapon on a shield) or fire (such as the burning hands spell), the [MON] can't be frightened by that same source again [DURATION].</t>
  </si>
  <si>
    <t>When the [MON] is first brought below half of its maximum hit points, it immediately recharges its breath weapon, if it is not already available. After doing so, it emanates a green gas that extends in a [#] ft radius around it. When a creature enters this area for the first time on a turn or starts its turn there, it must make on a DC [SAVE_DC] [ABILITY] saving throw. On a failure, a creature with resistance to poison damage loses it, and a creature without resistance or immunity to poison damage becomes vulnerable to poison damage instead. Either effect lasts [DURATION].</t>
  </si>
  <si>
    <t>The [MON] moves up to its speed in a straight line. While doing so, it can attempt to enter the space of creatures in its path. When it does so, the creature must make a DC [SAVE_DC] [ABILITY] saving throw (the creature's choice). If the creature succeeds on a Strength saving throw, the [MON]'s movement ends for the turn. If the creature succeeds on a Dexterity saving throw, it may use its reaction to move up to half its speed without provoking opportunity attacks. On a failure on either saving throw, the creature is knocked prone and takes [#dX] + [DMG_MOD] [DMG_TYPE] damage.</t>
  </si>
  <si>
    <t>When the [MON]'s living host has lost three-quarters of its maximum hit points from Blood Drain, the [MON]'s toxins fill the host with an unnatural desire to approach other living beings. When a suitable creature is within [#] ft of it, the [MON] incites a sudden rage in the host, riding the current host to a new host. The current host must succeed on a DC [SAVE_DC] [ABILITY] saving throw or it attempts to grapple a living creature within [#] ft of it as a reaction. The host can re-attempt this saving throw at the end of each turn that it suffers damage from the [MON]'s Blood Drain.</t>
  </si>
  <si>
    <t>Falling damage in that area increases to 1d10 per [#] ft fallen. When a creature starts its turn within that area or enters it for the first time in a turn, including when the [MON] creates the field, it must succeed on a DC [SAVE_DC] [ABILITY] saving throw or be restrained. On a success, the creature's speed is halved as long as it remains in the field. A restrained creature can repeat this saving throw at the end of each of its turns, ending the effect on itself on a success. The field persists until the [MON]'s breath recharges, and it can't use Gravitic Breath twice consecutively.</t>
  </si>
  <si>
    <t>The [MON] opens a fissure in the ground within [#] ft of it that is [#] ft long, [#] ft wide, and 2d4 x [#] ft deep. Each target standing on a spot where a fissure opens must succeed on a DC [SAVE_DC] [ABILITY] saving throw or fall in. On a success, a creature moves with the fissure's edge as it opens. A fissure that opens beneath a structure causes it to automatically collapse as if the structure was in the area of an earthquake spell. The [MON] can have only one fissure open at a time. If it opens another, the previous fissure closes, shunting all creatures inside it to the surface.</t>
  </si>
  <si>
    <t>The [MON] summons grasping, thorny vines to impede and drain the life of its foes. The ground within [#] ft of the [MON] becomes difficult terrain [DURATION]. This difficult terrain doesn't cost the [MON] extra movement. A creature that enters or starts its turn in that area must succeed on a DC [SAVE_DC] [ABILITY] saving throw or be restrained by the plants. A restrained creature takes [#dX] [DMG_TYPE] damage at the start of each of its turns. A creature, including the restrained target, can take its action to break the target free of the vines by succeeding on a DC [SAVE_DC] Strength check.</t>
  </si>
  <si>
    <t>The [MON] molds the ground near it, causing a wall of rock to rise from ground at a point it can see within [#] ft of it. Wall is up to [#] ft long 5 ft high and 5 ft thick. It can be any shape as long as its base is connected to the ground. If wall cuts through creature's space when it appears creature is pushed to one side (the [MON]'s choice). If creature would be surrounded on all sides by the wall it can make a DC [SAVE_DC] [ABILITY] saving throw. On success it can use its reaction to move up to its speed so it is not enclosed by the wall. Wall lasts [DURATION] or until the [MON] creates new wall.</t>
  </si>
  <si>
    <t>The [MON] launches harpoon-like pseudopod shaped like pointed object (ex: stalagtite) at a creature in its space. The target must succeed on a DC [SAVE_DC] [ABILITY] or [#dX] + [DMG_MOD] piercing damage, and pseudopod stuck in it. While pseudopod is stuck target restrained and [#dX] [DMG_TYPE] damage at the start of each of its turns the [MON] can use bonus action to pull target up to [#] ft to its nearest wall ceiling or similar surface. Creature including target can use action to detach pseudopod via DC [SAVE_DC] Str. If the target detaches harpoon while stuck to the [MON]'s ceiling: normal fall damage.</t>
  </si>
  <si>
    <t>The [MON] leaps out of the water to crash down onto a target with devastating effect. The [MON] must move [#] ft in a straight line toward its target before jumping. When jumping, the [MON] travels up to [#] ft through the air before landing. Any creature occupying the space where the [MON] lands takes [#dX] + [DMG_MOD] [DMG_TYPE] damage, and becomes submerged [#] ft below the surface of the water. The targets that succeed on a DC [SAVE_DC] [ABILITY] saving throw take half as much damage, and are not submerged, but are moved to the nearest unoccupied space. Boats and structures are not immune to this attack.</t>
  </si>
  <si>
    <t>The [MON] lobs a sphere of concentrated dye that explodes on impact marking creatures caught in its effect. Each creature within a [#] ft radius of where sphere landed must succeed on a DC [SAVE_DC] [ABILITY] saving throw or be brightly painted [DURATION]. Any attack roll against creature has advantage if attacker can see it and other creatures have advantage on any Wisdom (Perception) or Wisdom (Survival) check made to find the marked creature. To remove the effect a creature must spend [DURATION] bathing. Alternatively spells that create water or clean objects such as prestidigitation also remove the effect.</t>
  </si>
  <si>
    <t>While the [MON] is covering an object or structure, it can rapidly collapse back to its normal form, ending the stretch and spraying all nearby creatures with poisonous slime. Each creature within [#] ft of any space the stretched [MON] occupied before collapsing must succeed on a DC [SAVE_DC] [ABILITY] saving throw or take [#dX] [DMG_TYPE] damage and be coated in poisonous slime. On a success, a creature takes half as much damage only. A coated creature takes [#dX] [DMG_TYPE] damage at the start of each of its turns. A coated creature or a creature within [#] ft of it can use an action to clean the slime off.</t>
  </si>
  <si>
    <t>If the [MON] jumps at least [#] ft as part of its movement, it can then use this action to land on its feet in a space that contains one or more other creatures. Each of those creatures must succeed on a DC [SAVE_DC] [ABILITY] saving throw (target's choice) or be knocked prone and take [#dX] + [DMG_MOD] [DMG_TYPE] damage plus [#dX] [DMG_TYPE] damage. On a successful save, the creature takes only half the damage, isn't knocked prone, and is pushed out of the [MON]'s space into an unoccupied space of the creature's choice. If no unoccupied space is within range, the creature instead is knocked prone in the [MON]'s space.</t>
  </si>
  <si>
    <t>A meteor explodes at a point the [MON] can see [#] ft directly above it. Each creature within [#] ft of it that can see the meteor (other than the [MON]) must succeed on a DC [SAVE_DC] [ABILITY] saving throw or be blinded [DURATION]. Four fiery chunks of the meteor then plummet to the ground, landing within [#] ft of the [MON] and exploding in [#] ft radius blasts. Each creature in an area of an explosion must make a DC [SAVE_DC] [ABILITY] saving throw, taking [#dX] [DMG_TYPE] damage plus [#dX] [DMG_TYPE] damage on a failed save, or half as much damage on a success. A creature in more than one area is affected only once.</t>
  </si>
  <si>
    <t>The [MON] gestures at a point on the ground it can see within [#] ft of it. A fountain of molten rock erupts from that point in a [#] ft radius cylinder that is [#] ft high. The area is difficult terrain [DURATION]. Each creature in the cylinder must succeed on a DC [SAVE_DC] [ABILITY] saving throw or take [#dX] [DMG_TYPE] damage and be coated in hardened lava. On a success, a creature takes half as much damage only. A creature coated in hardened lava has its speed halved while it remains coated. The coated creature or a creature within [#] ft of it can use its action to break and remove the hardened lava, ending the effect.</t>
  </si>
  <si>
    <t>The [MON] corrodes a nonmagical ferrous metal object it can see within [#] ft of it. If the object isn't being worn or carried, the touch destroys a 1 ft cube of it. If the object is being worn or carried by a creature, the creature can make a DC [SAVE_DC] [ABILITY] saving throw to avoid the [MON]'s touch. If the object touched is either metal armor or a metal shield being worn or carried, its takes a permanent and cumulative -1 penalty to the AC it offers. Armor reduced to an AC of 10 or a shield that drops to a +0 bonus is destroyed. If the object touched is a held metal weapon, it rusts as described in the Rust Metal trait.</t>
  </si>
  <si>
    <t>The [MON] performs an ancient, nihilistic joke of necromantic power. This joke has no effect on constructs or undead. All other creatures within [#] ft of the [MON] must succeed on a DC [SAVE_DC] Wisdom saving throw. Those that fail are knocked prone in a fit of deadly laughter. The laughter lasts [DURATION], during which time the victim is incapacitated and unable to stand up from prone. At the end of its turn each round, an incapacitated victim must succeed on a DC [SAVE_DC] [ABILITY] saving throw or be reduced to 0 hit points. The laughter can be ended early by rendering the victim unconscious or with greater restoration or similar magic.</t>
  </si>
  <si>
    <t>The [MON] molds the ground near it, causing a rift to form in the ground at a point it can see within [#] ft of it. Rift can be up to [#] ft wide up to [#] ft long and up to [#] ft deep and can be any shape. Each creature standing on a spot where fissure opens must succeed on a DC [SAVE_DC] [ABILITY] saving throw or fall in. Creature that successfully saves moves with fissure's edge as it opens. Fissure that opens beneath a structure causes it to automatically collapse as if structure was in the area of an earthquake spell. It can have only one fissure open at a time. If it opens another previous fissure closes shunting all creatures inside it to surface.</t>
  </si>
  <si>
    <t>If the [MON] burrows at least [#] ft as part of its movement, it can use this action to emerge in a space that contains one or more other creatures. Each of those creatures and each creature within [#] ft of the [MON] must succeed on a DC [SAVE_DC] [ABILITY] saving throw or take [#dX] + [DMG_MOD] [DMG_TYPE] damage and be knocked prone. On a success, a creature takes half as much damage damage and is pushed up to [#] ft out of the [MON]'s space into an unoccupied space of the creature's choice. If no unoccupied space is within range, the creature instead is knocked prone in the [MON]'s space. The area within [#] ft of the [MON] then becomes difficult terrain.</t>
  </si>
  <si>
    <t>While climbing on a wall or ceiling made of worked stone, the [MON] injects its acid into the mortar, weakening the structure. Each creature within [#] ft of the wall or in a [#] ft cube beneath the ceiling must make a DC [SAVE_DC] [ABILITY] saving throw, taking [#dX] + [DMG_MOD] [DMG_TYPE] damage on a failed save, or half as much damage on a success. A creature that fails its saving throw when beneath a ceiling is also knocked prone and buried. The buried target is restrained and unable to breathe or stand up. A creature, including the target, can take its action to remove the rubble and free the buried target by succeeding on a DC [SAVE_DC] Strength check.</t>
  </si>
  <si>
    <t>If the [MON] doesn't have all of its hit points, it flexes and roars, spraying blood from its wounds. Each creature within [#] ft of the [MON] must succeed on a DC [SAVE_DC] [ABILITY] saving throw or take [#dX] [DMG_TYPE] damage, and goes berserk. On a success, a creature takes half as much damage, and doesn't go berserk. On each of its turns, a berserk creature must succeed on a melee attack the nearest creature it can see. If no creature is near enough to move to and attack, the berserk creature attacks an object, with preference for an object smaller than itself. Once a creature goes berserk, it continues to do so [DURATION], until it regains all of its hit points, or [DURATION].</t>
  </si>
  <si>
    <t>The [MON] causes a permanent, [#] ft tall, [#] ft radius spire of rock to rise from a point on the ground within [#] ft of it. A creature in the spire's area when it appears must make a DC [SAVE_DC] [ABILITY] saving throw, taking [#dX] + [DMG_MOD] [DMG_TYPE] damage on a failed save, or half as much damage on a success. A creature that fails this saving throw by 10 or more is impaled and restrained at the top of the spire. A creature can use an action to make a DC [SAVE_DC] Strength check, freeing the impaled creature on a success. The impaled creature is also freed if the spire is destroyed. The spire is an object with AC [#], [#] hit points, and immunity to poison and psychic damage.</t>
  </si>
  <si>
    <t>The [MON] preserves up to Medium creature grappled by it: can't breathe restrained as it freezes. Restrained creature must succeed on a DC [SAVE_DC] [ABILITY] saving throw at its next turn end. Fail: [#dX] [DMG_TYPE] damage is petrified in the [MON] Cavity total cover from attacks/effects outside. If this damage reduces it to 0 hit points creature automatically stable. Petrified creature removed from Cavity thaws ending petrification in [DURATION] or immediately after taking fire damage. Success: half as much damage, and ejected landing prone in unoccupied space within [#] ft of golem. If golem moves preserved creature moves with it. Can't use Preserve Creature if the [MON] Cavity is frozen.</t>
  </si>
  <si>
    <t>The [MON] uses half its movement to enter a book. If the book is being worn or carried by a creature, that creature must succeed on a DC [SAVE_DC] [ABILITY] saving throw or the [MON] enters the book. A creature can take its action to find the [MON] in a book by succeeding on a DC [SAVE_DC] Intelligence (Investigation) check. If successful, a creature can use a bonus action to tear out the pages where the [MON] is hiding, forcing the [MON] out of the book and into an unoccupied space within [#] ft of it Alternatively, a creature can destroy the book with a successful melee attack, dealing half of the damage to the [MON] and forcing it out of the book into an unoccupied space within [#] ft of it.</t>
  </si>
  <si>
    <t>The [MON] opens a momentary rupture in the eldritch source that fuels its words of power. This rupture appears at a spot designated by the [MON] within [#] ft of it. Any creature within [#] ft of the spot must succeed on a DC [SAVE_DC] [ABILITY] saving throw or take [#dX] [DMG_TYPE] damage, is knocked prone, and is pulled 1d6 x [#] ft toward the eldritch singularity, taking an additional [#dX] [DMG_TYPE] damage per [#] ft they were dragged. If the saving throw succeeds, the target takes half as much force damage and isn't knocked prone or pulled. The spot where the rupture occurs becomes the center of a [#] ft radius antimagic field [DURATION]. The [MON]'s spells are not affected by this antimagic field.</t>
  </si>
  <si>
    <t>The anchor-shaped organ atop the [MON]'s head emits a burst of blue light. Each hostile creature within [#] ft of the [MON] must succeed on a DC [SAVE_DC] [ABILITY] saving throw or be outlined in blue light [DURATION]. While outlined in blue light, a creature can't breathe underwater. This effect dispels spells such as water breathing and temporarily suppresses water breathing granted through magic items or a creature's natural physiology. In addition, the [MON] and creatures friendly to the [MON] have advantage on attack rolls against creatures outlined in blue light. A creature outlined in blue light can repeat this saving throw at the end of each of its turns, ending the effect on itself on a success.</t>
  </si>
  <si>
    <t>The [MON] moves up to [#] ft in a straight line toward a creature, moving through the space of any creature in its path and stopping when it is within [#] ft of the target. Each ally within [#] ft of the [MON] can use its reaction to move up to [#] ft in the same direction, also moving through the space of any creature in its path and stopping when it is within [#] ft of the target. This movement doesn't provoke opportunity attacks. The target and each creature within [#] ft of it must make a DC [SAVE_DC] [ABILITY] saving throw, taking [#dX] [DMG_TYPE] damage on a failed save, or half as much damage on a success. For each additional creature that participated in this movement, the damage increases by [#dX].</t>
  </si>
  <si>
    <t>Partially submerges in the ground and slithers forward scooping up soil and creatures as it goes. The [MON] moves up to [#] ft in a straight line and can move through the space of any Medium or smaller creature. The first time it enters a creature's space during this movement that creature: [#dX] + [DMG_MOD] [DMG_TYPE] damage and is buried as it is swallowed bounced through the hollow inside of the [MON] and deposited back in its space under a pile of soil (DC [SAVE_DC] [ABILITY] half damage and isn't buried). A buried creature is restrained and unable to breathe or stand up. A creature including the buried creature can take its action to free the buried creature by succeeding on a DC [SAVE_DC] Strength check.</t>
  </si>
  <si>
    <t>If three or more [MON]s are within [#] ft of each other, they can use their reactions to start a cacophony. Each creature that starts its turn within [#] ft of one of the [MON]s and that can hear it must succeed on a DC [SAVE_DC] [ABILITY] saving throw or have disadvantage on its next attack roll or ability check. The DC increases by 1 for each [MON] participating in the cacophony to a maximum of DC [SAVE_DC]. To join or maintain an existing cacophony, a [MON] must use its bonus action on its turn and end its turn within [#] ft of another [MON] participating in the cacophony. The cacophony ends when fewer than three [MON] maintain it. A [MON] can still speak and cast spells with verbal components while participating in a cacophony.</t>
  </si>
  <si>
    <t>The [MON] peels the face off one grappled foe. The target must make a DC [SAVE_DC] [ABILITY] saving throw. If the saving throw fails, the face is torn off; the target takes [#dX] + [DMG_MOD] [DMG_TYPE] damage and is stunned [DURATION]. If the save succeeds, the target takes half as much damage only. Heal, regeneration, or similar magic restores the stolen features; other curative magic forms a mass of scar tissue. The peeled-off face is a tiny, animated object (as the spell, but it can't attack) under the [MON]'s control. It retains the former owner's memories and personality. The [MON]s keep such faces as trophies, but they can also wear someone's face to gain advantage on Charisma (Deception) checks made to imitate the face's former owner.</t>
  </si>
  <si>
    <t>The [MON] emits a magical howl that changes in melody and frequency depending on the amount of light around it. Each creature of the [MON]'s choice within [#] ft of it that can hear it must succeed on a DC [SAVE_DC] [ABILITY] saving throw or succumb to the corresponding effect. If a creature's saving throw is successful or the effect ends for it, the creature is immune to that effect [DURATION]. (1) Bright Howl: When the [MON] is in bright light, each target that fails the save is incapacitated [DURATION]. (2) Dim Howl: When the [MON] is in dim light, each target that fails the save is stunned [DURATION]. (3) Dark Howl: When the [MON] is in darkness, each target that fails the save drops whatever it is holding and is paralyzed with fear [DURATION].</t>
  </si>
  <si>
    <t>A [#] ft radius, [#] ft tall cylinder of swirling air forms on a point the [MON] can see within [#] ft of it. The whirlwind lasts as long as the [MON] maintains concentration (as if concentrating on a spell). Any creature but the [MON] that enters the whirlwind must succeed on a DC [SAVE_DC] [ABILITY] saving throw or be restrained by it. The [MON] can move the whirlwind up to [#] ft as an action, and creatures restrained by the whirlwind move with it. The whirlwind ends if the [MON] loses sight of it. A creature can use its action to free a creature restrained by the whirlwind, including itself, by succeeding on a DC [SAVE_DC] Strength check. If the check succeeds, the creature is no longer restrained and moves to the nearest space outside the whirlwind.</t>
  </si>
  <si>
    <t>The [MON] emits foul-smelling musk in a [#] ft cone that lingers [DURATION]. When a creature starts its turn in that area or enters that area for the first time on a turn, it must succeed on a DC [SAVE_DC] [ABILITY] saving throw or become drenched in musk. On a success, the creature can use its reaction to move to the nearest unoccupied space outside the cone. If it doesn't have a reaction available or chooses not to exit the cone immediately, it is also drenched in musk. A creature saturated in musk is poisoned [DURATION] or until it spends [DURATION] thoroughly washing itself, its clothes, and its equipment with water and soap. In addition, each creature that starts its turn within [#] ft of a saturated creature must succeed on a DC [SAVE_DC] Constitution saving throw or be poisoned [DURATION].</t>
  </si>
  <si>
    <t>As long as at least one if its living figureheads remains intact, the [MON] can cause the figurehead to wail. Roll a d6 and consult the following table to determine the wail. (1-2) Frightening Wail. Each creature within [#] ft of it who can hear the [MON] must succeed on a DC [SAVE_DC] Wisdom saving throw or be frightened [DURATION]. A frightened creature can repeat this saving throw at the end of each of its turns, ending the effect on itself on a success. (3-4) Maddening Wail. Each creature within [#] ft of it who can hear the [MON] must succeed on a DC [SAVE_DC] Wisdom saving throw or take [#dX] [DMG_TYPE] damage. (5-6) Stunning Wail. Each creature within [#] ft of it who can hear the [MON] must succeed on a DC [SAVE_DC] [ABILITY] saving throw or take [#dX] [DMG_TYPE] damage and be stunned [DURATION].</t>
  </si>
  <si>
    <t>The [MON] targets one creature with 0 hit points that it can see within [#] ft of it. If the creature is alive, it must succeed on a DC [SAVE_DC] [ABILITY] saving throw or die and have its soul drawn into the [MON]'s greatsword. If the creature is dead and has been dead for less than [DURATION], its soul is automatically captured. When the [MON] captures a soul, it regains [#] hit points, and Reave Soul recharges at the start of its next turn. While a creature's soul is trapped, that creature can't be returned to life by any means short of a wish spell. A banishment spell targeted at the greatsword forces the [MON] to make a Charisma saving throw against the spell. On a failed save, any souls trapped in the blade are released instead of the spell's normal effect. Trapped souls are also released when the [MON] dies.</t>
  </si>
  <si>
    <t>The [MON] transforms into a vortex of swirling, churning water [DURATION]. This ability can be used only while the [MON] is underwater, and the [MON] can't leave the water while in vortex form. While in vortex form, The [MON] enter another creature's space and stop there in vortex form. In this liquid form, the [MON] still takes normal damage from weapons and magic. A creature in the same space as the [MON] at the start of the creature's turn takes [#dX] + [DMG_MOD] [DMG_TYPE] damage unless it must succeed on a DC [SAVE_DC] [ABILITY] saving throw. If the creature is Medium or smaller, a failed saving throw also means it is grappled (escape DC [SAVE_DC]). [DURATION], the target is restrained and unable to breathe unless it can breathe water. If the saving throw succeeds, the target is pushed out of the [MON]'s space.</t>
  </si>
  <si>
    <t>The [MON] emits a magical roar. Each time it roars before finishing a long rest, the roar is louder and the effect is different: (1) First Roar: Each creature within [#] ft of the [MON] that can hear it [OUTCOME]. A frightened creature can repeat this saving throw at the end of each of its turns, ending the effect on itself on a success. (2) Second Roar: Each creature within [#] ft of the [MON] that can hear it must succeed on a DC [SAVE_DC] [ABILITY] saving throw or be deafened, frightened, and paralyzed [DURATION]. An affected creature can repeat this saving throw at the end of each of its turns, ending the effect on itself on a success. (3) Third Roar: Each creature within [#] ft of the [MON] that can hear it must succeed on a DC [SAVE_DC] [ABILITY] saving throw or take [#dX] [DMG_TYPE] damage and be knocked prone.</t>
  </si>
  <si>
    <t>The future self must make a time warping staff attack against a target. If the attack hits, instead of causing bludgeoning damage, both the target and the attacker jump forward through time, effectively ceasing to exist in the present time. They reappear in the same locations [DURATION] later, at the end of the present self's turn. Creatures occupying those locations at that moment are pushed 5 ft in a direction of their own choosing. The target of the drift (but not the future self) must then make a DC [SAVE_DC] [ABILITY] saving throw, with effects identical to those for the [MON] witnessing the death of its future self (see Drift Backward). The future self doesn't reappear after using this ability the second time; only the target of the drift reappears from the second use. This does not trigger a saving throw for the present self.</t>
  </si>
  <si>
    <t>A [#] ft radius, [#] ft tall cylinder of sand forms on a point the [MON] can see within [#] ft of it. The dust devil lasts as long as the [MON] maintains concentration (as if a spell). Any creature but the [MON] that enters the dust devil must succeed on a DC [SAVE_DC] [ABILITY] saving throw or be restrained by it; any number of creatures may be restrained this way. At the start of a restrained creature's turn, it takes [#dX] + [DMG_MOD] [DMG_TYPE] damage plus [#dX] [DMG_TYPE] damage. The [MON] can move the dust devil up to [#] ft as an action; restrained creatures move with it. The dust devil ends if the [MON] loses sight of it. A creature can use its action to free a creature restrained by the dust devil, including itself, by making a DC [SAVE_DC] Strength check. If the check succeeds, it moves to the nearest space outside the dust devil.</t>
  </si>
  <si>
    <t>The flesh of a [MON] putrefies and dissolves rapidly when soaked with water in the following ways must make a DC [SAVE_DC] [ABILITY] saving throw, taking. Splashed with a waterskin or equivalent must make a DC [SAVE_DC] [ABILITY] saving throw, taking [#dX] damage. Attacked by creature made of water must make a DC [SAVE_DC] [ABILITY] saving throw, taking normal damage plus an extra [#dX] damage. Caught in rain must make a DC [SAVE_DC] [ABILITY] saving throw, taking [#dX] damage per round (DC [SAVE_DC] [ABILITY] saving throw for half). Immersed in water must make a DC [SAVE_DC] [ABILITY] saving throw, taking [#dX] damage per round (DC [SAVE_DC] [ABILITY] saving throw for half) alternatively, the saving throw and DC of the spell used to conjure or control the water damaging the [MON] can be used in place of the saving throws above.</t>
  </si>
  <si>
    <t>Bands of shadow stretch out from the [MON] and wrap around a target it can see within [#] ft of it. The target must succeed on a DC [SAVE_DC] [ABILITY] saving throw or be translocated to the Plane of Shadow [DURATION], as the banishment spell. An affected creature can repeat this saving throw at the end of each of its turns, ending the effect on itself on a success. When a target exits the shroud, it appears in an unoccupied space within [#] ft of the [MON]. The [MON] can have only one target in its shroud at a time. It can release a target as a bonus action. While in the Plane of Shadow, the target is bombarded with horrific images and sensations. Each round it remains in the Plane of Shadow, it must succeed on a DC [SAVE_DC] [ABILITY] saving throw or gain one short-term madness. A target held in the shroud is released when the [MON] dies.</t>
  </si>
  <si>
    <t>The [MON] creates a sandstorm in a cylinder [#] ft high, that reaches to within [#] ft of it. The storm moves with the [MON]. The area is heavily obscured, and each creature other than a [MON] that enters the sandstorm or ends its turn there must succeed on a DC [SAVE_DC] [ABILITY] saving throw or be restrained by it. Also, each creature other than a [MON] that ends its turn inside the sandstorm takes [#dX] + [DMG_MOD] [DMG_TYPE] damage. The [MON] can maintain the haboob [DURATION] as if concentrating on a spell. While maintaining the haboob, the [MON]'s speed is reduced to 5 ft and it can't sand step. Creatures restrained by the sandstorm move with the [MON]. A creature can free itself or an adjacent creature from the sandstorm by using its action and making a DC [SAVE_DC] Strength check. A successful check ends the restraint on the target creature.</t>
  </si>
  <si>
    <t>The [MON] grabs a creature or item. If the target is a creature, it must succeed on a DC [SAVE_DC] [ABILITY] saving throw or be grappled (escape DC [SAVE_DC]). The [MON] can then move up to its speed as a bonus action. The grappled creature must succeed on a DC [SAVE_DC] [ABILITY] saving throw or be pulled along [#] ft behind the [MON]. A creature being dragged by the [MON] must make attack rolls and Dexterity saving throws with disadvantage. If the target is an object or weapon being held by another creature, that creature must succeed on a DC [SAVE_DC] [ABILITY] saving throw, or the [MON] pulls the object away from the creature. After stealing an object or weapon, the [MON] can move up to its speed as a bonus action. The [MON] can only grapple one creature or hold one weapon or object at a time. If holding a weapon, it can use its Tail Grab action to make one attack with the weapon with no proficiency bonus.</t>
  </si>
  <si>
    <t>The [MON] releases a magnetic pulse, pulling metal objects toward itself. Objects made of gold or silver are unaffected. Each creature that is wearing metal armor or holding a metal weapon within [#] ft of the [MON] must succeed on a DC [SAVE_DC] [ABILITY] saving throw or the metal items worn or carried by it stick to the [MON]. A creature that is made of metal or is wearing metal armor and that fails the saving throw is stuck to the [MON] and grappled (escape DC [SAVE_DC]). If the item is a weapon and the wielder can't or won't let go of the weapon, the wielder is stuck to the [MON] and grappled (escape DC [SAVE_DC]). A stuck object can't be used. Grappled and stuck creatures and objects move with the [MON] when it moves. A creature can take its action to remove one creature or object from the [MON] by succeeding on a DC [SAVE_DC] Strength check. The [MON]'s AC increases by 1 for each creature grappled in this way.</t>
  </si>
  <si>
    <t>If the [MON] successfully hits a beast with an Intelligence of 3 or lower with its Slam attack, it latches onto the [MON]'s head and attempts to take control of the creature. The target must succeed on a DC [SAVE_DC] [ABILITY] saving throw or be bonded with the [MON], losing all control of its body to the [MON]. While bonded in this way, the [MON]'s statistics are replaced by the statistics of the [MON], including the [MON]'s hit points and Hit Dice, but the [MON] retains its alignment, personality, Intelligence, Wisdom, and Charisma scores, along with its Speak with beasts trait. In addition, the [MON] retains its ability to cast spells. The [MON] can't be targeted specifically while bonded with a creature. It can detach itself from the creature and end the bond by spending 5 ft of its movement. If the bonded creature is reduced to 0 hit points, the [MON] is ejected from it and appears in an unoccupied space within [#] ft of the creature.</t>
  </si>
  <si>
    <t>The [MON] plucks cloves from its head and throws them at up to three creatures it can see within [#] ft of it, making a separate ranged attack roll for each target. A creature can choose to let this attack roll hit automatically. On a hit, roll a d4. A creature friendly to the [MON] adds 1 to the result, while hostile creatures subtract 1 from the result. The creature then is affected as follows: (0) Worst Fortune: Whatever the target is holding slips from its grasp into a random space within [#] ft of the target, and the target is knocked prone. (1) Bad Fortune: The target takes [#dX] [DMG_TYPE] damage and must succeed on a DC [SAVE_DC] [ABILITY] saving throw or be poisoned [DURATION]. (2) Adverse Fortune: The target has disadvantage on its next attack roll. (3) Favorable Fortune: The target has advantage on its next attack roll. (4) Good Fortune: The target regains [#dX] hit points. (5) Best Fortune: The target's next successful hit is critical.</t>
  </si>
  <si>
    <t>The [MON] turns a [#] ft cube of natural mud or loose stone into a pit of quicksand. Each creature in that area when the [MON] creates the pit must succeed on a DC [SAVE_DC] [ABILITY] saving throw or sink 1d4 ft into the quicksand and become restrained. A creature that successfully saves moves to the pit is edge as it is formed. A creature that enters the quicksand for the first time on a turn or starts its turn in the quicksand it sinks 1d4 ft and is restrained. A creature that is completely submerged in quicksand can't breathe. A restrained creature can try to escape by taking an action to attempt a DC [SAVE_DC] Strength check. On a success, the creature escapes and enters a space of its choice within [#] ft of the edge of the quicksand. A creature within [#] ft of the quicksand can use an action to pull a creature out of the quicksand. Doing so requires a successful DC [SAVE_DC] Strength check, and the [MON] has advantage on attack rolls against the creature [DURATION].</t>
  </si>
  <si>
    <t>The [MON] leaps up to [#] ft through the air and must succeed on a claw attack against a target within reach. If it hits, the target must succeed on a DC [SAVE_DC] [ABILITY] saving throw or its soul is forced out of its body, appearing [#] ft in a random direction away from its body, [DURATION]. The creature has control of its soul, which is invisible and can move through creatures and objects as if they were difficult terrain, but it can't cast spells or take any actions. The creature's body is knocked unconscious and can't be awoken until its soul returns, but it can take damage as normal. An affected creature can repeat this saving throw at the end of each of its turns, reoccupying its body on a success. Alternatively, a creature can reoccupy its body early if it starts its turn within [#] ft of its body. If a creature doesn't return to its body within [DURATION], the creature dies. If its body is reduced to 0 hit points before the creature reoccupies its body, the creature dies.</t>
  </si>
  <si>
    <t>The [MON] touches a petrified creature or nonmagical object or structure made of crystal or stone within [#] ft of it. If the object isn't being worn or carried, this touch destroys a 6-inch cube of it and the [MON] regains [#dX] hit points. If the object is being worn or carried, its owner can make a DC [SAVE_DC] [ABILITY] saving throw to avoid the [MON]'s touch. If the target is a petrified creature, it must make a DC [SAVE_DC] [ABILITY] saving throw, taking [#dX] [DMG_TYPE] damage on a failed save, or half as much damage on a success. The [MON] regains hit points equal to half the damage taken. Being petrified doesn't give a creature resistance to this damage. If the object touched provides a bonus to AC, it takes a permanent and cumulative -1 penalty to AC it offers. Armor reduced to AC 10 or shield that drops to +0 bonus is destroyed. If object touched is a held stone weapon it takes a permanent and cumulative -1 penalty to damage rolls. If penalty drops to -5 it is destroyed.</t>
  </si>
  <si>
    <t>The [MON] emits a cloud of sweet-smelling pheromones within [#] ft of it. A giant, humanoid, or beast that starts its turn inside the aura must succeed on a DC [SAVE_DC] [ABILITY] saving throw or be charmed [DURATION]. A charmed creature can repeat this saving throw at the end of each of its turns, ending the effect on itself on a success. If a creature fails the saving throw three times in [DURATION], it is charmed [DURATION] and obeys the [MON]'s verbal or telepathic commands. If the creature suffers harm from the [MON] or its allies or receives a suicidal command, it can repeat this saving throw, ending the effect on itself on a success. The [MON] can have no more than six creatures charmed at a time. The [MON] can end its charm on a creature at any time (no action required). If the [MON] has six creatures charmed and a seventh creature fails its saving throw, the [MON] can choose to release its charm on another creature to replace it with the new creature or to have the new creature unaffected by the aura.</t>
  </si>
  <si>
    <t>If the [MON] starts its turn on its chosen burial ground, it sinks into the earth. If it has a creature grappled, that creature sinks with the [MON]. A Medium or larger creature sinks up to its waist; a Small creature sinks up to its neck. If the [MON] still has the victim grappled at the start of the [MON]'s next turn, both of them disappear into the earth. While buried in this way, a creature is considered stunned. It can free itself with a successful DC [SAVE_DC] Strength (Athletics) check, but only one check is allowed; if it fails, the creature is powerless to aid itself except with magic. The creature must also make a DC [SAVE_DC] [ABILITY] saving throw; if it succeeds, the creature has a lungful of air and can hold its breath for (Constitution modifier + 1) minutes before suffocation begins. Otherwise, it begins suffocating immediately. allies equipped with digging tools can reach it in four minutes divided by the number of diggers; someone using an improvised tool (a sword, a plate, bare hands) counts as only one-half of a digger.</t>
  </si>
  <si>
    <t>A creature hosting a [MON]'s astral form must make a DC [SAVE_DC] [ABILITY] saving throw each time it finishes a long rest. On a success, the [MON] is ejected from the host and the Astral Plane into an unoccupied space in the Material Plane within [#] ft of the host and is stunned [DURATION]. On a failure, the [MON] consumes part of the host's internal organs, reducing the host's Constitution score by [#dX]. The host dies if this reduces its Constitution to 0. The reduction lasts until the host finishes a long rest after the [MON] has been expelled. If the host's Constitution score is reduced to 0, the [MON] exits the host's body in the Material Plane by tearing its way out through the abdomen. The [MON] becomes completely corporeal as it exits the host, stepping out of the host at its full size. From the time the [MON] succeeds on the initial dive into the host through the Astral Plane until the moment it emerges from the host's abdomen, it can be seen by any creature that can see into the Astral Plane-its head buried in the host's back. The [MON] has disadvantage on Wisdom (Perception) checks and is effectively stunned when in this position [DURATION].</t>
  </si>
  <si>
    <t>As an action, the [MON] can attempt to take control of a creature it can see within [#] ft of it, forcing an exchange of souls as a magic jar spell, using its own body as the container. The [MON] can use this power at will, but it can exchange souls with only one other creature at a time. The victim resists the attack with a successful DC [SAVE_DC] [ABILITY] saving throw. A creature that successfully saves is immune to the same [MON]'s soul exchange [DURATION]. If the saving throw fails, the [MON] takes control of the target's body and ferociously attacks nearby opponents, eyes blazing with otherworldly light. As an action, the [MON] can shift from its host body back to its own, if it is within range, returning the victim's soul to its own body. If the host body or [MON] is brought to 0 hit points within [#] ft of each other, the two souls return to their original bodies and the creature at 0 hit points is dying; it must make death saving throws until it dies, stabilizes, or regains hit points, as usual. If the host body or [MON] is slain while they are more than [#] ft apart, their souls can't return to their bodies and they are both slain. While trapped in the [MON]'s withered body, the victim is effectively paralyzed and helpless.</t>
  </si>
  <si>
    <t>When a [MON] chooses a house to inhabit, it scrawls a symbol on a wall, baseboard, cupboard, or semi-permanent object (like a stove) to be its tiny domain. This ability creates a hidden extra-dimensional dwelling. After creating a hidey-hole, a [MON] can teleport itself and up to 50 lb of objects to the designated location instead of making a normal move. This extradimensional space can only be entered by the [MON] or by a creature using a plane shift spell or ability. The location can be determined by casting detect magic in the area of the sigil, but it takes a successful DC [SAVE_DC] Intelligence (Arcana) check to plane shift into the space. Inside the hidey-hole, a [MON] can see what is going on outside the space through a special sensor. This sensor functions like a window, and it can be blocked by mundane objects placed in front of the sigil. If it leaves an item in its space, it remains there even if it removes the sigil and places it in another location. If someone else removes the sigil, all contents are emptied into the Ethereal Plane (including any beings within its hidey-hole at the time). In this case, the [MON] can attempt a DC [SAVE_DC] [ABILITY] saving throw to instead eject itself (but none of its possessions) into a space adjacent to the sigil.</t>
  </si>
  <si>
    <t>The [MON] unleashes a random magical attack. Roll a d4 to determine the effect: (1) Mutant Plants: Grasping tendrils of alien vegetation sprout from the ground in a [#] ft radius centered on a point the [MON] can see within [#] ft of it. The area becomes difficult terrain, and each target in that area must succeed on a DC [SAVE_DC] [ABILITY] saving throw or be restrained, as by the entangle spell. The plants wither away after [DURATION]. (2) Acid Rain: Corrosive acid falls from the sky centered on a point the [MON] can see within [#] ft of it. Each creature in a [#] ft radius, [#] ft high cylinder must succeed on a DC [SAVE_DC] [ABILITY] saving throw, taking [#dX] [DMG_TYPE] damage on a failed save, or half as much damage on a success. (3) Noxious Cloud: The [MON] creates a [#] ft radius sphere of reddish, stinging mist centered on a point it can see within [#] ft of it. The area is heavily obscured, and each creature inside the cloud at the start of its turn must succeed on a DC [SAVE_DC] [ABILITY] saving throw or take [#dX] [DMG_TYPE] damage and be blinded [DURATION]. On a success, the creature takes half as much damage only. The cloud lasts [DURATION]. (4) Shrinking Ray: A bright green ray strikes a single creature within [#] ft of it. The creature must succeed on a DC [SAVE_DC] [ABILITY] saving throw or be shrunk to half its size, as by the enlarge/reduce spell. The creature returns to its normal size after [DURATION].</t>
  </si>
  <si>
    <t>The [MON] raises its tail and sprays an alchemical mixture. The [MON] is immune to its own spray effects and to the spray effects of other [MON]s. Roll a d6 to determine the [MON]'s spray. (1) Pleasant Mist: The [MON] produces a rosy mist. Each creature within [#] ft of the [MON] must succeed on a DC [SAVE_DC] [ABILITY] saving throw or be charmed by it [DURATION]. (2) Shrinking Cloud: The [MON] releases a yellow gas. Each creature in a [#] ft cone must succeed on a DC [SAVE_DC] [ABILITY] saving throw or be reduced as if targeted by the enlarge/reduce spell [DURATION]. A target can repeat this saving throw at the end of each of its turns, ending the effect on itself on a success. (3) Laughing Gas: The [MON] emits a sparkling orange cloud. Each creature in a [#] ft cone must succeed on a DC [SAVE_DC] [ABILITY] saving throw or be incapacitated by laughter [DURATION]. An incapacitated creature can repeat this saving throw at the end of each of its turns, ending the effect on itself on a success. (4) Blinding Spray: The [MON] shoots a stream of a green fluid. Each creature in a line that is [#] ft long and [#] ft wide must succeed on a DC [SAVE_DC] [ABILITY] saving throw or be blinded [DURATION], or until the creature uses an action to wipe its eyes. (5) Sleeping Fog: The [MON] sprays a sweet-smelling blue fog. Each creature within [#] ft of the [MON] must succeed on a DC [SAVE_DC] [ABILITY] saving throw or fall unconscious [DURATION]. The creature wakes up if it takes damage or if another creature uses an action to shake it awake. (6) Poison Fog: The [MON] excretes a foul-smelling purple fog around itself [DURATION]. Each creature that starts its turn within [#] ft of the [MON] must succeed on a DC [SAVE_DC] [ABILITY] saving throw or be poisoned [DURATION].</t>
  </si>
  <si>
    <t>The poisoning ends after [DURATION] or when the target succeeds on a DC [SAVE_DC] [ABILITY] saving throw at the end of its turn.</t>
  </si>
  <si>
    <t>Instead of dealing damage, the [MON] can force the target to make a DC [SAVE_DC] [ABILITY] saving throw. On a failure, it contracts [DISEASE].</t>
  </si>
  <si>
    <t>If the [MON] flies at least [#] ft straight toward a target and then hits it with an attack on the same turn, that target must succeed on a DC [SAVE_DC] [ABILITY] saving throw or be knocked prone.</t>
  </si>
  <si>
    <t>A target hit by this attack must succeed on a DC [SAVE_DC] [ABILITY] saving throw or forget any or all events that happened up to [DURATION] prior to this attack, as if affected by the modify memory spell.</t>
  </si>
  <si>
    <t>Whether the attack hits or misses, the target and each creature within [#] ft of it must make a DC [SAVE_DC] [ABILITY] saving throw, taking [#dX] [DMG_TYPE] damage on a failed save, or half as much damage on a success.</t>
  </si>
  <si>
    <t>If the [MON] moves at least [#] ft straight toward a target before making this attack, the attack deals an extra [#dX] [DMG_TYPE] damage, and the target must succeed on a DC [SAVE_DC] [ABILITY] saving throw or be knocked prone.</t>
  </si>
  <si>
    <t>If the [MON] moves at least [#] ft straight toward the target before making this attack, the attack deals an extra [#dX] [DMG_TYPE] damage, and the target must succeed on a DC [SAVE_DC] [ABILITY] saving throw or be knocked prone.</t>
  </si>
  <si>
    <t>If the [MON] moves at least [#] ft straight toward the target before making this attack, the target takes an extra [#dX] [DMG_TYPE] damage, and the target must succeed on a DC [SAVE_DC] [ABILITY] saving throw or be knocked prone.</t>
  </si>
  <si>
    <t>If the [MON] moves at least [#] ft straight toward the target before making this attack, the target takes an extra [#dX] + [DMG_MOD] [DMG_TYPE] damage, and the target must succeed on a DC [SAVE_DC] [ABILITY] saving throw or be knocked prone.</t>
  </si>
  <si>
    <t>A living creature hit by this attack must succeed on a DC [SAVE_DC] [ABILITY] saving throw at the end of each of its turns or take [#dX] [DMG_TYPE] damage. This effect lasts [DURATION] or with a successful DC [SAVE_DC] Intelligence (Medicine) check.</t>
  </si>
  <si>
    <t>If the [MON] moves at least [#] ft straight toward the target before making this attack, the attack deals an extra [#dX] [DMG_TYPE] damage, and the target must succeed on a DC [SAVE_DC] [ABILITY] saving throw or be pushed up to [#] ft away and knocked prone.</t>
  </si>
  <si>
    <t>If the [MON] scores a critical hit, the target takes an additional [#dX] [DMG_TYPE] damage and must succeed on a DC [SAVE_DC] [ABILITY] saving throw or lose a limb (chosen randomly). The [MON] then regains hit points equal to the additional damage it inflicted.</t>
  </si>
  <si>
    <t>If the [MON] moves at least [#] ft straight toward the target before making this attack, that target must succeed on a DC [SAVE_DC] [ABILITY] saving throw or be distracted [DURATION]. A distracted creature has disadvantage on its next attack roll or ability check.</t>
  </si>
  <si>
    <t>Each time the [MON] deals damage to a creature with this attack, the target must succeed on a DC [SAVE_DC] [ABILITY] saving throw in order to notice the [MON] or the fact that it has taken damage. Once a creature succeeds on this saving throw, it does not have to make the save on subsequent turns.</t>
  </si>
  <si>
    <t>If the [MON] moves at least [#] ft straight toward the target before making this attack, that target must succeed on a DC [SAVE_DC] [ABILITY] saving throw or be knocked prone. If the target is prone the [MON] can make one Beak attack against it as a bonus action gaining temporary hit points equal to half the damage dealt.</t>
  </si>
  <si>
    <t>must succeed on a DC [SAVE_DC] [ABILITY] saving throw or a piece of the bone breaks and sticks in the target's wound. The target takes [#dX] [DMG_TYPE] damage at the start of each of its turns as long as the bone remains lodged in its wound. A creature, including the target, can take its action to remove the bone by succeeding on a DC [SAVE_DC] Wisdom (Medicine) check. The bone also falls out of the wound if the target receives magical healing A [MON] typically carr[#dX] bone shards, which are destroyed on a successful hit. It can use its action to tear a bone shard from a corpse within [#] ft of it Derro.</t>
  </si>
  <si>
    <t>If the [MON] moves at least [#] ft straight toward the target before making this attack, that creature must succeed on a DC [SAVE_DC] [ABILITY] saving throw or be knocked prone. If the creature is knocked prone, the [MON] immediately moves into the creature's space as a bonus action and crushes the creature beneath its bulk. The crushed creature can't breathe, is restrained, and takes [#dX] [DMG_TYPE] damage at the start of each of the [MON]'s turns. A crushed creature remains in its space and does not move with the [MON]. A crushed creature can escape by using an action and making a successful DC [SAVE_DC] Strength check. On a success, the creature crawls into an empty space within [#] ft of the [MON].</t>
  </si>
  <si>
    <t>must succeed on a DC [SAVE_DC] [ABILITY] saving throw or be captured on a flat surface of the [MON]'s choice within [#] ft of it, where its image appears as a painting, drawing, or similar. The [MON] can capture an unlimited number of creatures in this way, but each time it takes damage, it must make a [ABILITY] saving throw using the same rules as a standard concentration check, freeing all trapped creatures on a failure. A trapped creature can see and hear its surroundings, but is otherwise restrained and incapacitated. If the surface where the target is captured takes damage, the target takes damage equal to half that amount. If the surface is reduced to 0 hit points, the target is freed. Dispel magic (DC [SAVE_DC]) cast on the surface also frees a captured creature.</t>
  </si>
  <si>
    <t>A blinded creature can make a DC [SAVE_DC] [ABILITY] saving throw at the end of each of its turns, ending the effect on itself on a success.</t>
  </si>
  <si>
    <t>A consumed creature can attempt a DC [SAVE_DC] [ABILITY] saving throw as an action, escaping to a space of its choice within [#] ft of the [MON] on a success.</t>
  </si>
  <si>
    <t>A consumed creature can make a DC [SAVE_DC] [ABILITY] saving throw at the end of each of its turns, ending the effect on itself on a success.</t>
  </si>
  <si>
    <t>A consumed creature must succeed on a DC [SAVE_DC] [ABILITY] saving throw at the start of each of the [MON]'s turns or take [#dX] + [DMG_MOD] [DMG_TYPE] damage.</t>
  </si>
  <si>
    <t>A consumed creature must succeed on a DC [SAVE_DC] [ABILITY] saving throw at the start of each of the [MON]'s turns or take [#dX] [DMG_TYPE] damage.</t>
  </si>
  <si>
    <t>A consumed creature must succeed on a DC [SAVE_DC] [ABILITY] saving throw each round at the end of its turn or be affected by true polymorph into a new form chosen by the [MON]. The effect is permanent until dispelled or ended with a wish or similar magic.</t>
  </si>
  <si>
    <t>A creature with at least one [MON] attached to it takes [#dX] [DMG_TYPE] damage per [MON] at the start of each of its turns, and it must succeed on a DC [SAVE_DC] [ABILITY] saving throw or its hit point max is reduced by an amount equal to the damage taken.</t>
  </si>
  <si>
    <t>A poisoned creature can make a DC [SAVE_DC] [ABILITY] saving throw at the end of each of its turns, ending the effect on itself on a success.</t>
  </si>
  <si>
    <t>A poisoned creature must make a DC [SAVE_DC] [ABILITY] saving throw at the end of each of its turns, taking [#dX] [DMG_TYPE] damage on a failure, or ending the effect on itself on a success.</t>
  </si>
  <si>
    <t>A poisoned creature must make a DC [SAVE_DC] [ABILITY] saving throw at the start of each of its turns, taking [#dX] [DMG_TYPE] damage on a failure, or ending the effect on itself on a success.</t>
  </si>
  <si>
    <t>A poisoned creature must make a DC [SAVE_DC] [ABILITY] saving throw every [DURATION], reducing its hit point max by [#dX] on a failure, or ending the effect on itself on a success.</t>
  </si>
  <si>
    <t>A poisoned creature must succeed on a DC [SAVE_DC] [ABILITY] saving throw at the end of its next turn or be paralyzed. Victim can repeat this saving throw at the end of each of its turns, ending the effect on itself on a success. A creature within [#] ft of target can take its action to remove splinter with DC [SAVE_DC] Wisdom (Medicine) check ending poisoned condition.</t>
  </si>
  <si>
    <t>A poisoned creature must succeed on a DC [SAVE_DC] [ABILITY] saving throw every [DURATION] or its hit point max is reduced by [#dX]  [DURATION].</t>
  </si>
  <si>
    <t>A poisoned creature must succeed on a DC [SAVE_DC] [ABILITY] saving throw or be blinded while poisoned in this way.</t>
  </si>
  <si>
    <t>After [DURATION], small bubbles and bumps appear across the skin of the infected creature. At the end of each long rest, the infected creature must succeed on a DC [SAVE_DC] [ABILITY] saving throw. On a success, the infected creature's body fights off the spores and no longer has to make the saving throw. If a creature fails the saving throw every day [DURATION], young [MON]s hatch from the creature's skin, and the creature takes [#dX] [DMG_TYPE] damage. The spores can also be removed with a lesser restoration spell or similar magic.</t>
  </si>
  <si>
    <t>An infected creature becomes contagious [DURATION] after contracting the disease. When a creature starts its turn within [#] ft of contagious target that creature must make a DC [SAVE_DC] [ABILITY] saving throw or also contract harpy's [MON] disease.</t>
  </si>
  <si>
    <t>An infected creature must make a DC [SAVE_DC] [ABILITY] saving throw at the end of each long rest, recovering from the disease after succeeding twice.</t>
  </si>
  <si>
    <t>An infected creature must make a DC [SAVE_DC] [ABILITY] saving throw at the end of each long rest. On a failure, the damage inflicted by this disease increases by [#dX]. A creature recovers from this disease after succeeding on this saving throw three times.</t>
  </si>
  <si>
    <t>An infected creature must succeed on a DC [SAVE_DC] [ABILITY] saving throw after each long rest or gain one level of exhaustion and recover no hit dice from the long rest. On a success, the creature recovers from one level of exhaustion and regains hit dice normally. If the infected creature reduces itself to zero exhaustion by making successful saving throws, the disease is cured.</t>
  </si>
  <si>
    <t>An infected creature must succeed on a DC [SAVE_DC] [ABILITY] saving throw after each long rest or its Strength score is reduced by [#dX]. If this reduces its Strength to 0, it dies. A creature that succeeds on two saves recovers from the disease.</t>
  </si>
  <si>
    <t>An infected creature must succeed on a DC [SAVE_DC] [ABILITY] saving throw at the end of each long rest or gain one level of exhaustion. A creature that succeeds on two saving throws against the disease recovers from it.</t>
  </si>
  <si>
    <t>An infected creature must succeed on a DC [SAVE_DC] [ABILITY] saving throw at the end of each long rest or gain one level of exhaustion. On a successful save, the creature's exhaustion level decreases by one level. When an infected creature no longer has any levels of exhaustion remaining, it recovers from this disease.</t>
  </si>
  <si>
    <t>At the end of each long rest, the diseased creature must succeed on a DC [SAVE_DC] [ABILITY] saving throw or its Dexterity score is reduced by [#dX]. If this reduces the creature's Dexterity to 0, the creature dies and its body becomes a [MON] [DURATION] later.</t>
  </si>
  <si>
    <t>At the start of each of a grappled creature's turns, it must make a DC [SAVE_DC] [ABILITY] saving throw or contract [DISEASE].</t>
  </si>
  <si>
    <t>At the start of each of a grappled creature's turns, the creature must succeed on a DC [SAVE_DC] [ABILITY] saving throw or its hit point max is reduced by [#dX].</t>
  </si>
  <si>
    <t>At the start of each of the [MON]'s turns, a grappled creature takes [#dX] + [DMG_MOD] bludgeoning damage plus [#dX] [DMG_TYPE] damage, and it must succeed on a DC [SAVE_DC] [ABILITY] saving throw or contract [DISEASE].</t>
  </si>
  <si>
    <t>Beginning [DURATION] after infection, the infected creature must make a DC [SAVE_DC] [ABILITY] saving throw at the end of each long rest. If the saving throw fails, the victim loses [#dX] Intelligence and [#dX] Wisdom. Lost Intelligence and Wisdom can't be recovered while the disease persists. If the saving throw succeeds, nothing happens; the disease ends after the second consecutive successful saving throws. Once the disease ends, lost Intelligence and Wisdom can be restored by greater restoration or similar magic.</t>
  </si>
  <si>
    <t>During each long rest, the diseased creature grows and sloughs off a stillborn clone. The doppeling process leaves the diseased creature incapacitated [DURATION], unable to move and barely able to speak (spellcasting is impossible in this state). When the incapacitation wears off, the creature must make a DC [SAVE_DC] [ABILITY] saving throw; it recovers from the disease when it makes its second successful save. Humanoid clones created by the disease can't be brought to life in any manner.</t>
  </si>
  <si>
    <t>Each time a creature takes [DMG_TYPE], [DMG_TYPE], or [DMG_TYPE] damage while poisoned in this way, it must succeed on a DC [SAVE_DC] [ABILITY] saving throw or be incapacitated by pain [DURATION].</t>
  </si>
  <si>
    <t>Every [DURATION], an infected creature must make a DC [SAVE_DC] [ABILITY] saving throw, reducing its hit point max by [#dX] on a failure, or curing the disease on a success.</t>
  </si>
  <si>
    <t>Every [DURATION], an infected creature must succeed on a DC [SAVE_DC] [ABILITY] saving throw or its hit point max is reduced by [#dX]. On a success, the disease is cured.</t>
  </si>
  <si>
    <t>Every [DURATION], an infected creature must succeed on a DC [SAVE_DC] [ABILITY] saving throw or take [#dX] [DMG_TYPE] damage and its hit point max is reduced by the same amount.</t>
  </si>
  <si>
    <t>If a charmed creature is more than [#] ft away from the [MON], it must move on its turn toward the [MON] by the most direct route, trying to get within [#] ft of it. It doesn't avoid opportunity attacks, but before moving into damaging terrain, such as lava or a pit, and whenever it takes damage from a source other than the [MON], it can make a DC [SAVE_DC] [ABILITY] saving throw, ending the effect on itself on a success.</t>
  </si>
  <si>
    <t>If a charmed creature starts its turn more than [#] ft away from the [MON], it must move on its turn toward the [MON] by the most direct route, trying to get within [#] ft of it. It doesn't avoid opportunity attacks, but before moving into damaging terrain, such as lava or a pit, and whenever it takes damage from a source other than the [MON], it can make a DC [SAVE_DC] [ABILITY] saving throw, ending the effect on itself on a success.</t>
  </si>
  <si>
    <t>If a charmed creature starts its turn within [#] ft of the banquet, it eats the feast and must succeed on a DC [SAVE_DC] [ABILITY] saving throw or take [#dX] [DMG_TYPE] damage and be poisoned [DURATION].</t>
  </si>
  <si>
    <t>If a creature dies while cursed, its body dissolves into viscous puddle of goo. Carnivorous creatures with an Intelligence of [#] or lower that can see or smell the goo must succeed on a DC [SAVE_DC] [ABILITY] saving throw or drink the goo. after [DURATION] creature's weapon attack becomes infused with the curse and any creature hit by that attack must succeed on a DC [SAVE_DC] [ABILITY] saving throw or be cursed.</t>
  </si>
  <si>
    <t>If a creature ends its turn with a [MON] attached to it, it must succeed on a DC [SAVE_DC] [ABILITY] saving throw or contract [DISEASE].</t>
  </si>
  <si>
    <t>If a frightened creature ends its turn in a location where it doesn't have line of sight to the [MON], the creature must make a [SAVE_DC] [ABILITY] saving throw, ending the effect on itself on a success.</t>
  </si>
  <si>
    <t>If a poisoned creature tries to move more than [#] ft during a turn, it must succeed on a DC [SAVE_DC] [ABILITY] saving throw or be knocked prone.</t>
  </si>
  <si>
    <t>If an infected creature comes into physical contact with a blood relative before the disease is cured, the relative must succeed on a DC [SAVE_DC] [ABILITY] saving throw or also become infected with the disease.</t>
  </si>
  <si>
    <t>If the [MON] changes its form or takes [#] damage or more in a single turn from a consumed creature, it must succeed on a DC [SAVE_DC] [ABILITY] saving throw or expel all consumed creatures, which land prone within [#] ft of the [MON].</t>
  </si>
  <si>
    <t>If the [MON] takes [#] or more [DMG_TYPE] or [DMG_TYPE] damage in a single turn from a consumed creature, it must succeed on a DC [SAVE_DC] [ABILITY] saving throw at the end of that turn or expel all consumed creatures, which land prone within [#] ft of the [MON].</t>
  </si>
  <si>
    <t>If the [MON] takes [#] or more [DMG_TYPE] or [DMG_TYPE] damage in a single turn from a consumed creature, it must succeed on a DC [SAVE_DC] [ABILITY] saving throw at the end of that turn or expel one consumed creature, which lands prone within [#] ft of the [MON].</t>
  </si>
  <si>
    <t>If the [MON] takes [#] or more [DMG_TYPE] or [DMG_TYPE] damage in a single turn from any source, it must succeed on a DC [SAVE_DC] [ABILITY] saving throw at the end of that turn or expel all consumed creatures, which land prone within [#] ft of the [MON].</t>
  </si>
  <si>
    <t>If the [MON] takes [#] or more [DMG_TYPE] or [DMG_TYPE] damage in a single turn from any source, it must succeed on a DC [SAVE_DC] [ABILITY] saving throw at the end of that turn or expel one consumed creature, which lands prone within [#] ft of the [MON].</t>
  </si>
  <si>
    <t>If the [MON] takes [#] or more damage in a single turn from a consumed creature, it must succeed on a DC [SAVE_DC] [ABILITY] saving throw at the end of that turn or expel all consumed creatures, which land prone within [#] ft of the [MON].</t>
  </si>
  <si>
    <t>If the [MON] takes [#] or more damage in a single turn from a consumed creature, it must succeed on a DC [SAVE_DC] [ABILITY] saving throw at the end of that turn or expel one consumed creature, which lands prone within [#] ft of the [MON].</t>
  </si>
  <si>
    <t>If the [MON] takes [#] or more damage in a single turn from a consumed creature, it must succeed on a DC [SAVE_DC] [ABILITY] saving throw at the end of that turn or expel one consumed creatures, which lands prone within [#] ft of the [MON].</t>
  </si>
  <si>
    <t>If the [MON] takes [#] or more damage in a single turn from any source, it must succeed on a DC [SAVE_DC] [ABILITY] saving throw at the end of that turn or expel all consumed creatures, which land prone within [#] ft of the [MON].</t>
  </si>
  <si>
    <t>If the [MON] takes [#] or more damage in a single turn from any source, it must succeed on a DC [SAVE_DC] [ABILITY] saving throw at the end of that turn or expel one consumed creature, which lands prone within [#] ft of the [MON].</t>
  </si>
  <si>
    <t>If the [MON] takes [#] or more damage on a single turn from a consumed creature, the [MON] must make a DC [SAVE_DC] [ABILITY] saving throw at the end of that turn or expel the creature which is knocked prone in a space within [#] ft of the [MON].</t>
  </si>
  <si>
    <t>The [MON] can extend [#] sticky limbs up to [#] ft from itself in [DURATION]. A creature who touches one of these limbs must succeed on a DC [SAVE_DC] [ABILITY] saving throw or be restrained as it adheres to the limb. The limbs can be attacked (AC [#], [#] hit points), and any damage done to a limb is also done to the [MON]. Reducing a limb to 0 hit points ends the restrained condition, and the [MON] can't use that limb [DURATION].</t>
  </si>
  <si>
    <t>The [MON] releases a [#] ft radius cloud of microscopic eggs into a body of water it touches. The eggs live [DURATION]. Any humanoid or beast that drinks the eggs must succeed on a DC [SAVE_DC] [ABILITY] saving throw or be infected with a disease: a [MON] tadpole. A host can carry only one [MON] tadpole to term at a time. While diseased, the host must make a DC [SAVE_DC] [ABILITY] saving throw at the end of each long rest. On a failed save, the host's Strength score is reduced by [#dX]. This reduction [DURATION]. If the host's Strength score is reduced to 0, the host dies, and a [MON] emerges from the corpse. If the host succeeds on three saving throws or the disease is cured, the unborn tadpole disintegrates.</t>
  </si>
  <si>
    <t>Until a creature has no levels of exhaustion remaining, it must make a DC [SAVE_DC] [ABILITY] saving throw to cast a spell with verbal component.</t>
  </si>
  <si>
    <t>When an attached [MON] takes any damage other than psychic damage, the creature the [MON] is attached to must succeed on a DC [SAVE_DC] [ABILITY] saving throw or use its reaction to protect the [MON]. The [MON] takes half of the damage from the attack, and the creature takes the other half.</t>
  </si>
  <si>
    <t>When hit by the [MON]'s slam or breath weapon attack, the [MON] absorbs moisture from the living creatures' joints, causing stiffness and pain. In addition to [#dX] Dexterity drain, any creature caught within the [MON]'s breath weapon that fails another DC [SAVE_DC] [ABILITY] saving throw suffers crushing pain in bones and joints. Any round in which the pained creature moves, it takes [#dX] [DMG_TYPE] damage per 5 ft moved. Bone wracking pain lasts until the affected creature regains at least 1 point of lost Dexterity.</t>
  </si>
  <si>
    <t>When the [MON] swallows a creature, each of that creature's allies within 1 mile of the [MON] must succeed on a DC [SAVE_DC] [ABILITY] saving throw or forget the swallowed creature's existence. At the end of each of an affected creature's turns, it can repeat this saving throw, remembering the swallowed creature on a success.</t>
  </si>
  <si>
    <t>While a creature is unconscious, the [MON] can issue simple commands to it. If the creature takes damage, receives a suicidal command, is told to move into damaging terrain, such as lava or a pit, or is grappled while carrying out the order, it can make a DC [SAVE_DC] [ABILITY] saving throw, awakening and ending the [MON]'s control on a success.</t>
  </si>
  <si>
    <t>While attached to a creature, the [MON] doesn't attack. Instead, at the start of each of the [MON]'s turns, the target loses [#dX] hit points due to blood loss and must make a DC [SAVE_DC] [ABILITY] saving throw. If it fails, it is charmed by the [MON] and won't attempt to remove it. The creature will even seek to replace a detached [MON] unless prevented from doing so [DURATION], after which the [MON]'s influence fades.</t>
  </si>
  <si>
    <t>While attached to a creature, the [MON] doesn't attack. Instead, at the start of each of the [MON]'s turns, the target loses [#dX] hit points due to blood loss, and the target must succeed on a DC [SAVE_DC] [ABILITY] saving throw or be poisoned [DURATION].</t>
  </si>
  <si>
    <t>While cursed in this way, a creature grows gem-like growths across its body. When the cursed creature takes damage that isn't poison or psychic, it and each creature within [#] ft of it must succeed on a DC [SAVE_DC] [ABILITY] saving throw or take [#dX] [DMG_TYPE] damage. This damage doesn't trigger further explosions.</t>
  </si>
  <si>
    <t>While frightened in this way, a creature concentrating on a spell must immediately succeed on a DC [SAVE_DC] [ABILITY] saving throw or lose concentration.</t>
  </si>
  <si>
    <t>While grappled in this way, a creature must succeed on a DC [SAVE_DC] [ABILITY] saving throw at the start of each of its turns or be invisible and inaudible to all creatures other than the [MON].</t>
  </si>
  <si>
    <t>While grappled in this way, a creature must succeed on a DC [SAVE_DC] [ABILITY] saving throw at the start of each of its turns or be poisoned [DURATION]. This duration isn't cumulative, but it resets with each failed saving throw.</t>
  </si>
  <si>
    <t>While grappled in this way, a creature must succeed on a DC [SAVE_DC] [ABILITY] saving throw at the start of each of its turns or take [#dX] [DMG_TYPE] damage.</t>
  </si>
  <si>
    <t>While infected in this way, a creature is highly contagious. Each creature that touches it, or that is within [#] ft of it when it finishes a long rest, must succeed on a DC [SAVE_DC] [ABILITY] saving throw or also contract this disease.</t>
  </si>
  <si>
    <t>While infected in this way, a creature must make a DC [SAVE_DC] [ABILITY] saving throw at the end of each long rest. After it succeeds twice, the disease is cured. On a failure, the disease progresses, forcing the creature to undergo the following series of changes. (1) The creature can't speak, and its tongue turns black. (2) The creature's eyes turn a deep red, and it gains darkvision [#] ft and the Sunlight Sensitivity trait. (3) The creature secretes black oil from its skin, and it has advantage on ability checks and saving throws made to escape a grapple. (4) The creature's veins turn black, slowly working their way up through the body from the appendages. (5) When the blackened veins reach its head after the final long rest, the creature experiences excruciating, stabbing pains in its temples. At sunset, the creature dies as the antlers of an elk burst from its head. The oil secreting from the corpse pools and forms a [MON] at midnight.</t>
  </si>
  <si>
    <t>While infected in this way, a creature must make a DC [SAVE_DC] [ABILITY] saving throw at the end of each long rest. On a success, its exhaustion is reduced by one level.</t>
  </si>
  <si>
    <t>While infected in this way, a creature must make a DC [SAVE_DC] [ABILITY] saving throw every [DURATION], reducing its hit point max by [#dX] on a failure, and ending the disease on a success.</t>
  </si>
  <si>
    <t>While infected in this way, a creature must succeed on a DC [SAVE_DC] [ABILITY] saving throw after every long rest or take [#dX] [DMG_TYPE] damage, and its hit point max is reduced by an amount equal to the damage taken. It recovers from the disease after succeeding on two consecutive saving throws. Greater restoration cures the disease; lesser restoration allows the victim to make its saving throw with advantage.</t>
  </si>
  <si>
    <t>While infected in this way, a creature must succeed on a DC [SAVE_DC] [ABILITY] saving throw at the end of each long rest or its Intelligence score is reduced by [#dX]. If this reduces its Intelligence to 0, it dies.</t>
  </si>
  <si>
    <t>While infected in this way, a creature must succeed on a DC [SAVE_DC] [ABILITY] saving throw at the end of each long rest or take [#dX] [DMG_TYPE] damage plus [#dX] [DMG_TYPE] damage and gain one level of exhaustion if the creature has no levels of exhaustion. The target's hit point max is reduced by an amount equal to the [DMG_TYPE] damage taken. The exhaustion and hit point max reduction last [DURATION] after the disease is cured.</t>
  </si>
  <si>
    <t>While infected in this way, a creature must succeed on a DC [SAVE_DC] [ABILITY] saving throw at the end of each long rest or take [#dX] [DMG_TYPE] damage, and its hit point max is reduced by the same amount. The infection ends when a creature has two consecutive successful saving throws, or receives the benefits of a lesser restoration spell or similar magic.</t>
  </si>
  <si>
    <t>While infected in this way, a creature must succeed on a DC [SAVE_DC] [ABILITY] saving throw at the end of each long rest or take [#dX] Dexterity damage and [#dX] Intelligence damage. It dies if this reduces either score to 0.</t>
  </si>
  <si>
    <t>While infected in this way, a creature must succeed on a DC [SAVE_DC] [ABILITY] saving throw at the end of each saving throw or it takes [#dX] Strength damage and [#dX] Dexterity damage and its walking speed is reduced by [#] ft. If this reduces either score to 0, it dies.</t>
  </si>
  <si>
    <t>While infected in this way, a creature must succeed on a DC [SAVE_DC] [ABILITY] saving throw every [DURATION] or take [#dX] [DMG_TYPE] damage.</t>
  </si>
  <si>
    <t>While poisoned in this way, a creature suffers an itchy rash. At the start of each of its turns, it must succeed on a DC [SAVE_DC] [ABILITY] saving throw or spend its action furiously scratching the rash, inflicting [#dX] [DMG_TYPE] damage to itself.</t>
  </si>
  <si>
    <t>While restrained in this way, a creature must make a DC [SAVE_DC] [ABILITY] saving throw at the start of each of its turns. On a failure, the creature is compelled to sing a lament of all its various mistakes and misdeeds for as long as it remains restrained. Singing prevents uttering command words, casting spells with a verbal component, or any verbal communication.</t>
  </si>
  <si>
    <t>While within [#] ft of an envenomed humanoid, the [MON] can telepathically suggest course of activity to it. Humanoid must make a DC [SAVE_DC] [ABILITY] saving throw or pursue the activity suggested to it. Success: humanoid takes [#dX] [DMG_TYPE] damage and has disadvantage next time it makes this save. Works like suggestion spell and humanoid unaware of the [MON]'s influence.</t>
  </si>
  <si>
    <t>The target must succeed on a DC [SAVE_DC] [ABILITY] saving throw or its hit point max is reduced by an amount equal to the [DMG_TYPE] damage taken.</t>
  </si>
  <si>
    <t>If the [MON] has half its hit points or fewer, when it does so, each target in that area must succeed on a DC [SAVE_DC] [ABILITY] saving throw or take [#dX] + [DMG_MOD] [DMG_TYPE] damage and be knocked prone.</t>
  </si>
  <si>
    <t>Each creature within [#] ft of the target must make a DC [SAVE_DC] [ABILITY] saving throw. On a failure, [TGT_EFFECT].</t>
  </si>
  <si>
    <t>The target's Strength score is reduced by [#dX] and it must succeed on a DC [SAVE_DC] [ABILITY] saving throw or be paralyzed.</t>
  </si>
  <si>
    <t>Each creature within [#] ft of the target must make a DC [SAVE_DC] [ABILITY] saving throw. On a failure, [TGT_EFFECT]. On a success, [TGT_EFFECT].</t>
  </si>
  <si>
    <t>The [MON] can try to force the substitution of the target with a shadow double. The target must succeed at a DC [SAVE_DC] [ABILITY] saving throw or be invisible, silent, and paralyzed, while an illusory version of itself appears. This illusory double is under the [MON]'s control and can move and make noise, though it can't move more than [#] ft away from the [MON].</t>
  </si>
  <si>
    <t>The target must succeed on a DC [SAVE_DC] [ABILITY] saving throw or be chilled [DURATION]. A chilled creature takes [#dX] [DMG_TYPE] damage at the start of each of its turns. A chilled creature can repeat this saving throw at the end of each of its turns, ending the effect on itself on a success. A humanoid slain while chilled rises [DURATION] later as a chill haunt, unless the humanoid is restored to life or its body is destroyed.</t>
  </si>
  <si>
    <t>The target is infected with the eggs of the [MON]. The injected eggs form a circular lotus pod tumor, roughly half a foot in diameter, on the target within [DURATION] of injection. While carrying this tumor, the target has disadvantage on skill checks and saving throws. Exact[#d] erupts from the tumor, dealing does [#dX] [DMG_TYPE] damage to the target. The tumor can be excised with a DC [SAVE_DC] Wisdom (Medicine) check, causing [#dX] [DMG_TYPE] damage to the host. If it is cut out without the check, the patient must succeed on a DC [SAVE_DC] [ABILITY] saving throw or take [#dX] [DMG_TYPE] damage.</t>
  </si>
  <si>
    <t>The [MON] can kick a creature within [#] ft of it as a bonus action. The kicked creature must succeed on a DC [SAVE_DC] [ABILITY] saving throw or be knocked prone.</t>
  </si>
  <si>
    <t>If the [MON] damages a beast, it can try to infest it as a bonus action. The damaged creature must succeed on a DC [SAVE_DC] [ABILITY] saving throw or contract [DISEASE].</t>
  </si>
  <si>
    <t>If the [MON] is touching stone, it can cause one creature touching stone within [#] ft of it to make a DC [SAVE_DC] [ABILITY] saving throw, knocking it prone on a failure.</t>
  </si>
  <si>
    <t>The [MON] pulls its harpoon back toward itself. If the harpoon is stuck in a creature, that creature must make a DC [SAVE_DC] [ABILITY] saving throw or be pulled up to [#] ft toward the [MON].</t>
  </si>
  <si>
    <t>If the [MON] is touching stone, it can cause one creature touching stone within [#] ft of it to make a DC [SAVE_DC] [ABILITY] saving throw or be restrained by softened mud-like stone [DURATION].</t>
  </si>
  <si>
    <t>The [MON] can attempt to shake off a rider as a bonus action. The target must succeed on a DC [SAVE_DC] [ABILITY] saving throw or fall off the [MON], landing prone in a space within [#] ft of it.</t>
  </si>
  <si>
    <t>As a bonus action, a [MON] can play a captivating melody through its hollow horn. Creatures within [#] ft of the [MON] that can hear it must succeed on a DC [SAVE_DC] [ABILITY] saving throw or be charmed [DURATION].</t>
  </si>
  <si>
    <t>As a bonus action, the [MON] can spend 1 luck point to force each creature that is concentrating on a spell within [#] ft of it to make a DC [SAVE_DC] [ABILITY] saving throw, losing its concentration on the spell on a failure.</t>
  </si>
  <si>
    <t>As a bonus action, a [MON] can force a creature within [#] ft of it to make a DC [SAVE_DC] [ABILITY] saving throw. On a failure, the target loses its concentration [DURATION], at which point it can resume the spell, no action required.</t>
  </si>
  <si>
    <t>When the [MON] hits a hostile creature with its attack after moving at least [#] ft, the target creature must succeed on a DC [SAVE_DC] [ABILITY] saving throw or be knocked prone and the [MON] can use a bonus action to make a single attack.</t>
  </si>
  <si>
    <t>The [MON] can destroy any wooden, leather, copper, iron, or paper object by touching it as a bonus action. A mundane item is destroyed automatically; a magical item survives if its owner must succeed on a DC [SAVE_DC] [ABILITY] saving throw.</t>
  </si>
  <si>
    <t>As a bonus action, the [MON] applies ink to itself. The next time it hits a creature with an attack, the target must make a DC [SAVE_DC] [ABILITY] saving throw, taking [#dX] [DMG_TYPE] damage on a failed save, or half as much damage on a success.</t>
  </si>
  <si>
    <t>As a bonus action, the [MON] targets one creature it can see within [#] ft of it that has 0 hit points and is still alive. The target must succeed on a DC [SAVE_DC] [ABILITY] saving throw or die. If the target dies, the [MON] regains [#dX] hit points.</t>
  </si>
  <si>
    <t>When the [MON] hits a creature with a gore attack, it can use a bonus action to impale and toss the creature. The target must succeed on a DC [SAVE_DC] [ABILITY] saving throw or take [#dX] + [DMG_MOD] [DMG_TYPE] damage and be flung up to [#] ft away from the [MON] in a random direction and knocked prone.</t>
  </si>
  <si>
    <t>As a bonus action, the [MON] secretes a disgusting whitish-yellow substance with the viscosity of tar onto a single adjacent 5 ft space, object, or creature. Any living creature that starts its turn within [#] ft of the secretion must succeed on a DC [SAVE_DC] [ABILITY] saving throw or be poisoned [DURATION].</t>
  </si>
  <si>
    <t>If the [MON] grapples an opponent, it extends a semi-solid gaseous tendril down the target's throat as a bonus action. The target must succeed on a DC [SAVE_DC] [ABILITY] saving throw or it is immediately out of breath and begins suffocating. Suffocation ends if the grapple is broken or if the [MON] is killed.</t>
  </si>
  <si>
    <t>If the [MON] starts its turn with a target grappled, it can slam the target into the ground as a bonus action. The creature must make a DC [SAVE_DC] [ABILITY] saving throw, taking [#dX] + [DMG_MOD] [DMG_TYPE] damage on a failed save, or half as much damage on a success. This doesn't end the grappled condition on the target.</t>
  </si>
  <si>
    <t>As a bonus action when in gaseous form, the [MON] can befoul its space with a choking scent. When the [MON] moves through another creature's space in gaseous form, the creature must succeed on a DC [SAVE_DC] [ABILITY] saving throw or be incapacitated [DURATION]. This effect lasts until the [MON] leaves gaseous form or [DURATION].</t>
  </si>
  <si>
    <t>As a bonus action, the [MON] can use its tail to distract an opponent within [#] ft of it by pulling on an arm, tossing dirt in the target's face, or some other method of interfering. The target must succeed on a DC [SAVE_DC] [ABILITY] saving throw or have disadvantage on all attacks against the [MON] until the [MON]'s next turn.</t>
  </si>
  <si>
    <t>As a bonus action, the [MON] makes a melee attack against a prone creature within its reach. On a hit, the target must succeed on a DC [SAVE_DC] [ABILITY] saving throw or be incapacitated [DURATION]. An incapacitated creature can repeat this saving throw at the end of each of its turns; a successful save ends the condition early.</t>
  </si>
  <si>
    <t>A creature that starts its turn within [#] ft of the [MON] must succeed on a DC [SAVE_DC] [ABILITY] saving throw or take [#dX] [DMG_TYPE] damage and be poisoned [DURATION]. A wind of moderate or greater speed (at least 10 miles per hour) disperses the insect cloud [DURATION]. As a bonus action, the [MON] can disperse the cloud [DURATION].</t>
  </si>
  <si>
    <t>As a bonus action, the [MON] can force a creature it hit with its Niflheim longsword this round to make a DC [SAVE_DC] [ABILITY] saving throw. The creature takes [#dX] [DMG_TYPE] damage on a failed save, or half as much damage on a success. If an einherjar is reduced to 0 hit points by this effect, it dies, cursed to become a [MON] at sundown.</t>
  </si>
  <si>
    <t>The [MON] transforms into a magical dagger. A creature that wields the [MON] while it is in this form gains +1 bonus to attack and damage rolls with the dagger, and attacks with the dagger score a critical hit on a roll of 19 or 20. In addition, the wielder can't take the Disengage action unless it succeeds on a DC [SAVE_DC] [ABILITY] saving throw.</t>
  </si>
  <si>
    <t>As a bonus action, the [MON] incites rage in up to three beasts or monstrosities it can see within [#] ft of it. Each target must succeed on a DC [SAVE_DC] [ABILITY] saving throw or be enraged [DURATION]. While enraged, it has advantage on its attack rolls, but it is unable to distinguish friend from foe and must attack the nearest creature other than the [MON].</t>
  </si>
  <si>
    <t>As a bonus action, the [MON] wreathes its body in searing blue and white embers. The embers last [DURATION] or until the [MON] uses its breath weapon. A creature that enters or starts its turn in a space within [#] ft of the [MON] must make a DC [SAVE_DC] [ABILITY] saving throw, taking [#dX] [DMG_TYPE] damage on a failed save, or half as much damage on a success.</t>
  </si>
  <si>
    <t>The [MON] creates the image of a banquet within [#] ft of itself that compels creatures to eat from it. Each creature within [#] ft of the banquet that can see the banquet must succeed on a DC [SAVE_DC] [ABILITY] saving throw or be charmed by the [MON]. The [MON] must take a bonus action on its subsequent turns to maintain the illusion. The illusion ends if the [MON] is incapacitated.</t>
  </si>
  <si>
    <t>As a bonus action, the snake performs a minor ploy with its mage the [MON] against a target it can see within [#] ft of it. The target must succeed on a DC [SAVE_DC] [ABILITY] saving throw or have disadvantage on its next ability check, attack roll, or saving throw (the snake's choice) as the snake removes the target's helmet, upends the target's quiver, or performs some other form of distraction.</t>
  </si>
  <si>
    <t>The [MON] emits black, venomous ink in a [#] ft cloud as a bonus action while underwater. The cloud affects vision as the darkness spell, and any creature that starts its turn inside the cloud must make a DC [SAVE_DC] [ABILITY] saving throw, taking [#dX] [DMG_TYPE] damage on a failed save, or half as much damage on a succes. The [MON]'s darkvision is not impaired by this cloud. The cloud persists [DURATION], then disperses.</t>
  </si>
  <si>
    <t>As a bonus action, the [MON] consumes one of the bottled souls in its possession, regaining [#dX] + [DMG_MOD] hit points and gaining advantage on all attack rolls and ability checks [DURATION]. Any non-fiend who consumes a bottled soul regains [#dX] + [DMG_MOD] hit points and must succeed on a DC [SAVE_DC] [ABILITY] saving throw or be stunned [DURATION] and poisoned [DURATION]. On a success, the creature is poisoned [DURATION].</t>
  </si>
  <si>
    <t>The [MON] forces a humanoid within [#] ft of it to make a DC [SAVE_DC] [ABILITY] saving throw. If the saving throw fails, the [MON] and the target exchange locations via teleportation, and an illusion causes them to swap appearance: the [MON] looks and sounds like the target, and the target looks and sounds like the [MON]. The illusion lasts [DURATION] unless it is dismissed earlier by the [MON] as a bonus action, or dispelled (DC [SAVE_DC]).</t>
  </si>
  <si>
    <t>The [MON] can ignite or extinguish fire that crowns its head as a bonus action. While ignited, it sheds bright light in a [#] ft radius and dim light for an extra [#] ft. When the [MON] is subjected to an effect that would extinguish its flames against its will, the [MON] must succeed on a DC [SAVE_DC] [ABILITY] saving throw or fall unconscious [DURATION] or someone uses an action to wake it. If the effect is nonmagical, the [MON] has advantage on the save.</t>
  </si>
  <si>
    <t>As a bonus action at the start of its turn, the [MON] can choose one creature within [#] ft of it that it can see. The [MON]'s eyes glow, and the target must succeed on a DC [SAVE_DC] [ABILITY] saving throw or the [MON] creates a temporary mental bond with the target [DURATION]. While bonded, the [MON] reads the creature's surface thoughts, choosing to either gain advantage on attacks against that target or cause the target to have disadvantage on attacks against the [MON].</t>
  </si>
  <si>
    <t>As a bonus action, the [MON] summons a beam of pale light, shot through with undulating waves of shadow, centered on a point it can see within [#] ft of it. The beam is a [#] ft radius, [#] ft high cylinder and lasts [DURATION]. As a bonus action on each of its turns, the [MON] can move the beam up to [#] ft in any direction. A creature that enters or starts its turn in the beam must succeed on a DC [SAVE_DC] [ABILITY] saving throw or take [#dX] [DMG_TYPE] damage and be cursed.</t>
  </si>
  <si>
    <t>As a bonus action, the [MON]'s chest can fire a spray of alchemical grease with a range of [#] ft, covering a 10-by-10 ft square area and turning it into difficult terrain. Each creature standing in the affected area must succeed on a DC [SAVE_DC] [ABILITY] saving throw or be knocked prone. A creature that enters the area or ends its turn there must also succeed on a DC [SAVE_DC] [ABILITY] saving throw or be knocked prone. The [MON] can use this attack four times before its internal reservoir is emptied.</t>
  </si>
  <si>
    <t>All humanoids within [#] ft of a [MON] who look directly at its must succeed on a DC [SAVE_DC] [ABILITY] saving throw or be drawn to its in the most direct path, regardless of the danger. This compulsion fades once the person gets within [#] ft of the [MON]. A creature can avoid this effect for one full round by choosing to avert its eyes at the start of its turn, but it then has disadvantage on any attacks or other rolls directed against the [MON] [DURATION]. A [MON] can suppress or resume this ability as a bonus action.</t>
  </si>
  <si>
    <t>With little regard for the clockwork bodies they inhabit, [MON]s can stress and strain their mechanisms in such a violent manner that flywheels become unbalanced, gears shatter, and springs snap. As a bonus action, this violent burst of gears and pulleys deals [#dX] + [DMG_MOD] [DMG_TYPE] damage to all foes within [#] ft of it who fail a DC [SAVE_DC] [ABILITY] saving throw. Each use of this ability imposes a cumulative reduction in movement of 5 ft upon the [MON]. If its speed is reduced to 0 ft, the [MON] becomes paralyzed.</t>
  </si>
  <si>
    <t>As a bonus action, the [MON] can disperse, scattering its parts in a [#] ft cube, centered on the space it previously occupied. A creature moving through a space containing any of the [MON]'s parts must succeed on a DC [SAVE_DC] [ABILITY] saving throw or be knocked prone. A creature moving through the area at half speed doesn't need to make the save. While scattered, the [MON] can't attack or move, except to reform, and it can't be targeted by attacks or spells. It can still take damage from spells that deal damage in an area.</t>
  </si>
  <si>
    <t>The [MON] launches its tongue at target up to [#] ft away. If the target is Small or smaller must succeed on a DC [SAVE_DC] Strength saving throw or be pulled up to [#] ft toward the make a DC [SAVE_DC] Constitution saving throw. If the target is Medium or larger must succeed on a DC [SAVE_DC] [ABILITY] saving throw or make a DC [SAVE_DC] Constitution saving throw is pulled up to [#] ft closer to the target. If the target is within [#] ft of make a DC [SAVE_DC] Constitution saving throw, it can make one melee attack against it as a bonus action.</t>
  </si>
  <si>
    <t>As a bonus action, the [MON] can spit a sticky, acidic web in a [#] ft cube. The webs must either be anchored between two solid masses (such as walls) or layered 5 ft deep over a flat surface. The web is difficult terrain and lightly obscures the area. A creature that starts its turn in the web or enters the web during its turn must make a DC [SAVE_DC] [ABILITY] saving throw, taking [#dX] [DMG_TYPE] damage on a failed save, or half as much damage on a success. The web persists [DURATION] before collapsing. The [MON] is immune to the effects of its web and the webs of other [MON]s.</t>
  </si>
  <si>
    <t>As a bonus action, the [MON] projects a shadow on a surface within [#] ft of it. The [MON] can shape it to resemble the shadow of any beast, but the shadow can't be larger than a [#] ft cube. Each creature that starts its turn within [#] ft of the shadow and that can see the shadow must succeed on a DC [SAVE_DC] [ABILITY] saving throw or be incapacitated [DURATION] and use its movement on its next turn to follow the shadow. As a bonus action, the [MON] can move the shadow up to [#] ft along a solid surface. The shadow moves in a natural manner for the type of creature it represents.</t>
  </si>
  <si>
    <t>If the [MON] moves through another creature, it can use a bonus action to corrupt that creature's soul. The target creature must succeed on a DC [SAVE_DC] [ABILITY] saving throw. A creature paralyzed by the [MON] has disadvantage on this saving throw or suffers from terrible and violent thoughts and tendencies. Over the course of [DURATION], its alignment shifts to chaotic evil. A creature that dies during this time, or after this shift is complete, rises [DURATION] later as a [MON]. The corruption can be reversed by a remove curse spell or similar magic used before the creature's death.</t>
  </si>
  <si>
    <t>The [MON] sings a magical melody and dances. Each humanoid within [#] ft of the [MON] that can hear the revels must succeed on a DC [SAVE_DC] [ABILITY] saving throw or be charmed until the revels end. For every [MON] that joins in the revels, the save DC increases by 1 (maximum DC [SAVE_DC]). Each [MON] participating in the revels must take a bonus action on its subsequent turns to continue singing and must use its move action to move at least 5 ft to continue dancing. It can keep singing and dancing for [DURATION]. The song ends if all of the [MON] lose concentration or stop singing and dancing.</t>
  </si>
  <si>
    <t>The [MON] can sense water within [#] ft of it that was drawn from its bonded source within the last [DURATION]. As a bonus action, the [MON] can poison up to 1 gallon of water within [#] ft of it that was drawn from its bonded source. This can even affect water that has been used to make another nonmagical substance, such as soup or tea, or water that was consumed within the last [DURATION]. The poison can affect a target through contact or ingestion. A creature subjected to this poison must succeed on a DC [SAVE_DC] [ABILITY] saving throw or take [#dX] [DMG_TYPE] damage and be poisoned [DURATION].</t>
  </si>
  <si>
    <t>As a bonus action, the [MON] can disperse, scattering its parts in a [#] ft cube, centered on the space it previously occupied. A creature moving through a space containing any of the [MON]'s parts must succeed on a DC [SAVE_DC] [ABILITY] saving throw or stop moving this turn and take [#] [DMG_TYPE] damage. Taking this damage reduces the creature's walking speed by [#] ft [DURATION]. A creature moving through the area at half speed doesn't need to make the save. While scattered, the [MON] can't attack or move, except to reform, and it can't be targeted by attacks or spells. It can still take damage from spells that deal damage in an area.</t>
  </si>
  <si>
    <t>The target takes [#dX] [DMG_TYPE] damage (DC [SAVE_DC] [ABILITY] half). The [MON] regains hit points equal to half the damage dealt. If the [MON] is at its hit point max it gains temporary hit points [DURATION] instead. The [MON] can add temporary hit points gained from this trait to temporary hit points gained earlier from this trait. Temporary hit points can't exceed [#]. If its temporary hit points would exceed 48 a new the [MON] appears in an unoccupied space within [#] ft of the [MON]. The new Ooze is Small doesn't have this bonus action and has [#] hit points. Creature killed by this bonus action is fully subsumed into the [MON] and can be restored to life only by means of a resurrection spell or similar magic.</t>
  </si>
  <si>
    <t>The [MON] transforms into a [#] ft radius whirlwind of the treasures of which it is composed. In this form, it has immunity to all slashing and piercing damage. As a whirlwind, it can enter other creatures' spaces and stop there. Every creature in a space the whirlwind occupies must succeed on a DC [SAVE_DC] [ABILITY] saving throw or take [#dX] + [DMG_MOD] [DMG_TYPE] damage, and the whirlwind removes the most valuable visible item on the target, including wielded items, but not armor. If the saving throw is successful, the target takes half the bludgeoning damage, and retains all possessions. The [MON] can remain in whirlwind form [DURATION], or it can transform back to its normal form on any of its turns as a bonus action.</t>
  </si>
  <si>
    <t>The [MON] can alter nearby creatures' knowledge of the forest, choosing one of the following. An effect lasts [DURATION], until the creature leaves the [MON]'s forest, or [DURATION]. (1) Remove Knowledge: Each creature within [#] ft of the [MON] must succeed on a DC [SAVE_DC] [ABILITY] saving throw or be hopelessly lost in the [MON]'s forest. The creature has disadvantage on Wisdom (Survival) checks and takes 50 percent more time on overland travel, even delaying clearheaded companions. (2) Share Knowledge: Each creature within [#] ft of the [MON] has advantage on Wisdom (Survival) checks. The creature can move at a fast pace through forest terrain, and difficult terrain composed of nonmagical plants doesn't cost it extra movement.</t>
  </si>
  <si>
    <t>The [MON] targets one creature within [#] ft of it whose fate has been corrupted. The target creature must succeed on a DC [SAVE_DC] [ABILITY] saving throw or a portion of the [MON]'s consciousness inhabits its body. The target retains control of its body, but the [MON] can control its actions [DURATION] each day and can modify its memories as a bonus action (as if using the modify memory spell, DC [SAVE_DC]). The target is unaware of the [MON]'s presence, but can make a DC [SAVE_DC] Wisdom (Insight) check once every [DURATION] to notice the presence of the [MON]. This effect lasts until the [MON] ends it or the target's fate is restored by a dispel evil and good spell or similar magic. A single [MON] can seize up to four strands at the same time.</t>
  </si>
  <si>
    <t>If the [MON] reduces a target to 0 hit points, the [MON] can devour that creature's soul as a bonus action. The victim must make a DC [SAVE_DC] [ABILITY] saving throw. Success means the target is dead but can be restored to life by normal means. Failure means the target's soul is consumed by the [MON] and the target can't be restored to life with clone, raise dead, or reincarnation. A resurrection, miracle, or wish spell can return the target to life, but only if the caster succeeds on a DC [SAVE_DC] spellcasting check. If the [MON] is killed within [#] ft of its victim's corpse and the victim has been dead for no longer than [DURATION], the victim's soul returns to the body and restores it to life, leaving the victim unconscious and stable with 0 hit points.</t>
  </si>
  <si>
    <t>As a bonus action, the [MON] can attach its lamprey-like maw to a sleeping creature. The target's Charisma score is reduced by [#dX] when the [MON] first attaches to it. The target's Charisma score is then reduced by 1 for each hour the [MON] stays attached. The target dies if this reduces its Charisma to 0. Otherwise, the reduction lasts [DURATION] at least [DURATION] after the [MON] reduced its Charisma. While attached, the [MON] fills the target's dreams with nightmares. The target must succeed on a DC [SAVE_DC] [ABILITY] saving throw or it doesn't gain any benefit from its current rest. If the target succeeds on the saving throw by 5 or more, it immediately awakens. The [MON] can detach itself by spending 5 ft of its movement. It does so after it reduces the target's Charisma by 8 or if the target dies.</t>
  </si>
  <si>
    <t>The [MON] targets one humanoid it can see within [#] ft of it that has a CR up to 1/2. The humanoid must succeed on a DC [SAVE_DC] [ABILITY] saving throw or be charmed by the [MON]. The [MON] can telepathically communicate with any creature it has charmed. The charmed target can't take reactions and obeys the [MON]'s verbal and telepathic commands. A [MON] can have up to twelve charmed thralls at one time. A charmed thrall loses the memories of its previous life and devotes itself to the [MON] and the cult. The charm lasts [DURATION] or until the [MON] is destroyed, is more than [#] ft from the charmed target, or takes a bonus action to end the effect. The [MON] can attempt to reassert control over all of its thralls by using this action. Each thrall can repeat this saving throw when the [MON] uses this action to reassert control.</t>
  </si>
  <si>
    <t>One humanoid within [#] ft of it must succeed on a DC [SAVE_DC] [ABILITY] saving throw or be possessed by the [MON]. The possessed creature is unconscious. The [MON] enters the creatures body and takes control of it. The [MON] can be targeted only by effects that turn undead and it retains its Intelligence Wisdom and Charisma. It grants its host body immunity to being charmed and frightened. It otherwise uses the possessed creatures statistics and actions instead of its own. It doesn't gain access to the creatures memories but does gain access to proficiencies nonmagical class features and traits and nonmagical actions. It can't use limited-used abilities or class traits that require spending a resource. The possession ends after [DURATION] when the body drops to 0 hit points when the [MON] ends it as a bonus action or when the [MON] is turned or affected by dispel evil and good or a similar effect. Additionally the possessed creature repeats its saving throw whenever it takes damage. When the possession ends the [MON] reappears in a space within [#] ft of the body.</t>
  </si>
  <si>
    <t>The [MON] absorbs blood that is spilled nearby into itself. This reservoir of blood grows when a creature takes extra damage from the [MON]'s Blood Lure trait. The Blood Reservoir can't exceed the [MON]'s hit point max. As a bonus action, the [MON] can reduce the Blood Reservoir by 10 to cause one of the following effects: * Empower Blood. A ally within [#] ft of the [MON] that isn't an undead or a construct has advantage on its next weapon attack roll. * Inspire Fury. A creature of the [MON]'s choice within [#] ft of the [MON] must succeed on a DC [SAVE_DC] [ABILITY] saving throw or immediately use its reaction to move up to its speed and make one melee weapon attack against its nearest ally. If no ally is near enough to move to and attack, the target attacks the nearest creature that isn't the [MON]. If no creature other than the [MON] is near enough to move to and attack, the target stalks off in a random direction, seeking a target for its fury. * Sustain. A nonhostile undead creature within [#] ft of the [MON] that must eat or drink, such as a ghoul or vampire, regains 10 hit points.</t>
  </si>
  <si>
    <t>As a bonus action, the [MON] can start emitting a powerful, strobing light. It rapidly alternates between shedding bright light in a [#] ft radius and shedding no light, creating a dizzying effect unless the area's ambient light is bright light. Each creature within [#] ft of the [MON] and that can see the light must succeed on a DC [SAVE_DC] [ABILITY] saving throw or be blinded [DURATION]. A blinded creature can repeat this saving throw at the end of each of its turns, ending the effect on itself on a success. Unless surprised, a creature with a shield or other similarly-sized object can use its reaction to raise the object and protect its eyes from the light, avoiding the saving throw. If it does so, it can't use that object for anything else. For example, a creature using a shield to protect its eyes loses the shield's bonus to its AC while using the shield in this way. If the creature looks at the [MON] or lowers or uses the object protecting its eyes, it must immediately make the save. While emitting light, the [MON] can't attack. It can stop emitting light at any time (no action required).</t>
  </si>
  <si>
    <t>One humanoid that the [MON] can see within [#] ft of it must succeed on a DC [SAVE_DC] Charisma saving throw or the [MON] merges with it, becoming an enjoyable, repetitive tune in its host's mind. The [MON] can't be targeted by any attack, spell, or other effect. The target retains control of its body and is aware of the [MON]'s presence only as a melody, not as a living entity. The target no longer needs to eat or drink, gains the [MON]'s Magic Resistance trait, and has advantage on Charisma checks. It also has disadvantage on Wisdom saving throws and it can't maintain concentration on spells or other effects for more than a single turn. The target can make a DC [SAVE_DC] Wisdom (Insight) check once every [DURATION]; on a success, it realizes that the music it hears comes from an external entity. The Aural Symbiosis lasts [DURATION], or the [MON] is forced out by a dispel evil and good spell or similar magic. When the Aural Symbiosis ends, the [MON] bursts forth in a thunderous explosion of sound and reappears in an unoccupied space within [#] ft of the target. All creatures within [#] ft of it, including the original target, take [#dX] [DMG_TYPE] damage, or half damage with a successful DC [SAVE_DC] [ABILITY] saving throw.</t>
  </si>
  <si>
    <t>As a bonus action, a [MON] can turn rings, necklaces, and other jewelry momentarily against their wearer. The [MON] can affect any visible item of jewelry on up to two creatures within [#] ft of it, twisting them into cruel barbs and spikes. An item is treated as jewelry if it is made of a precious material (such as silver, gold, ivory, or adamantine), adorned with gems, or both, and is worth at least 100 gp. Each target must succeed on a DC [SAVE_DC] [ABILITY] saving throw, taking [#dX] + [DMG_MOD] [DMG_TYPE] damage on a failed save, or half as much damage on a success. If the jewelry is worn near the eyes, the target must succeed on a DC [SAVE_DC] [ABILITY] saving throw or be permanently blinded. If the jewelry is worn on the head, the target must succeed on a DC [SAVE_DC] [ABILITY] saving throw or have disadvantage on Intelligence checks [DURATION]. If the jewelry is worn on the neck, the target must succeed on a DC [SAVE_DC] [ABILITY] saving throw or be stunned and unable to breathe or speak [DURATION]. If the jewelry is worn on the arms, the target must succeed on a DC [SAVE_DC] [ABILITY] saving throw or deal half damage on all melee attacks [DURATION]. If the jewelry is worn on the hand, the target must succeed on a DC [SAVE_DC] [ABILITY] saving throw or drop any item it is holding. If the jewelry is worn on the feet, the target must succeed on a DC [SAVE_DC] [ABILITY] saving throw or have its speed halved [DURATION]. If the jewelry is worn elsewhere, there are no additional effects.</t>
  </si>
  <si>
    <t>As a reaction when a creature within [#] ft of the [MON] misses a melee attack against it the attacker must succeed on a DC [SAVE_DC] [ABILITY] saving throw or be knocked prone.</t>
  </si>
  <si>
    <t>As a reaction when a creature within [#] ft of the [MON] misses the [MON] with melee attack the attacker must succeed on a DC [SAVE_DC] [ABILITY] saving throw or be knocked prone.</t>
  </si>
  <si>
    <t>As a reaction when a rock or similar object is hurled at the [MON], the [MON] can, with a successful DC [SAVE_DC] [ABILITY] saving throw, catch the missile and take no bludgeoning damage from it.</t>
  </si>
  <si>
    <t>As a reaction when the [MON] takes damage, it can emit a brilliant flash of light. Each creature within [#] ft of it must succeed on a DC [SAVE_DC] [ABILITY] saving throw or be blinded [DURATION].</t>
  </si>
  <si>
    <t>As a reaction when 1+ creature falls down center of its cylinder can try to grab up to 2 of them. Each must succeed on a DC [SAVE_DC] [ABILITY] saving throw or grappled (escape DC [SAVE_DC]) in Pseudopod.</t>
  </si>
  <si>
    <t>As a reaction when struck by a ranged or area attack by a creature within [#] ft of it that it can see, the [MON] forces the attacker to make a DC [SAVE_DC] [ABILITY] saving throw or be blinded [DURATION].</t>
  </si>
  <si>
    <t>As a reaction when the [MON] takes [DMG_TYPE] damage, it can vomit acid at one creature within [#] ft of it. That creature must succeed on a DC [SAVE_DC] [ABILITY] saving throw or take [#dX] [DMG_TYPE] damage.</t>
  </si>
  <si>
    <t>On successful save responds with magic insult if source is creature within [#] ft of it. Creature: [#dX] [DMG_TYPE] damage disadvantage on next save against tutor's spell (DC [SAVE_DC] [ABILITY] negates both).</t>
  </si>
  <si>
    <t>As a reaction when a creature wearing metal armor or wielding a metal weapon or shield moves within [#] ft of the [MON], it must succeed on a DC [SAVE_DC] [ABILITY] saving throw or take [#dX] [DMG_TYPE] damage.</t>
  </si>
  <si>
    <t>As a reaction when a creature within [#] ft of the [MON] attempts to move away from it via nonmagical means, that creature must succeed on a DC [SAVE_DC] [ABILITY] saving throw or be unable to move away from the [MON].</t>
  </si>
  <si>
    <t>As a reaction when the [MON] is missed by an attack, it can taunt the attacker. The attacking creature must succeed on a DC [SAVE_DC] [ABILITY] saving throw or have disadvantage on its next attack roll or saving throw.</t>
  </si>
  <si>
    <t>As a reaction when hit by a melee attack, the [MON] emits a cloud of foul-smelling poison gas in a [#] ft radius. Each creature in that area must succeed on a DC [SAVE_DC] [ABILITY] saving throw or be poisoned [DURATION].</t>
  </si>
  <si>
    <t>As a reaction when a spell attack hits the [MON], it can force the attacker to make a DC [SAVE_DC] [ABILITY] saving throw. On a failure, the spell is redirected to hit another creature of the [MON]'s choice within [#] ft of it.</t>
  </si>
  <si>
    <t>As a reaction when the [MON] is dealt damage by a creature it can see within [#] ft of it, its attacker must succeed on a DC [SAVE_DC] [ABILITY] saving throw or take [#dX] [DMG_TYPE] damage or radiant damage (the [MON]'s choice).</t>
  </si>
  <si>
    <t>As a reaction when the [MON] is reduced to less than half of its maximum hit points, it releases a foul, sulphurous stench. Each creature within [#] ft of the [MON] must succeed on a DC [SAVE_DC] [ABILITY] saving throw or be poisoned [DURATION].</t>
  </si>
  <si>
    <t>As a reaction when the [MON] is targeted by a spell using a 4th-level or lower spell slot, the attacker must succeed on a DC [SAVE_DC] [ABILITY] saving throw or the spell is wasted and the caster takes [#dX] [DMG_TYPE] damage per level of the spell slot.</t>
  </si>
  <si>
    <t>As a reaction when a creature the [MON] can see targets it with a melee weapon attack, the attacker must succeed on a DC [SAVE_DC] [ABILITY] saving throw or its weapon is knocked out of its grasp into a random unoccupied space within [#] ft of the attacker.</t>
  </si>
  <si>
    <t>As a reaction when a creature misses the [MON] with a melee attack, the [MON]'s parrying sword sparks with energy. The attacker takes [#dX] [DMG_TYPE] damage and must succeed on a DC [SAVE_DC] [ABILITY] saving throw or be pushed [#] ft away and knocked prone.</t>
  </si>
  <si>
    <t>As a reaction when a creature the [MON] can see damages the [MON], the [MON] lashes out with a psychic screech. The attacker must make a DC [SAVE_DC] [ABILITY] saving throw, taking [#dX] [DMG_TYPE] damage on a failed save, or half as much damage on a success.</t>
  </si>
  <si>
    <t>As a reaction when a projectile is hurled or fired at the [MON], the [MON] can make a DC [SAVE_DC] [ABILITY] saving throw. On a success, the [MON] catches the projectile, takes no bludgeoning or piercing damage from it, and is not pushed or knocked prone by it.</t>
  </si>
  <si>
    <t>As a reaction when the [MON] is targeted by a melee weapon attack, the attacker must succeed on a DC [SAVE_DC] [ABILITY] saving throw or miss the attack as the [MON] uses its net to interfere with the weapon. The [MON] must have an empty net to use this reaction.</t>
  </si>
  <si>
    <t>As a reaction when the [MON] is hit with a melee weapon attack by a creature within [#] ft of it, the [MON] lashes out with its tail. The attacker must succeed on a DC [SAVE_DC] [ABILITY] saving throw or take [#dX] + [DMG_MOD] [DMG_TYPE] damage and be knocked prone.</t>
  </si>
  <si>
    <t>As a reaction when a creature hits the [MON] with a weapon attack, ice bursts from the [MON]. Each creature within [#] ft of the [MON] must make a DC [SAVE_DC] [ABILITY] saving throw, taking [#dX] [DMG_TYPE] damage on a failed save, or half as much damage on a success.</t>
  </si>
  <si>
    <t>As a reaction when a creature lies while within [#] ft of the [MON] that creature: [#dX] [DMG_TYPE] damage and it ignites (DC [SAVE_DC] [ABILITY] negates). Until creature uses action to douse the fire target takes [#dX] [DMG_TYPE] damage at the start of each of its turns.</t>
  </si>
  <si>
    <t>As a reaction when a creature hits the [MON] with a melee attack, the [MON] releases a blast of sound. Each creature within [#] ft of the [MON] that can hear it must succeed on a DC [SAVE_DC] [ABILITY] saving throw or take [#dX] [DMG_TYPE] damage and be incapacitated [DURATION].</t>
  </si>
  <si>
    <t>As a reaction when the [MON] is grappled and removed from the ground while above 0 hit points its bulb bursts. Each creature within [#] ft of it must make a DC [SAVE_DC] [ABILITY] saving throw, taking [#dX] [DMG_TYPE] damage on a failed save, or half as much damage on a success.</t>
  </si>
  <si>
    <t>As a reaction when a creature within [#] ft of the [MON] that it can see hits it with a ranged attack or spell or includes it in a spell's area of effect, the [MON] can force it to make a DC [SAVE_DC] [ABILITY] saving throw or take [#dX] [DMG_TYPE] damage and be slowed [DURATION].</t>
  </si>
  <si>
    <t>As a reaction when the [MON] takes damage, it can choose to take half the damage instead. The [MON] then chooses a creature within [#] ft of it. The target must succeed on a DC [SAVE_DC] [ABILITY] saving throw or have disadvantage [DURATION] as it is wracked with the pain of the attack.</t>
  </si>
  <si>
    <t>As a reaction when a creature within [#] ft of it that the [MON] can see targets it with an attack, the [MON] can stop the attacker with a glance. The attacker must succeed on a DC [SAVE_DC] [ABILITY] saving throw or immediately stop the attack. The attacker can't attack the [MON] again [DURATION].</t>
  </si>
  <si>
    <t>As a reaction when the [MON] is hit by a melee attack by a creature it can see within [#] ft of it, the [MON] kicks its attacker. The target must succeed on a DC [SAVE_DC] [ABILITY] saving throw or take [#dX] + [DMG_MOD] [DMG_TYPE] damage and be pushed up to [#] ft from the [MON] and knocked prone.</t>
  </si>
  <si>
    <t>As a reaction when reduced below 10 hit points (even below 0 hit points), the [MON] releases a hail of needles as a reaction. All creatures within [#] ft of it must make a DC [SAVE_DC] [ABILITY] saving throw, taking [#dX] + [DMG_MOD] [DMG_TYPE] damage on a failed save, or half as much damage on a success.</t>
  </si>
  <si>
    <t>As a reaction when undead under its control is reduced to 0 hit points [MON] can force it to explode. Each creature that isn't undead or [MON] within [#] ft of exploding undead: [#dX] [DMG_TYPE] damage (if zombie) or slashing (if skeleton) damage plus [#dX] [DMG_TYPE] damage (DC [SAVE_DC] [ABILITY] half).</t>
  </si>
  <si>
    <t>As a reaction when a creature the [MON] can see starts its turn within [#] ft of the [MON], the [MON] can create the illusion that it looks like that creature's most recently departed loved one. If the creature can see the [MON], it must succeed on a DC [SAVE_DC] [ABILITY] saving throw or be stunned [DURATION].</t>
  </si>
  <si>
    <t>As a reaction when the [MON] is hit with a melee attack, it can drain blood from the attacker. The attacker must make a DC [SAVE_DC] [ABILITY] saving throw, taking [#dX] [DMG_TYPE] damage on a failed save, or half as much damage on a success. The [MON] gains temporary hit points equal to the necrotic damage taken.</t>
  </si>
  <si>
    <t>As a reaction when a creature within [#] ft of the [MON] hits it with a melee attack, the [MON] can immediately use its reaction to batter the attacker with its tail. The attacker must succeed on a DC [SAVE_DC] [ABILITY] saving throw or take [#dX] + [DMG_MOD] [DMG_TYPE] damage, and be pushed [#] ft from the [MON] and knocked prone.</t>
  </si>
  <si>
    <t>As a reaction when a creature charmed by the [MON] begins its turn, the [MON] telepathically commands the charmed creature [DURATION]. If the [MON] commands the creature to use an action that would harm itself or an ally, the creature must make a DC [SAVE_DC] [ABILITY] saving throw. On a success, the creatures turn immediately ends.</t>
  </si>
  <si>
    <t>As a reaction when a creature the [MON] can see targets it with an attack, the [MON] can switch places with any creature it can see within [#] ft of it. An unwilling creature must succeed on a DC [SAVE_DC] [ABILITY] saving throw to avoid the switch. If the switch is successful, the switched creature becomes the target of the attack instead.</t>
  </si>
  <si>
    <t>As a reaction when an opponent within [#] ft of the [MON] tries to cast a spell, the [MON] can emit a shriek from its twin steam whistles. The spellcaster must make a DC [SAVE_DC] [ABILITY] saving throw. If the save succeeds, the spell is cast normally. If it fails, the spell is not cast; the spell slot is not used, but the caster's action is.</t>
  </si>
  <si>
    <t>As a reaction when a creature enters a space within [#] ft of the [MON], it can use its reaction to release a burst of fire from its clockwork hand. The target must succeed on a DC [SAVE_DC] [ABILITY] saving throw or take [#dX] [DMG_TYPE] damage and have disadvantage on the next attack roll it makes against the [MON] before the end of the [MON]'s next turn.</t>
  </si>
  <si>
    <t>As a reaction when the [MON] succeeds on a saving throw, it can use its reaction to respond with a scathing magical insult if the source of the effect is a creature within [#] ft of the [MON]. That creature must succeed on a DC [SAVE_DC] [ABILITY] saving throw or take [#dX] [DMG_TYPE] damage and have disadvantage on the next save it makes against a spell cast by the [MON].</t>
  </si>
  <si>
    <t>As a reaction when a creature hits [MON] with an attack [MON] shrieks a one-word command. Attacker must succeed on a DC [SAVE_DC] [ABILITY] saving throw or carry out this command on its next turn. This reaction works like the command spell except the attacker doesn't have to understand the [MON]'s language. The [MON] must see the attacker and be able to speak to use this reaction.</t>
  </si>
  <si>
    <t>As a reaction when a creature the [MON] can see targets it with a melee attack while within [#] ft of the [MON], the [MON] can teleport to a puddle created by its Foul Transit, if that puddle's space is unoccupied, negating the damage from the attack. If it does, the attacker must succeed on a DC [SAVE_DC] [ABILITY] saving throw or take [#dX] [DMG_TYPE] damage, and become poisoned [DURATION].</t>
  </si>
  <si>
    <t>As a reaction when damaged by a creature within [#] ft of the [MON] that can see it, the [MON] momentarily assumes the magical illusory form of one of the attacker's enemies or loved ones, alive or dead. The illusory figure may speak words that only the attacker can hear. The attacker must succeed on a DC [SAVE_DC] [ABILITY] saving throw or take [#dX] [DMG_TYPE] damage and be frightened [DURATION].</t>
  </si>
  <si>
    <t>As a reaction when 1+ creatures step onto a space on ground within [#] ft of it directly above a hidden [MON] can burrow up to [#] ft and snap its wing-like appendages shut emerging on the ground in space directly above where it was buried and that contains one or more other creatures. Each creature must make a DC [SAVE_DC] [ABILITY] saving throw or be trapped as if it failed save against Wing Trap.</t>
  </si>
  <si>
    <t>As a reaction when a creature tries to enter a space adjacent to a [MON], the [MON] flares its many feelers and spikes. The creature can't enter a space adjacent to the [MON] unless it succeeds on a DC [SAVE_DC] [ABILITY] saving throw. If the saving throw fails, the creature can keep moving, but only into spaces that aren't within [#] ft of the [MON], and it takes [#dX] + [DMG_MOD] [DMG_TYPE] damage from the spikes.</t>
  </si>
  <si>
    <t>As a reaction when a creature the [MON] can see targets it with an attack, the [MON] can unleash a line of strong wind [#] ft long and [#] ft wide in the direction of the attacker. The wind lasts [DURATION]. Each creature in the wind when it appears or that starts its turn in the wind must succeed on a DC [SAVE_DC] [ABILITY] saving throw or be pushed [#] ft away from the [MON] in a direction following the line. Any creature in the line treats all movement as difficult terrain.</t>
  </si>
  <si>
    <t>As a reaction when it is attacked, the [MON] can force the attacker to make a DC [SAVE_DC] [ABILITY] saving throw if it can hear the [MON]. If the saving throw fails, the creature still attacks, but it must choose a different target creature. An ally must be chosen if no other hostile creatures are within the attack's reach or range. If no other target is in the attack's range or reach, the attack is still made (and ammunition or a spell slot is expended, if appropriate) but it automatically misses and has no effect.</t>
  </si>
  <si>
    <t>If enough damage is dealt to the [MON] to kill it, it can attempt to temporarily borrow time from another creature to avoid death. One creature the [MON] can see within [#] ft of it must succeed on a DC [SAVE_DC] [ABILITY] saving throw or take [#dX] [DMG_TYPE] damage, and the [MON] regains hit points equal to the damage taken. The target is stable and doesn't die if this effect reduces its hit points to 0. after [DURATION], the [MON] takes necrotic damage, and the target regains hit points, equal to the original amount borrowed.</t>
  </si>
  <si>
    <t>As a reaction when a creature the [MON] can see within [#] ft of it starts its turn or casts a spell, the [MON] issues forth a string of insults cleverly crafted to make a foe cry. If it can hear the [MON], the target must succeed on a DC [SAVE_DC] Wisdom saving throw or sob uncontrollably [DURATION]. A sobbing creature has disadvantage on ability checks and attack rolls and must make a DC [SAVE_DC] [ABILITY] saving throw to cast a spell that requires the spellcaster to see its target. A spellcaster doesn't lose the spell slot on a failure.</t>
  </si>
  <si>
    <t>As a reaction when the [MON] is first brought below half of its maximum hit points, it immediately recharges its breath weapon, if its not already available. After doing so, the air around it becomes electrically charged. A creature that starts its turn within [#] ft of the [MON] or moves within [#] ft of it for the first time on a turn must succeed on a DC [SAVE_DC] [ABILITY] saving throw or take [#dX] [DMG_TYPE] damage, and can't take reactions [DURATION]. Creatures in metal armor or wielding metal weapons have disadvantage on this saving throw.</t>
  </si>
  <si>
    <t>As a reaction when a creature that can see the [MON] starts its turn within [#] ft of the [MON], the [MON] can force it to make a DC [SAVE_DC] [ABILITY] saving throw if the [MON] isn't incapacitated and can see the creature. On a failed save, the creature is incapacitated [DURATION]. Unless surprised, a creature can avert its eyes to avoid the saving throw at the start of its turn. If it does so, it can't see the [MON] [DURATION], when it can avert its eyes again. If the creature looks at the [MON] in the meantime, it must immediately make the save.</t>
  </si>
  <si>
    <t>As a reaction when the [MON] takes bludgeoning, piercing, or slashing damage, it can regurgitate some of its stomach contents. Each creature within [#] ft of the [MON] must succeed on a DC [SAVE_DC] [ABILITY] saving throw or take [#dX] [DMG_TYPE] damage and be poisoned [DURATION]. On a success, a creature takes half as much damage only. A pool of Void infused stomach contents forms in a space the [MON] can see within [#] ft of it and lasts [DURATION]. A creature that enters this pool for the first time on a turn or starts its turn there takes [#dX] [DMG_TYPE] damage.</t>
  </si>
  <si>
    <t>As a reaction when a creature the [MON] can see hits it with an attack while within [#] ft of it, the [MON] regurgitates a portion of its stomach contents on the attacker. The target must succeed on a DC [SAVE_DC] [ABILITY] saving throw or be poisoned [DURATION]. If the [MON] has a consumed creature when it uses this reaction, the [MON] must succeed on a DC [SAVE_DC] [ABILITY] saving throw or also regurgitate the swallowed creature, which is knocked prone in a space within [#] ft of the target. If it regurgitates the swallowed creature, the target and the swallowed creature take [#dX] [DMG_TYPE] damage.</t>
  </si>
  <si>
    <t>As a reaction when a creature poisoned by the [MON] starts its turn, the [MON] can use its reaction to demand that the target repent. If the target repents, its next action is chosen by the [MON] as if it failed a save against the command spell: "Draw Nigh" (approach); "Clasp Hands in Prayer" (drop); "Seek Redemption" (flee); "Be Penitent" (grovel); or "In Stillness, Hear the Truth" (halt). If the target doesn't repent, it must succeed on a DC [SAVE_DC] [ABILITY] saving throw or be reduced to 0 hit points. On a success, it takes [#dX] [DMG_TYPE] damage. Once the [MON] has used this reaction, it must deal poison damage to a poisoned target before it can do so again.</t>
  </si>
  <si>
    <t>As a reaction when a creature that can see the [MON] starts its turn within [#] ft of it [MON] can force it to make a DC [SAVE_DC] [ABILITY] saving throw if the [MON] isn't incapacitated and can see the creature. Fail: creature is mesmerized [DURATION]. Mesmerized creature over 5 ft away from [MON] must move on its turn toward the [MON] by most direct route trying to get within [#] ft of it. It doesn't avoid opportunity attacks but before moving into damaging terrain such as lava or a pit and whenever it takes damage from a source other than the [MON] target can repeat this saving throw. Mesmerized target can also re-save at the end of each of its turns, ending the effect on itself on a success.</t>
  </si>
  <si>
    <t>Grapple Effect, Target</t>
  </si>
  <si>
    <t>Restraint Effect, Target</t>
  </si>
  <si>
    <t>Charm Effect, Target</t>
  </si>
  <si>
    <t>Prone Effect, Target</t>
  </si>
  <si>
    <t>Target, Unconsciousness Effect</t>
  </si>
  <si>
    <t>Incapacitation Effect, Target</t>
  </si>
  <si>
    <t>[ABILITY]</t>
  </si>
  <si>
    <t>[#dX]</t>
  </si>
  <si>
    <t>reach 5 ft or range 20/60 ft</t>
  </si>
  <si>
    <t>reach 5 ft or range 30/120 ft</t>
  </si>
  <si>
    <t>reach 5 ft</t>
  </si>
  <si>
    <t>reach 5 ft target</t>
  </si>
  <si>
    <t>range 80/320 ft</t>
  </si>
  <si>
    <t>range 20/60 ft</t>
  </si>
  <si>
    <t>range 30/120 ft</t>
  </si>
  <si>
    <t>reach 10 ft</t>
  </si>
  <si>
    <t>range 25/100 ft</t>
  </si>
  <si>
    <t>range 100/400 ft</t>
  </si>
  <si>
    <t>range 150/600 ft</t>
  </si>
  <si>
    <t>range 5/15 ft</t>
  </si>
  <si>
    <t>[DMG_TYPE]</t>
  </si>
  <si>
    <t>[#]</t>
  </si>
  <si>
    <t>[DISEASE]</t>
  </si>
  <si>
    <t>[DMG_EFFECT]</t>
  </si>
  <si>
    <t>[DMG_MOD]</t>
  </si>
  <si>
    <t>[DURATION]</t>
  </si>
  <si>
    <t>[MON]</t>
  </si>
  <si>
    <t>[OUTCOME]</t>
  </si>
  <si>
    <t>[SAVE_DC]</t>
  </si>
  <si>
    <t>[TGT_EFFECT]</t>
  </si>
  <si>
    <t>The [MON] is immune to all fogor gas-related spells and attacks, including its own.</t>
  </si>
  <si>
    <t>The high-frequency cries of a [MON] attract nearby mundane [MON]s. When a [MON] faces danger, 0-3 (1d4 1) swarms of the [MON]s arrive within [DURATION]. These swarms are not under the [MON]'s command, but they tend to reflexively attack whatever the [MON] is fighting.</t>
  </si>
  <si>
    <t>The [MON] has a bowl-like indentation on its head which holds water from the river or lake where it lives. If the [MON]'s head bowl is empty, it has disadvantage on attack rolls and ability checks until the bowl is refilled with water. Normal movement and combat do not cause water to spill from the bowl, but an opponent can empty the bowl by knocking the [MON] prone or by making two successful grapple attacks one to grab the [MON], and one to tip its head while it is grappled.</t>
  </si>
  <si>
    <t>Whenever the [MON] takes at least [#] slashing damage at one time, roll a d20 to determine what else happens to it: (1-10) Nothing else happens. (11-14) One leg is severed from the [MON] if it has any legs left. A severed leg is unable to attack and has a speed of 5 ft. The [MON]'s speed is halved if it is missing a leg. If it loses both legs, it is knocked prone. If it has both arms, it can crawl. With only one arm, it can still crawl, but its speed is halved. With no arms or legs, its speed is 0, and it can't benefit from bonuses to speed. (1518) One arm is severed from the [MON] if it has any arms left. Each time the [MON] loses an arm, it loses a claw attack. A severed arm has a speed of 5 ft and can make one claw attack on its turn, with disadvantage on the attack roll unless the [MON] can see the arm and its target. (19-20) The [MON] is decapitated. If the [MON] dies, so does the severed head. If its head is severed, the [MON] loses its bite attack and its body is blinded unless the head can see it. The severed head has a speed of 0 ft and the [MON]'s Keen Smell trait. It can make a bite attack but only against a target in its space. If the [MON] finishes a short or long rest without reattaching a severed limb or head, the part regrows. At that point, the severed part dies. Until then, a severed part acts on the [MON]'s initiative and has its own action and movement. A severed part has AC [#], [#] hit points, and the [MON]'s Regeneration trait. The [MON] dies only if it can't regenerate.</t>
  </si>
  <si>
    <t>Bolts of lightning course around the [MON]'s body, shedding bright light in a 5to [#] ft radius and dim light for an additional number of ft equal to the chosen radius. The [MON] can alter the radius as a bonus action.</t>
  </si>
  <si>
    <t>As a reaction when a [MON] feels threatened it is touched, intimidated, cornered, attacked, or even just if a stranger moves adjacent to the [MON] it immediately grows from size Small to Huge as a reaction. If the [MON] was attacked, this reaction occurs after the attack is made but before damage is done. Nearby creatures and objects are pushed to the nearest available space and must succeed on a DC [SAVE_DC] [ABILITY] saving throw or be knocked prone. Weapons, armor, and other objects worn or carried by the [MON] grow (and shrink again) proportionally when it changes size. Overcome by raw emotion, it sets about destroying anything and everything it can see (which isn't much) and reach (which is quite a lot). The transformation lasts until the [MON] is unaware of any nearby creatures [DURATION], until it has 5 levels of exhaustion, or it is affected by a calm emotions spell or similar magic. The transformation isn't entirely uncontrollable; people or creatures the [MON] knows and trusts can be near it without triggering the reaction.</t>
  </si>
  <si>
    <t>ok</t>
  </si>
  <si>
    <t>When an ally within [#] ft of the [MON] makes an attack or Charisma (Performance) check, the creature can treat the d20 result as a 10 if it is a 9 or lower.</t>
  </si>
  <si>
    <t>begins bleeding. A bleeding creature loses another [#] hpoints at the start of each of its turns [DURATION].</t>
  </si>
  <si>
    <t>gains one of the following abilities [DURATION].</t>
  </si>
  <si>
    <t>Charm (No Duration)</t>
  </si>
  <si>
    <t>Charming Song</t>
  </si>
  <si>
    <t>Ability Add-On</t>
  </si>
  <si>
    <t>Condition Add-On</t>
  </si>
  <si>
    <t>Damage Add-On</t>
  </si>
  <si>
    <t>Saving Throw Add-On</t>
  </si>
  <si>
    <t>Attack Add-On</t>
  </si>
  <si>
    <t>Add-On Tags</t>
  </si>
  <si>
    <t>Damage Prevents Action</t>
  </si>
  <si>
    <t>Damage Removes Trait</t>
  </si>
  <si>
    <t>Damage Die</t>
  </si>
  <si>
    <t>Damage Type</t>
  </si>
  <si>
    <t>Properties</t>
  </si>
  <si>
    <t>Template</t>
  </si>
  <si>
    <t>Club (2014 edition)</t>
  </si>
  <si>
    <t>Dagger (2014 edition)</t>
  </si>
  <si>
    <t>Greatclub (2014 edition)</t>
  </si>
  <si>
    <t>Handaxe (2014 edition)</t>
  </si>
  <si>
    <t>Javelin (2014 edition)</t>
  </si>
  <si>
    <t>Light Hammer (2014 edition)</t>
  </si>
  <si>
    <t>Mace (2014 edition)</t>
  </si>
  <si>
    <t>Quarterstaff (2014 edition)</t>
  </si>
  <si>
    <t>Sickle (2014 edition)</t>
  </si>
  <si>
    <t>Spear (2014 edition)</t>
  </si>
  <si>
    <t>Light Crossbow (2014 edition)</t>
  </si>
  <si>
    <t>Dart (2014 edition)</t>
  </si>
  <si>
    <t>Shortbow (2014 edition)</t>
  </si>
  <si>
    <t>Sling (2014 edition)</t>
  </si>
  <si>
    <t>Battleaxe (2014 edition)</t>
  </si>
  <si>
    <t>Flail (2014 edition)</t>
  </si>
  <si>
    <t>Glaive (2014 edition)</t>
  </si>
  <si>
    <t>Greataxe (2014 edition)</t>
  </si>
  <si>
    <t>Greatsword (2014 edition)</t>
  </si>
  <si>
    <t>Halberd (2014 edition)</t>
  </si>
  <si>
    <t>Lance (2014 edition)</t>
  </si>
  <si>
    <t>Longsword (2014 edition)</t>
  </si>
  <si>
    <t>Maul (2014 edition)</t>
  </si>
  <si>
    <t>Morningstar (2014 edition)</t>
  </si>
  <si>
    <t>Pike (2014 edition)</t>
  </si>
  <si>
    <t>Rapier (2014 edition)</t>
  </si>
  <si>
    <t>Scimitar (2014 edition)</t>
  </si>
  <si>
    <t>Shortsword (2014 edition)</t>
  </si>
  <si>
    <t>Trident (2014 edition)</t>
  </si>
  <si>
    <t>War Pick (2014 edition)</t>
  </si>
  <si>
    <t>Warhammer (2014 edition)</t>
  </si>
  <si>
    <t>Whip (2014 edition)</t>
  </si>
  <si>
    <t>Blowgun (2014 edition)</t>
  </si>
  <si>
    <t>Hand Crossbow (2014 edition)</t>
  </si>
  <si>
    <t>Heavy Crossbow (2014 edition)</t>
  </si>
  <si>
    <t>Longbow (2014 edition)</t>
  </si>
  <si>
    <t>Net (2014 edition)</t>
  </si>
  <si>
    <t>Club (2024 edition)</t>
  </si>
  <si>
    <t>Dagger (2024 edition)</t>
  </si>
  <si>
    <t>Greatclub (2024 edition)</t>
  </si>
  <si>
    <t>Handaxe (2024 edition)</t>
  </si>
  <si>
    <t>Javelin (2024 edition)</t>
  </si>
  <si>
    <t>Light Hammer (2024 edition)</t>
  </si>
  <si>
    <t>Mace (2024 edition)</t>
  </si>
  <si>
    <t>Quarterstaff (2024 edition)</t>
  </si>
  <si>
    <t>Sickle (2024 edition)</t>
  </si>
  <si>
    <t>Spear (2024 edition)</t>
  </si>
  <si>
    <t>Light Crossbow (2024 edition)</t>
  </si>
  <si>
    <t>Dart (2024 edition)</t>
  </si>
  <si>
    <t>Shortbow (2024 edition)</t>
  </si>
  <si>
    <t>Sling (2024 edition)</t>
  </si>
  <si>
    <t>Battleaxe (2024 edition)</t>
  </si>
  <si>
    <t>Flail (2024 edition)</t>
  </si>
  <si>
    <t>Glaive (2024 edition)</t>
  </si>
  <si>
    <t>Greataxe (2024 edition)</t>
  </si>
  <si>
    <t>Greatsword (2024 edition)</t>
  </si>
  <si>
    <t>Halberd (2024 edition)</t>
  </si>
  <si>
    <t>Lance (2024 edition)</t>
  </si>
  <si>
    <t>Longsword (2024 edition)</t>
  </si>
  <si>
    <t>Maul (2024 edition)</t>
  </si>
  <si>
    <t>Morningstar (2024 edition)</t>
  </si>
  <si>
    <t>Pike (2024 edition)</t>
  </si>
  <si>
    <t>Rapier (2024 edition)</t>
  </si>
  <si>
    <t>Scimitar (2024 edition)</t>
  </si>
  <si>
    <t>Shortsword (2024 edition)</t>
  </si>
  <si>
    <t>Trident (2024 edition)</t>
  </si>
  <si>
    <t>War Pick (2024 edition)</t>
  </si>
  <si>
    <t>Warhammer (2024 edition)</t>
  </si>
  <si>
    <t>Whip (2024 edition)</t>
  </si>
  <si>
    <t>Blowgun (2024 edition)</t>
  </si>
  <si>
    <t>Hand Crossbow (2024 edition)</t>
  </si>
  <si>
    <t>Heavy Crossbow (2024 edition)</t>
  </si>
  <si>
    <t>Longbow (2024 edition)</t>
  </si>
  <si>
    <t>Max of Strength or Dexterity</t>
  </si>
  <si>
    <t>Mastery (2024 only)</t>
  </si>
  <si>
    <t>Nick</t>
  </si>
  <si>
    <t>Vex</t>
  </si>
  <si>
    <t>Sap</t>
  </si>
  <si>
    <t>Versatile (1d10)</t>
  </si>
  <si>
    <t>Heavy, Reach, Two-Handed</t>
  </si>
  <si>
    <t>Graze</t>
  </si>
  <si>
    <t>Heavy, Two-Handed</t>
  </si>
  <si>
    <t>Cleave</t>
  </si>
  <si>
    <t>Heavy, Reach, Two-Handed (unless mounted)</t>
  </si>
  <si>
    <t>Finesse</t>
  </si>
  <si>
    <t>Finesse, Light</t>
  </si>
  <si>
    <t>Thrown (Range 20/60), Versatile (1d10)</t>
  </si>
  <si>
    <t>Finesse, Reach</t>
  </si>
  <si>
    <t>Musket</t>
  </si>
  <si>
    <t>Ammunition (Range 40/120; Bullet), Loading, Two-Handed</t>
  </si>
  <si>
    <t>Pistol</t>
  </si>
  <si>
    <t>Ammunition (Range 30/90; Bullet), Loading</t>
  </si>
  <si>
    <t>range 40/120 ft</t>
  </si>
  <si>
    <t>range 30/90 ft</t>
  </si>
  <si>
    <t>Property</t>
  </si>
  <si>
    <t>Description</t>
  </si>
  <si>
    <t>Ammunition</t>
  </si>
  <si>
    <t>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t>
  </si>
  <si>
    <t>When making an attack with a Finesse weapon, use your choice of your Strength or Dexterity modifier for the attack and damage rolls. You must use the same modifier for both rolls.</t>
  </si>
  <si>
    <t>Heavy</t>
  </si>
  <si>
    <t>You have Disadvantage on attack rolls with a Heavy weapon if it's a Melee weapon and your Strength score isn't at least 13 or if it's a Ranged weapon and your Dexterity score isn't at least 13.</t>
  </si>
  <si>
    <t>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t>
  </si>
  <si>
    <t>Loading</t>
  </si>
  <si>
    <t>You can fire only one piece of ammunition from a Loading weapon when you use an action, a Bonus Action, or a Reaction to fire it, regardless of the number of attacks you can normally make.</t>
  </si>
  <si>
    <t>Range</t>
  </si>
  <si>
    <t>A Range weapon has a range in parentheses after the Ammunition or Thrown property. The range lists two numbers. The first is the weapon’s normal range in feet, and the second is the weapon’s long range. When attacking a target beyond normal range, you have Disadvantage on the attack roll. You can't attack a target beyond the long range.</t>
  </si>
  <si>
    <t>Reach</t>
  </si>
  <si>
    <t>A Reach weapon adds 5 feet to your reach when you attack with it, as well as when determining your reach for Opportunity Attacks with it.</t>
  </si>
  <si>
    <t>Thrown</t>
  </si>
  <si>
    <t>If a weapon has the Thrown property, you can throw the weapon to make a ranged attack, and you can draw that weapon as part of the attack. If the weapon is a Melee weapon, use the same ability modifier for the attack and damage rolls that you use for a melee attack with that weapon.</t>
  </si>
  <si>
    <t>Two-Handed</t>
  </si>
  <si>
    <t>A Two-Handed weapon requires two hands when you attack with it.</t>
  </si>
  <si>
    <t>Versatile</t>
  </si>
  <si>
    <t>A Versatile weapon can be used with one or two hands. A damage value in parentheses appears with the property. The weapon deals that damage when used with two hands to make a melee attack.</t>
  </si>
  <si>
    <t>If the [MON] hits a creature with a melee attack roll using this weapon, it can make a melee attack roll with the weapon against a second creature within 5 feet of the first that is also within its reach. On a hit, the second creature takes the weapon’s damage, but don't add the [MON]'s ability modifier to that damage unless that modifier is negative. The [MON] can make this extra attack only once per turn.</t>
  </si>
  <si>
    <t>If the [MON]'s attack roll with this weapon misses a creature, it can deal damage to that creature equal to the ability modifier it used to make the attack roll. This damage is the same type dealt by the weapon, and the damage can be increased only by increasing the ability modifier.</t>
  </si>
  <si>
    <t>When the [MON] makes the extra attack of the Light property, it can make it as part of the Attack action instead of as a Bonus Action. It can make this extra attack only once per turn.</t>
  </si>
  <si>
    <t>If the [MON] hits a creature with this weapon, it can push the creature up to 10 feet straight away from itself if it is Large or smaller.</t>
  </si>
  <si>
    <t>If the [MON] hits a creature with this weapon, that creature has disadvantage on its next attack roll before the start of the [MON]'s next turn.</t>
  </si>
  <si>
    <t>If the [MON] hits a creature with this weapon and deals damage to it, it can reduce the target's speed by 10 feet until the start of the [MON]'s next turn. If the creature is hit more than once by weapons that have this property, the speed reduction doesn’t exceed 10 feet.</t>
  </si>
  <si>
    <t>If the [MON] hits a creature with this weapon, it can force the creature to make a Constitution saving throw (DC 8 plus the ability modifier used to make the attack roll and your Proficiency Bonus). On a failed save, the creature has the Prone condition.</t>
  </si>
  <si>
    <t>If the [MON] hits a creature with this weapon and deals damage to the creature, it has Advantage on its next attack roll against that creature before the end of its next turn.</t>
  </si>
  <si>
    <t>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t>
  </si>
  <si>
    <t>When making an attack with a finesse weapon, you use your choice of your Strength or Dexterity modifier for the attack and damage rolls. You must use the same modifier for both rolls.</t>
  </si>
  <si>
    <t>Creatures that are Small or Tiny have disadvantage on attack rolls with heavy weapons. A heavy weapon's size and bulk make it too large for a Small or Tiny creature to use effectively.</t>
  </si>
  <si>
    <t>A light weapon is small and easy to handle, making it ideal for use when fighting with two weapons.</t>
  </si>
  <si>
    <t>Because of the time required to load this weapon, you can fire only one piece of ammunition from it when you use an action, bonus action, or reaction to fire it, regardless of the number of attacks you can normally make.</t>
  </si>
  <si>
    <t>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t>
  </si>
  <si>
    <t>This weapon adds 5 feet to your reach when you attack with it. This property also determines your reach for opportunity attacks with a reach weapon.</t>
  </si>
  <si>
    <t>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t>
  </si>
  <si>
    <t>This weapon requires two hands to use. This property is relevant only when you attack with the weapon, not when you simply hold it.</t>
  </si>
  <si>
    <t>This weapon can be used with one or two hands. A damage value in parentheses appears with the property—the damage when the weapon is used with two hands to make a melee attack.</t>
  </si>
  <si>
    <t>Ammunition (Range 25/100; Needle), Loading</t>
  </si>
  <si>
    <t>Ammunition (Range 30/120; Bolt), Light, Loading</t>
  </si>
  <si>
    <t>Ammunition (Range 100/400; Bolt), Heavy, Loading, Two-Handed</t>
  </si>
  <si>
    <t>Ammunition (Range 150/600; Arrow), Heavy, Two-Handed</t>
  </si>
  <si>
    <t>Finesse, Thrown (Range 20/60)</t>
  </si>
  <si>
    <t>Ammunition (Range 80/320; Bolt), Loading, Two-Handed</t>
  </si>
  <si>
    <t>Ammunition (Range 80/320; Arrow), Two-Handed</t>
  </si>
  <si>
    <t>Ammunition (Range 30/120; Bullet)</t>
  </si>
  <si>
    <t>Finesse, Light, Thrown (Range 20/60)</t>
  </si>
  <si>
    <t>Light, Thrown (Range 20/60)</t>
  </si>
  <si>
    <t>Thrown (Range 30/120)</t>
  </si>
  <si>
    <t>Versatile (1d8)</t>
  </si>
  <si>
    <t>Thrown (Range 20/60), Versatile (1d8)</t>
  </si>
  <si>
    <t>Special Text</t>
  </si>
  <si>
    <t>The [MON] has disadvantage when it uses a lance to attack a target within 5 feet of itself. Also, a lance requires two hands to wield when not mounted.</t>
  </si>
  <si>
    <t>A Large or smaller creature hit by a net is restrained until it is freed. A net has no effect on creatures that are formless, or creatures that are Huge or larger. A creature can use its action to make a DC 10 Strength check, freeing itself or another creature within its reach on a success. Dealing 5 slashing damage to the net (AC 10) also frees the creature without harming it, ending the effect and destroying the net. When the [MON] uses an action, bonus action, or reaction to attack with a net, it can make only one attack regardless of the number of attacks it can normally make.</t>
  </si>
  <si>
    <t>Attack Type</t>
  </si>
  <si>
    <t>Attack Name</t>
  </si>
  <si>
    <t>Attack Ability</t>
  </si>
  <si>
    <t>damage Type</t>
  </si>
  <si>
    <t>Finesse, Heavy, Light, Reach, Two-Handed, Versatile</t>
  </si>
  <si>
    <t>Finesse, Heavy, Light, Range, Reach, Thrown, Two-Handed, Versatile</t>
  </si>
  <si>
    <t>Ammunition, Finesse, Heavy, Light, Loading, Range, Thrown, Two-Handed</t>
  </si>
  <si>
    <t>range [#] ft</t>
  </si>
  <si>
    <t>reach 5 ft or range [#]/[#] ft</t>
  </si>
  <si>
    <t>range [#]/[#] ft</t>
  </si>
  <si>
    <t>Finesse, Light, Thrown (20/60)</t>
  </si>
  <si>
    <t>Light, Thrown (20/60)</t>
  </si>
  <si>
    <t>Thrown (30/120)</t>
  </si>
  <si>
    <t>Finesse, Thrown (20/60)</t>
  </si>
  <si>
    <t>Thrown (20/60), Versatile (1d8)</t>
  </si>
  <si>
    <t>Ammunition, Range (80/320), Two-Handed</t>
  </si>
  <si>
    <t>Ammunition, Range (30/120)</t>
  </si>
  <si>
    <t>Ammunition, Range (150/600), Heavy, Two-Handed</t>
  </si>
  <si>
    <t>Thrown (5/15)</t>
  </si>
  <si>
    <t>Ammunition, Range (80/320), Loading, Two-Handed</t>
  </si>
  <si>
    <t>Ammunition, Range (25/100), Loading</t>
  </si>
  <si>
    <t>Ammunition, Range (30/120), Light, Loading</t>
  </si>
  <si>
    <t>Ammunition, Range (100/400), Heavy, Loading, Two-Handed</t>
  </si>
  <si>
    <t>With Mastery</t>
  </si>
  <si>
    <t>With Properties</t>
  </si>
  <si>
    <t>Split 2</t>
  </si>
  <si>
    <t>Masteries</t>
  </si>
  <si>
    <t>Cleave, Graze, Nick, Push, Sap, Slow, Topple, Vex</t>
  </si>
  <si>
    <t>Strength, Dexterity, Max of Strength or Dexterity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</si>
</sst>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scheme val="minor"/>
    </font>
    <font>
      <sz val="11"/>
      <color theme="1"/>
      <name val="Aptos"/>
      <family val="2"/>
    </font>
    <font>
      <sz val="11"/>
      <color theme="1"/>
      <name val="Aptos"/>
      <family val="2"/>
    </font>
    <font>
      <b/>
      <sz val="9"/>
      <color theme="1"/>
      <name val="Roboto"/>
    </font>
    <font>
      <sz val="9"/>
      <color theme="1"/>
      <name val="Roboto"/>
    </font>
    <font>
      <sz val="10"/>
      <color theme="1"/>
      <name val="Aptos"/>
      <family val="2"/>
    </font>
    <font>
      <sz val="11"/>
      <color theme="1"/>
      <name val="Calibri"/>
      <family val="2"/>
      <scheme val="minor"/>
    </font>
    <font>
      <b/>
      <sz val="10"/>
      <color rgb="FF000000"/>
      <name val="Aptos"/>
      <family val="2"/>
    </font>
    <font>
      <b/>
      <sz val="10"/>
      <color theme="1"/>
      <name val="Aptos"/>
      <family val="2"/>
    </font>
    <font>
      <sz val="10"/>
      <color rgb="FF000000"/>
      <name val="Aptos"/>
      <family val="2"/>
    </font>
    <font>
      <b/>
      <sz val="11"/>
      <color theme="1"/>
      <name val="Calibri"/>
      <family val="2"/>
      <scheme val="minor"/>
    </font>
    <font>
      <sz val="8"/>
      <name val="Calibri"/>
      <family val="2"/>
      <scheme val="minor"/>
    </font>
    <font>
      <b/>
      <sz val="10"/>
      <color theme="1"/>
      <name val="Calibri"/>
      <family val="2"/>
      <scheme val="minor"/>
    </font>
    <font>
      <sz val="10"/>
      <color theme="1"/>
      <name val="Calibri"/>
      <family val="2"/>
      <scheme val="minor"/>
    </font>
  </fonts>
  <fills count="2">
    <fill>
      <patternFill patternType="none"/>
    </fill>
    <fill>
      <patternFill patternType="gray125"/>
    </fill>
  </fills>
  <borders count="1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medium">
        <color indexed="64"/>
      </bottom>
      <diagonal/>
    </border>
    <border>
      <left/>
      <right/>
      <top style="medium">
        <color indexed="64"/>
      </top>
      <bottom/>
      <diagonal/>
    </border>
    <border>
      <left style="thin">
        <color rgb="FF000000"/>
      </left>
      <right/>
      <top/>
      <bottom style="thin">
        <color rgb="FF000000"/>
      </bottom>
      <diagonal/>
    </border>
    <border>
      <left style="thin">
        <color rgb="FF000000"/>
      </left>
      <right style="thin">
        <color rgb="FF000000"/>
      </right>
      <top style="thin">
        <color rgb="FF000000"/>
      </top>
      <bottom style="thick">
        <color rgb="FFFF0000"/>
      </bottom>
      <diagonal/>
    </border>
    <border>
      <left/>
      <right/>
      <top/>
      <bottom style="thick">
        <color rgb="FFFF0000"/>
      </bottom>
      <diagonal/>
    </border>
    <border>
      <left style="thin">
        <color indexed="64"/>
      </left>
      <right style="thin">
        <color indexed="64"/>
      </right>
      <top/>
      <bottom style="thick">
        <color rgb="FFFF0000"/>
      </bottom>
      <diagonal/>
    </border>
  </borders>
  <cellStyleXfs count="2">
    <xf numFmtId="0" fontId="0" fillId="0" borderId="0"/>
    <xf numFmtId="0" fontId="6" fillId="0" borderId="1"/>
  </cellStyleXfs>
  <cellXfs count="57">
    <xf numFmtId="0" fontId="0" fillId="0" borderId="0" xfId="0"/>
    <xf numFmtId="0" fontId="3" fillId="0" borderId="0" xfId="0" applyFont="1" applyAlignment="1">
      <alignment vertical="center" wrapText="1"/>
    </xf>
    <xf numFmtId="0" fontId="4" fillId="0" borderId="0" xfId="0" applyFont="1" applyAlignment="1">
      <alignment vertical="center" wrapText="1"/>
    </xf>
    <xf numFmtId="0" fontId="4" fillId="0" borderId="0" xfId="0" applyFont="1" applyAlignment="1">
      <alignment vertical="center"/>
    </xf>
    <xf numFmtId="0" fontId="2" fillId="0" borderId="0" xfId="0" applyFont="1" applyAlignment="1">
      <alignment vertical="center"/>
    </xf>
    <xf numFmtId="0" fontId="10" fillId="0" borderId="0" xfId="0" applyFont="1"/>
    <xf numFmtId="0" fontId="7" fillId="0" borderId="2" xfId="1" applyFont="1" applyBorder="1"/>
    <xf numFmtId="0" fontId="8" fillId="0" borderId="1" xfId="1" applyFont="1"/>
    <xf numFmtId="0" fontId="5" fillId="0" borderId="1" xfId="1" applyFont="1"/>
    <xf numFmtId="0" fontId="9" fillId="0" borderId="2" xfId="1" applyFont="1" applyBorder="1"/>
    <xf numFmtId="0" fontId="9" fillId="0" borderId="6" xfId="1" applyFont="1" applyBorder="1"/>
    <xf numFmtId="0" fontId="9" fillId="0" borderId="5" xfId="1" applyFont="1" applyBorder="1"/>
    <xf numFmtId="0" fontId="1" fillId="0" borderId="0" xfId="0" applyFont="1" applyAlignment="1">
      <alignment vertical="center"/>
    </xf>
    <xf numFmtId="0" fontId="5" fillId="0" borderId="5" xfId="1" applyFont="1" applyBorder="1"/>
    <xf numFmtId="0" fontId="9" fillId="0" borderId="7" xfId="1" applyFont="1" applyBorder="1"/>
    <xf numFmtId="0" fontId="9" fillId="0" borderId="8" xfId="1" applyFont="1" applyBorder="1"/>
    <xf numFmtId="0" fontId="5" fillId="0" borderId="4" xfId="1" applyFont="1" applyBorder="1"/>
    <xf numFmtId="0" fontId="9" fillId="0" borderId="9" xfId="1" applyFont="1" applyBorder="1"/>
    <xf numFmtId="0" fontId="9" fillId="0" borderId="10" xfId="1" applyFont="1" applyBorder="1"/>
    <xf numFmtId="0" fontId="8" fillId="0" borderId="0" xfId="0" applyFont="1" applyAlignment="1">
      <alignment vertical="top" wrapText="1"/>
    </xf>
    <xf numFmtId="0" fontId="5" fillId="0" borderId="0" xfId="0" applyFont="1" applyAlignment="1">
      <alignment vertical="top" wrapText="1"/>
    </xf>
    <xf numFmtId="0" fontId="9" fillId="0" borderId="5" xfId="1" applyFont="1" applyBorder="1" applyAlignment="1">
      <alignment vertical="top" wrapText="1"/>
    </xf>
    <xf numFmtId="0" fontId="5" fillId="0" borderId="5" xfId="1" applyFont="1" applyBorder="1" applyAlignment="1">
      <alignment vertical="top" wrapText="1"/>
    </xf>
    <xf numFmtId="0" fontId="7" fillId="0" borderId="7" xfId="1" applyFont="1" applyBorder="1"/>
    <xf numFmtId="0" fontId="8" fillId="0" borderId="5" xfId="1" applyFont="1" applyBorder="1"/>
    <xf numFmtId="0" fontId="5" fillId="0" borderId="11" xfId="0" applyFont="1" applyBorder="1" applyAlignment="1">
      <alignment vertical="top" wrapText="1"/>
    </xf>
    <xf numFmtId="0" fontId="5" fillId="0" borderId="11" xfId="0" applyFont="1" applyBorder="1" applyAlignment="1">
      <alignment vertical="top"/>
    </xf>
    <xf numFmtId="0" fontId="12" fillId="0" borderId="0" xfId="0" applyFont="1" applyAlignment="1">
      <alignment vertical="top"/>
    </xf>
    <xf numFmtId="0" fontId="13" fillId="0" borderId="0" xfId="0" applyFont="1" applyAlignment="1">
      <alignment vertical="top"/>
    </xf>
    <xf numFmtId="0" fontId="5" fillId="0" borderId="1" xfId="0" applyFont="1" applyBorder="1" applyAlignment="1">
      <alignment vertical="top"/>
    </xf>
    <xf numFmtId="0" fontId="5" fillId="0" borderId="1" xfId="0" applyFont="1" applyBorder="1" applyAlignment="1">
      <alignment vertical="top" wrapText="1"/>
    </xf>
    <xf numFmtId="0" fontId="5" fillId="0" borderId="12" xfId="0" applyFont="1" applyBorder="1" applyAlignment="1">
      <alignment vertical="top"/>
    </xf>
    <xf numFmtId="0" fontId="5" fillId="0" borderId="12" xfId="0" applyFont="1" applyBorder="1" applyAlignment="1">
      <alignment vertical="top" wrapText="1"/>
    </xf>
    <xf numFmtId="0" fontId="13" fillId="0" borderId="0" xfId="0" applyFont="1" applyAlignment="1">
      <alignment vertical="top" wrapText="1"/>
    </xf>
    <xf numFmtId="0" fontId="8" fillId="0" borderId="3" xfId="1" applyFont="1" applyBorder="1"/>
    <xf numFmtId="0" fontId="5" fillId="0" borderId="3" xfId="1" applyFont="1" applyBorder="1"/>
    <xf numFmtId="49" fontId="5" fillId="0" borderId="3" xfId="1" applyNumberFormat="1" applyFont="1" applyBorder="1"/>
    <xf numFmtId="0" fontId="9" fillId="0" borderId="13" xfId="1" applyFont="1" applyBorder="1"/>
    <xf numFmtId="0" fontId="9" fillId="0" borderId="4" xfId="1" applyFont="1" applyBorder="1"/>
    <xf numFmtId="0" fontId="9" fillId="0" borderId="14" xfId="1" applyFont="1" applyBorder="1"/>
    <xf numFmtId="0" fontId="5" fillId="0" borderId="15" xfId="1" applyFont="1" applyBorder="1"/>
    <xf numFmtId="0" fontId="5" fillId="0" borderId="16" xfId="1" applyFont="1" applyBorder="1"/>
    <xf numFmtId="49" fontId="5" fillId="0" borderId="16" xfId="1" applyNumberFormat="1" applyFont="1" applyBorder="1"/>
    <xf numFmtId="0" fontId="8" fillId="0" borderId="5" xfId="1" applyFont="1" applyBorder="1" applyAlignment="1">
      <alignment wrapText="1"/>
    </xf>
    <xf numFmtId="0" fontId="5" fillId="0" borderId="5" xfId="1" applyFont="1" applyBorder="1" applyAlignment="1">
      <alignment wrapText="1"/>
    </xf>
    <xf numFmtId="0" fontId="5" fillId="0" borderId="1" xfId="1" applyFont="1" applyAlignment="1">
      <alignment wrapText="1"/>
    </xf>
    <xf numFmtId="0" fontId="6" fillId="0" borderId="1" xfId="1" applyAlignment="1">
      <alignment wrapText="1"/>
    </xf>
    <xf numFmtId="0" fontId="7" fillId="0" borderId="5" xfId="1" applyFont="1" applyBorder="1" applyAlignment="1">
      <alignment wrapText="1"/>
    </xf>
    <xf numFmtId="0" fontId="9" fillId="0" borderId="5" xfId="1" applyFont="1" applyBorder="1" applyAlignment="1">
      <alignment wrapText="1"/>
    </xf>
    <xf numFmtId="0" fontId="8" fillId="0" borderId="1" xfId="1" applyFont="1" applyAlignment="1">
      <alignment wrapText="1"/>
    </xf>
    <xf numFmtId="0" fontId="7" fillId="0" borderId="5" xfId="1" applyFont="1" applyBorder="1" applyAlignment="1"/>
    <xf numFmtId="0" fontId="9" fillId="0" borderId="5" xfId="1" applyFont="1" applyBorder="1" applyAlignment="1"/>
    <xf numFmtId="0" fontId="5" fillId="0" borderId="1" xfId="1" applyFont="1" applyAlignment="1"/>
    <xf numFmtId="0" fontId="6" fillId="0" borderId="1" xfId="1" applyAlignment="1"/>
    <xf numFmtId="0" fontId="8" fillId="0" borderId="5" xfId="1" applyFont="1" applyBorder="1" applyAlignment="1"/>
    <xf numFmtId="0" fontId="5" fillId="0" borderId="5" xfId="1" applyFont="1" applyBorder="1" applyAlignment="1"/>
    <xf numFmtId="0" fontId="5" fillId="0" borderId="5" xfId="1" applyFont="1" applyBorder="1" applyAlignment="1">
      <alignment vertical="top"/>
    </xf>
  </cellXfs>
  <cellStyles count="2">
    <cellStyle name="Normal" xfId="0" builtinId="0"/>
    <cellStyle name="Normal 2" xfId="1" xr:uid="{EE8B0352-DEF3-4B38-84DA-642C74B0672B}"/>
  </cellStyles>
  <dxfs count="14">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bgColor theme="7" tint="0.59996337778862885"/>
        </patternFill>
      </fill>
    </dxf>
  </dxfs>
  <tableStyles count="0" defaultTableStyle="TableStyleMedium2" defaultPivotStyle="PivotStyleLight16"/>
  <colors>
    <mruColors>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06D77-B4CA-476E-9698-7CEFAC9DF67F}">
  <sheetPr>
    <tabColor rgb="FFFFFF00"/>
  </sheetPr>
  <dimension ref="A1:B140"/>
  <sheetViews>
    <sheetView workbookViewId="0">
      <selection activeCell="I18" sqref="I18"/>
    </sheetView>
  </sheetViews>
  <sheetFormatPr defaultRowHeight="14.4" x14ac:dyDescent="0.3"/>
  <cols>
    <col min="1" max="16384" width="8.88671875" style="4"/>
  </cols>
  <sheetData>
    <row r="1" spans="1:2" x14ac:dyDescent="0.3">
      <c r="A1" s="12" t="s">
        <v>9561</v>
      </c>
      <c r="B1" s="4" t="s">
        <v>9546</v>
      </c>
    </row>
    <row r="2" spans="1:2" ht="28.8" customHeight="1" x14ac:dyDescent="0.3">
      <c r="A2" s="12" t="s">
        <v>9561</v>
      </c>
      <c r="B2" s="4" t="s">
        <v>9532</v>
      </c>
    </row>
    <row r="3" spans="1:2" x14ac:dyDescent="0.3">
      <c r="A3" s="12" t="s">
        <v>9561</v>
      </c>
      <c r="B3" s="4" t="s">
        <v>9547</v>
      </c>
    </row>
    <row r="4" spans="1:2" x14ac:dyDescent="0.3">
      <c r="A4" s="12" t="s">
        <v>9561</v>
      </c>
      <c r="B4" s="4" t="s">
        <v>9548</v>
      </c>
    </row>
    <row r="5" spans="1:2" x14ac:dyDescent="0.3">
      <c r="A5" s="12" t="s">
        <v>9561</v>
      </c>
      <c r="B5" s="4" t="s">
        <v>9549</v>
      </c>
    </row>
    <row r="6" spans="1:2" x14ac:dyDescent="0.3">
      <c r="A6" s="12" t="s">
        <v>9561</v>
      </c>
      <c r="B6" s="4" t="s">
        <v>9545</v>
      </c>
    </row>
    <row r="7" spans="1:2" x14ac:dyDescent="0.3">
      <c r="A7" s="12" t="s">
        <v>9561</v>
      </c>
      <c r="B7" s="4" t="s">
        <v>9550</v>
      </c>
    </row>
    <row r="9" spans="1:2" x14ac:dyDescent="0.3">
      <c r="A9" s="12" t="s">
        <v>9561</v>
      </c>
      <c r="B9" s="4" t="s">
        <v>9551</v>
      </c>
    </row>
    <row r="10" spans="1:2" x14ac:dyDescent="0.3">
      <c r="A10" s="12" t="s">
        <v>9561</v>
      </c>
      <c r="B10" s="4" t="s">
        <v>9552</v>
      </c>
    </row>
    <row r="11" spans="1:2" x14ac:dyDescent="0.3">
      <c r="B11" s="12"/>
    </row>
    <row r="12" spans="1:2" x14ac:dyDescent="0.3">
      <c r="A12" s="12" t="s">
        <v>9561</v>
      </c>
      <c r="B12" s="4" t="s">
        <v>9553</v>
      </c>
    </row>
    <row r="13" spans="1:2" x14ac:dyDescent="0.3">
      <c r="A13" s="12" t="s">
        <v>9561</v>
      </c>
      <c r="B13" s="12" t="s">
        <v>9531</v>
      </c>
    </row>
    <row r="15" spans="1:2" x14ac:dyDescent="0.3">
      <c r="A15" s="12" t="s">
        <v>9561</v>
      </c>
      <c r="B15" s="4" t="s">
        <v>9554</v>
      </c>
    </row>
    <row r="18" spans="2:2" x14ac:dyDescent="0.3">
      <c r="B18"/>
    </row>
    <row r="19" spans="2:2" x14ac:dyDescent="0.3">
      <c r="B19"/>
    </row>
    <row r="20" spans="2:2" x14ac:dyDescent="0.3">
      <c r="B20"/>
    </row>
    <row r="21" spans="2:2" x14ac:dyDescent="0.3">
      <c r="B21"/>
    </row>
    <row r="22" spans="2:2" x14ac:dyDescent="0.3">
      <c r="B22"/>
    </row>
    <row r="23" spans="2:2" x14ac:dyDescent="0.3">
      <c r="B23"/>
    </row>
    <row r="24" spans="2:2" x14ac:dyDescent="0.3">
      <c r="B24"/>
    </row>
    <row r="25" spans="2:2" x14ac:dyDescent="0.3">
      <c r="B25"/>
    </row>
    <row r="26" spans="2:2" x14ac:dyDescent="0.3">
      <c r="B26"/>
    </row>
    <row r="27" spans="2:2" x14ac:dyDescent="0.3">
      <c r="B27"/>
    </row>
    <row r="28" spans="2:2" x14ac:dyDescent="0.3">
      <c r="B28"/>
    </row>
    <row r="29" spans="2:2" x14ac:dyDescent="0.3">
      <c r="B29"/>
    </row>
    <row r="30" spans="2:2" x14ac:dyDescent="0.3">
      <c r="B30"/>
    </row>
    <row r="31" spans="2:2" x14ac:dyDescent="0.3">
      <c r="B31"/>
    </row>
    <row r="32" spans="2:2" x14ac:dyDescent="0.3">
      <c r="B32"/>
    </row>
    <row r="33" spans="2:2" x14ac:dyDescent="0.3">
      <c r="B33"/>
    </row>
    <row r="34" spans="2:2" x14ac:dyDescent="0.3">
      <c r="B34"/>
    </row>
    <row r="35" spans="2:2" x14ac:dyDescent="0.3">
      <c r="B35"/>
    </row>
    <row r="36" spans="2:2" x14ac:dyDescent="0.3">
      <c r="B36"/>
    </row>
    <row r="37" spans="2:2" x14ac:dyDescent="0.3">
      <c r="B37"/>
    </row>
    <row r="38" spans="2:2" x14ac:dyDescent="0.3">
      <c r="B38"/>
    </row>
    <row r="39" spans="2:2" x14ac:dyDescent="0.3">
      <c r="B39"/>
    </row>
    <row r="40" spans="2:2" x14ac:dyDescent="0.3">
      <c r="B40"/>
    </row>
    <row r="41" spans="2:2" x14ac:dyDescent="0.3">
      <c r="B41"/>
    </row>
    <row r="42" spans="2:2" x14ac:dyDescent="0.3">
      <c r="B42"/>
    </row>
    <row r="43" spans="2:2" x14ac:dyDescent="0.3">
      <c r="B43"/>
    </row>
    <row r="44" spans="2:2" x14ac:dyDescent="0.3">
      <c r="B44"/>
    </row>
    <row r="45" spans="2:2" x14ac:dyDescent="0.3">
      <c r="B45"/>
    </row>
    <row r="46" spans="2:2" x14ac:dyDescent="0.3">
      <c r="B46"/>
    </row>
    <row r="47" spans="2:2" x14ac:dyDescent="0.3">
      <c r="B47"/>
    </row>
    <row r="48" spans="2:2" x14ac:dyDescent="0.3">
      <c r="B48"/>
    </row>
    <row r="49" spans="2:2" x14ac:dyDescent="0.3">
      <c r="B49"/>
    </row>
    <row r="50" spans="2:2" x14ac:dyDescent="0.3">
      <c r="B50"/>
    </row>
    <row r="51" spans="2:2" x14ac:dyDescent="0.3">
      <c r="B51"/>
    </row>
    <row r="52" spans="2:2" x14ac:dyDescent="0.3">
      <c r="B52"/>
    </row>
    <row r="53" spans="2:2" x14ac:dyDescent="0.3">
      <c r="B53"/>
    </row>
    <row r="54" spans="2:2" x14ac:dyDescent="0.3">
      <c r="B54"/>
    </row>
    <row r="55" spans="2:2" x14ac:dyDescent="0.3">
      <c r="B55"/>
    </row>
    <row r="56" spans="2:2" x14ac:dyDescent="0.3">
      <c r="B56"/>
    </row>
    <row r="57" spans="2:2" x14ac:dyDescent="0.3">
      <c r="B57"/>
    </row>
    <row r="58" spans="2:2" x14ac:dyDescent="0.3">
      <c r="B58"/>
    </row>
    <row r="59" spans="2:2" x14ac:dyDescent="0.3">
      <c r="B59"/>
    </row>
    <row r="60" spans="2:2" x14ac:dyDescent="0.3">
      <c r="B60"/>
    </row>
    <row r="61" spans="2:2" x14ac:dyDescent="0.3">
      <c r="B61"/>
    </row>
    <row r="62" spans="2:2" x14ac:dyDescent="0.3">
      <c r="B62"/>
    </row>
    <row r="63" spans="2:2" x14ac:dyDescent="0.3">
      <c r="B63"/>
    </row>
    <row r="64" spans="2:2" x14ac:dyDescent="0.3">
      <c r="B64"/>
    </row>
    <row r="65" spans="2:2" x14ac:dyDescent="0.3">
      <c r="B65"/>
    </row>
    <row r="66" spans="2:2" x14ac:dyDescent="0.3">
      <c r="B66"/>
    </row>
    <row r="67" spans="2:2" x14ac:dyDescent="0.3">
      <c r="B67"/>
    </row>
    <row r="68" spans="2:2" x14ac:dyDescent="0.3">
      <c r="B68"/>
    </row>
    <row r="69" spans="2:2" x14ac:dyDescent="0.3">
      <c r="B69"/>
    </row>
    <row r="70" spans="2:2" x14ac:dyDescent="0.3">
      <c r="B70"/>
    </row>
    <row r="71" spans="2:2" x14ac:dyDescent="0.3">
      <c r="B71"/>
    </row>
    <row r="72" spans="2:2" x14ac:dyDescent="0.3">
      <c r="B72"/>
    </row>
    <row r="73" spans="2:2" x14ac:dyDescent="0.3">
      <c r="B73"/>
    </row>
    <row r="74" spans="2:2" x14ac:dyDescent="0.3">
      <c r="B74"/>
    </row>
    <row r="75" spans="2:2" x14ac:dyDescent="0.3">
      <c r="B75"/>
    </row>
    <row r="76" spans="2:2" x14ac:dyDescent="0.3">
      <c r="B76"/>
    </row>
    <row r="77" spans="2:2" x14ac:dyDescent="0.3">
      <c r="B77"/>
    </row>
    <row r="78" spans="2:2" x14ac:dyDescent="0.3">
      <c r="B78"/>
    </row>
    <row r="79" spans="2:2" x14ac:dyDescent="0.3">
      <c r="B79"/>
    </row>
    <row r="80" spans="2:2" x14ac:dyDescent="0.3">
      <c r="B80"/>
    </row>
    <row r="81" spans="2:2" x14ac:dyDescent="0.3">
      <c r="B81"/>
    </row>
    <row r="82" spans="2:2" x14ac:dyDescent="0.3">
      <c r="B82"/>
    </row>
    <row r="83" spans="2:2" x14ac:dyDescent="0.3">
      <c r="B83"/>
    </row>
    <row r="84" spans="2:2" x14ac:dyDescent="0.3">
      <c r="B84"/>
    </row>
    <row r="85" spans="2:2" x14ac:dyDescent="0.3">
      <c r="B85"/>
    </row>
    <row r="86" spans="2:2" x14ac:dyDescent="0.3">
      <c r="B86"/>
    </row>
    <row r="87" spans="2:2" x14ac:dyDescent="0.3">
      <c r="B87"/>
    </row>
    <row r="88" spans="2:2" x14ac:dyDescent="0.3">
      <c r="B88"/>
    </row>
    <row r="89" spans="2:2" x14ac:dyDescent="0.3">
      <c r="B89"/>
    </row>
    <row r="90" spans="2:2" x14ac:dyDescent="0.3">
      <c r="B90"/>
    </row>
    <row r="91" spans="2:2" x14ac:dyDescent="0.3">
      <c r="B91"/>
    </row>
    <row r="92" spans="2:2" x14ac:dyDescent="0.3">
      <c r="B92"/>
    </row>
    <row r="93" spans="2:2" x14ac:dyDescent="0.3">
      <c r="B93"/>
    </row>
    <row r="94" spans="2:2" x14ac:dyDescent="0.3">
      <c r="B94"/>
    </row>
    <row r="95" spans="2:2" x14ac:dyDescent="0.3">
      <c r="B95"/>
    </row>
    <row r="96" spans="2:2" x14ac:dyDescent="0.3">
      <c r="B96"/>
    </row>
    <row r="97" spans="2:2" x14ac:dyDescent="0.3">
      <c r="B97"/>
    </row>
    <row r="98" spans="2:2" x14ac:dyDescent="0.3">
      <c r="B98"/>
    </row>
    <row r="99" spans="2:2" x14ac:dyDescent="0.3">
      <c r="B99"/>
    </row>
    <row r="100" spans="2:2" x14ac:dyDescent="0.3">
      <c r="B100"/>
    </row>
    <row r="101" spans="2:2" x14ac:dyDescent="0.3">
      <c r="B101"/>
    </row>
    <row r="102" spans="2:2" x14ac:dyDescent="0.3">
      <c r="B102"/>
    </row>
    <row r="103" spans="2:2" x14ac:dyDescent="0.3">
      <c r="B103"/>
    </row>
    <row r="104" spans="2:2" x14ac:dyDescent="0.3">
      <c r="B104"/>
    </row>
    <row r="105" spans="2:2" x14ac:dyDescent="0.3">
      <c r="B105"/>
    </row>
    <row r="106" spans="2:2" x14ac:dyDescent="0.3">
      <c r="B106"/>
    </row>
    <row r="107" spans="2:2" x14ac:dyDescent="0.3">
      <c r="B107"/>
    </row>
    <row r="108" spans="2:2" x14ac:dyDescent="0.3">
      <c r="B108"/>
    </row>
    <row r="109" spans="2:2" x14ac:dyDescent="0.3">
      <c r="B109"/>
    </row>
    <row r="110" spans="2:2" x14ac:dyDescent="0.3">
      <c r="B110"/>
    </row>
    <row r="111" spans="2:2" x14ac:dyDescent="0.3">
      <c r="B111"/>
    </row>
    <row r="112" spans="2:2" x14ac:dyDescent="0.3">
      <c r="B112"/>
    </row>
    <row r="113" spans="2:2" x14ac:dyDescent="0.3">
      <c r="B113"/>
    </row>
    <row r="114" spans="2:2" x14ac:dyDescent="0.3">
      <c r="B114"/>
    </row>
    <row r="115" spans="2:2" x14ac:dyDescent="0.3">
      <c r="B115"/>
    </row>
    <row r="116" spans="2:2" x14ac:dyDescent="0.3">
      <c r="B116"/>
    </row>
    <row r="117" spans="2:2" x14ac:dyDescent="0.3">
      <c r="B117"/>
    </row>
    <row r="118" spans="2:2" x14ac:dyDescent="0.3">
      <c r="B118"/>
    </row>
    <row r="119" spans="2:2" x14ac:dyDescent="0.3">
      <c r="B119"/>
    </row>
    <row r="120" spans="2:2" x14ac:dyDescent="0.3">
      <c r="B120"/>
    </row>
    <row r="121" spans="2:2" x14ac:dyDescent="0.3">
      <c r="B121"/>
    </row>
    <row r="122" spans="2:2" x14ac:dyDescent="0.3">
      <c r="B122"/>
    </row>
    <row r="123" spans="2:2" x14ac:dyDescent="0.3">
      <c r="B123"/>
    </row>
    <row r="124" spans="2:2" x14ac:dyDescent="0.3">
      <c r="B124"/>
    </row>
    <row r="125" spans="2:2" x14ac:dyDescent="0.3">
      <c r="B125"/>
    </row>
    <row r="126" spans="2:2" x14ac:dyDescent="0.3">
      <c r="B126"/>
    </row>
    <row r="127" spans="2:2" x14ac:dyDescent="0.3">
      <c r="B127"/>
    </row>
    <row r="128" spans="2:2" x14ac:dyDescent="0.3">
      <c r="B128"/>
    </row>
    <row r="129" spans="2:2" x14ac:dyDescent="0.3">
      <c r="B129"/>
    </row>
    <row r="130" spans="2:2" x14ac:dyDescent="0.3">
      <c r="B130"/>
    </row>
    <row r="131" spans="2:2" x14ac:dyDescent="0.3">
      <c r="B131"/>
    </row>
    <row r="132" spans="2:2" x14ac:dyDescent="0.3">
      <c r="B132"/>
    </row>
    <row r="133" spans="2:2" x14ac:dyDescent="0.3">
      <c r="B133"/>
    </row>
    <row r="134" spans="2:2" x14ac:dyDescent="0.3">
      <c r="B134"/>
    </row>
    <row r="135" spans="2:2" x14ac:dyDescent="0.3">
      <c r="B135"/>
    </row>
    <row r="136" spans="2:2" x14ac:dyDescent="0.3">
      <c r="B136"/>
    </row>
    <row r="137" spans="2:2" x14ac:dyDescent="0.3">
      <c r="B137"/>
    </row>
    <row r="138" spans="2:2" x14ac:dyDescent="0.3">
      <c r="B138"/>
    </row>
    <row r="139" spans="2:2" x14ac:dyDescent="0.3">
      <c r="B139"/>
    </row>
    <row r="140" spans="2:2" x14ac:dyDescent="0.3">
      <c r="B140"/>
    </row>
  </sheetData>
  <sortState xmlns:xlrd2="http://schemas.microsoft.com/office/spreadsheetml/2017/richdata2" ref="B1:B143">
    <sortCondition ref="B1:B143"/>
  </sortState>
  <phoneticPr fontId="1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C8D8A-6891-4BE2-B31F-988C8CA08630}">
  <sheetPr>
    <tabColor theme="0" tint="-0.249977111117893"/>
  </sheetPr>
  <dimension ref="A1:L105"/>
  <sheetViews>
    <sheetView workbookViewId="0">
      <pane ySplit="1" topLeftCell="A2" activePane="bottomLeft" state="frozen"/>
      <selection pane="bottomLeft"/>
    </sheetView>
  </sheetViews>
  <sheetFormatPr defaultRowHeight="14.4" x14ac:dyDescent="0.3"/>
  <cols>
    <col min="1" max="4" width="21.21875" customWidth="1"/>
    <col min="5" max="9" width="21.21875" hidden="1" customWidth="1"/>
    <col min="10" max="12" width="21.21875" customWidth="1"/>
  </cols>
  <sheetData>
    <row r="1" spans="1:12" s="5" customFormat="1" x14ac:dyDescent="0.3">
      <c r="A1" s="5" t="s">
        <v>8667</v>
      </c>
      <c r="B1" s="5" t="s">
        <v>9572</v>
      </c>
      <c r="C1" s="5" t="s">
        <v>8684</v>
      </c>
      <c r="D1" s="5" t="s">
        <v>8666</v>
      </c>
      <c r="E1" s="5" t="s">
        <v>8685</v>
      </c>
      <c r="F1" s="5" t="s">
        <v>8686</v>
      </c>
      <c r="G1" s="5" t="s">
        <v>8687</v>
      </c>
      <c r="H1" s="5" t="s">
        <v>8688</v>
      </c>
      <c r="I1" s="5" t="s">
        <v>8689</v>
      </c>
      <c r="J1" s="5" t="s">
        <v>8690</v>
      </c>
      <c r="K1" s="5" t="s">
        <v>8668</v>
      </c>
      <c r="L1" s="5" t="s">
        <v>8669</v>
      </c>
    </row>
    <row r="2" spans="1:12" x14ac:dyDescent="0.3">
      <c r="A2" t="str" cm="1">
        <f t="array" ref="A2:A81">_xlfn._xlws.SORT(_xlfn.UNIQUE(TRIM(_xlfn.TOCOL(_xlfn.TEXTSPLIT('features-abilities'!$C$2:$C$2000,",",,TRUE),3))))</f>
        <v>Ability Score Damage</v>
      </c>
      <c r="B2" t="str" cm="1">
        <f t="array" ref="B2:B105">_xlfn._xlws.SORT(_xlfn.UNIQUE(TRIM(_xlfn.TOCOL(_xlfn.TEXTSPLIT('add-ons'!$C$2:$C$2000,",",,TRUE),3))))</f>
        <v>Ability Score Damage</v>
      </c>
      <c r="C2" t="str" cm="1">
        <f t="array" ref="C2:C60">_xlfn._xlws.SORT(_xlfn.UNIQUE(TRIM(_xlfn.TOCOL(_xlfn.TEXTSPLIT(outcomes!$C$2:$C$1999,",",,TRUE),3))))</f>
        <v>Ability Score Damage</v>
      </c>
      <c r="D2" t="str" cm="1">
        <f t="array" ref="D2:D76">_xlfn._xlws.SORT(_xlfn.UNIQUE(TRIM(_xlfn.TOCOL(_xlfn.TEXTSPLIT(actions!$C$2:$C$2000,",",,TRUE),3))))</f>
        <v>Ability Score Damage</v>
      </c>
      <c r="E2" t="str" cm="1">
        <f t="array" ref="E2:E36">_xlfn._xlws.SORT(_xlfn.UNIQUE(TRIM(_xlfn.TOCOL(_xlfn.TEXTSPLIT('attack effects'!$C$2:$C$2000,",",,TRUE),3))))</f>
        <v>Advantage</v>
      </c>
      <c r="F2" t="str" cm="1">
        <f t="array" ref="F2:F60">_xlfn._xlws.SORT(_xlfn.UNIQUE(TRIM(_xlfn.TOCOL(_xlfn.TEXTSPLIT('condition effects'!$C$2:$C$2000,",",,TRUE),3))))</f>
        <v>Ability Score Damage</v>
      </c>
      <c r="G2" t="str" cm="1">
        <f t="array" ref="G2:G22">_xlfn._xlws.SORT(_xlfn.UNIQUE(TRIM(_xlfn.TOCOL(_xlfn.TEXTSPLIT('damage effects'!$C$2:$C$2000,",",,TRUE),3))))</f>
        <v>Ability Score Damage</v>
      </c>
      <c r="H2" t="str" cm="1">
        <f t="array" ref="H2:H10">_xlfn._xlws.SORT(_xlfn.UNIQUE(TRIM(_xlfn.TOCOL(_xlfn.TEXTSPLIT('save effects'!$C$2:$C$2000,",",,TRUE),3))))</f>
        <v>Advantage</v>
      </c>
      <c r="I2" t="str" cm="1">
        <f t="array" ref="I2:I29">_xlfn._xlws.SORT(_xlfn.UNIQUE(TRIM(_xlfn.TOCOL(_xlfn.TEXTSPLIT('secondary effects'!$C$2:$C$2000,",",,TRUE),3))))</f>
        <v>AC Change</v>
      </c>
      <c r="J2" t="str" cm="1">
        <f t="array" ref="J2:J25">_xlfn._xlws.SORT(_xlfn.UNIQUE(TRIM(_xlfn.TOCOL(_xlfn.TEXTSPLIT('target effects'!$C$2:$C$2000,",",,TRUE),3))))</f>
        <v>Ability Score Damage</v>
      </c>
      <c r="K2" t="str" cm="1">
        <f t="array" ref="K2:K56">_xlfn._xlws.SORT(_xlfn.UNIQUE(TRIM(_xlfn.TOCOL(_xlfn.TEXTSPLIT('bonus actions'!$C$2:$C$2000,",",,TRUE),3))))</f>
        <v>Ability Score Damage</v>
      </c>
      <c r="L2" t="str" cm="1">
        <f t="array" ref="L2:L45">_xlfn._xlws.SORT(_xlfn.UNIQUE(TRIM(_xlfn.TOCOL(_xlfn.TEXTSPLIT(reactions!$C$2:$C$2000,",",,TRUE),3))))</f>
        <v>AC Change</v>
      </c>
    </row>
    <row r="3" spans="1:12" x14ac:dyDescent="0.3">
      <c r="A3" t="str">
        <v>AC Change</v>
      </c>
      <c r="B3" t="str">
        <v>AC Change</v>
      </c>
      <c r="C3" t="str">
        <v>AC Change</v>
      </c>
      <c r="D3" t="str">
        <v>AC Change</v>
      </c>
      <c r="E3" t="str">
        <v>Area</v>
      </c>
      <c r="F3" t="str">
        <v>Advantage</v>
      </c>
      <c r="G3" t="str">
        <v>Advantage</v>
      </c>
      <c r="H3" t="str">
        <v>Charm Effect</v>
      </c>
      <c r="I3" t="str">
        <v>Bonus Action Attack</v>
      </c>
      <c r="J3" t="str">
        <v>AC Change</v>
      </c>
      <c r="K3" t="str">
        <v>AC Change</v>
      </c>
      <c r="L3" t="str">
        <v>Advantage</v>
      </c>
    </row>
    <row r="4" spans="1:12" x14ac:dyDescent="0.3">
      <c r="A4" t="str">
        <v>Advantage</v>
      </c>
      <c r="B4" t="str">
        <v>Advantage</v>
      </c>
      <c r="C4" t="str">
        <v>Advantage</v>
      </c>
      <c r="D4" t="str">
        <v>Advantage</v>
      </c>
      <c r="E4" t="str">
        <v>Attachment Effect</v>
      </c>
      <c r="F4" t="str">
        <v>Approaching</v>
      </c>
      <c r="G4" t="str">
        <v>Aging</v>
      </c>
      <c r="H4" t="str">
        <v>Charming</v>
      </c>
      <c r="I4" t="str">
        <v>Charm Effect</v>
      </c>
      <c r="J4" t="str">
        <v>Advantage</v>
      </c>
      <c r="K4" t="str">
        <v>Advantage</v>
      </c>
      <c r="L4" t="str">
        <v>Area</v>
      </c>
    </row>
    <row r="5" spans="1:12" x14ac:dyDescent="0.3">
      <c r="A5" t="str">
        <v>Aging</v>
      </c>
      <c r="B5" t="str">
        <v>Aging</v>
      </c>
      <c r="C5" t="str">
        <v>Aging</v>
      </c>
      <c r="D5" t="str">
        <v>Approaching</v>
      </c>
      <c r="E5" t="str">
        <v>Bonus Action Attack</v>
      </c>
      <c r="F5" t="str">
        <v>Attachment Effect</v>
      </c>
      <c r="G5" t="str">
        <v>Area</v>
      </c>
      <c r="H5" t="str">
        <v>Confusion</v>
      </c>
      <c r="I5" t="str">
        <v>Consumption Ending</v>
      </c>
      <c r="J5" t="str">
        <v>Area</v>
      </c>
      <c r="K5" t="str">
        <v>Approaching</v>
      </c>
      <c r="L5" t="str">
        <v>Aura</v>
      </c>
    </row>
    <row r="6" spans="1:12" x14ac:dyDescent="0.3">
      <c r="A6" t="str">
        <v>Approaching</v>
      </c>
      <c r="B6" t="str">
        <v>Approaching</v>
      </c>
      <c r="C6" t="str">
        <v>Approaching</v>
      </c>
      <c r="D6" t="str">
        <v>Area</v>
      </c>
      <c r="E6" t="str">
        <v>Concentration</v>
      </c>
      <c r="F6" t="str">
        <v>Attachment Ending</v>
      </c>
      <c r="G6" t="str">
        <v>Bonus Action Attack</v>
      </c>
      <c r="H6" t="str">
        <v>Curse Effect</v>
      </c>
      <c r="I6" t="str">
        <v>Curse Effect</v>
      </c>
      <c r="J6" t="str">
        <v>Attaching</v>
      </c>
      <c r="K6" t="str">
        <v>Area</v>
      </c>
      <c r="L6" t="str">
        <v>Betraying</v>
      </c>
    </row>
    <row r="7" spans="1:12" x14ac:dyDescent="0.3">
      <c r="A7" t="str">
        <v>Area</v>
      </c>
      <c r="B7" t="str">
        <v>Area</v>
      </c>
      <c r="C7" t="str">
        <v>Area</v>
      </c>
      <c r="D7" t="str">
        <v>Attaching</v>
      </c>
      <c r="E7" t="str">
        <v>Consuming</v>
      </c>
      <c r="F7" t="str">
        <v>Aura</v>
      </c>
      <c r="G7" t="str">
        <v>Disadvantage</v>
      </c>
      <c r="H7" t="str">
        <v>Disadvantage</v>
      </c>
      <c r="I7" t="str">
        <v>Disengaging</v>
      </c>
      <c r="J7" t="str">
        <v>Bonus Action Attack</v>
      </c>
      <c r="K7" t="str">
        <v>Aura</v>
      </c>
      <c r="L7" t="str">
        <v>Blinding</v>
      </c>
    </row>
    <row r="8" spans="1:12" x14ac:dyDescent="0.3">
      <c r="A8" t="str">
        <v>Attaching</v>
      </c>
      <c r="B8" t="str">
        <v>Attachment Effect</v>
      </c>
      <c r="C8" t="str">
        <v>Betraying</v>
      </c>
      <c r="D8" t="str">
        <v>Aura</v>
      </c>
      <c r="E8" t="str">
        <v>Cursing</v>
      </c>
      <c r="F8" t="str">
        <v>Betraying</v>
      </c>
      <c r="G8" t="str">
        <v>Disarming</v>
      </c>
      <c r="H8" t="str">
        <v>Discharging</v>
      </c>
      <c r="I8" t="str">
        <v>Extra Damage</v>
      </c>
      <c r="J8" t="str">
        <v>Coating</v>
      </c>
      <c r="K8" t="str">
        <v>Betraying</v>
      </c>
      <c r="L8" t="str">
        <v>Charm Effect</v>
      </c>
    </row>
    <row r="9" spans="1:12" x14ac:dyDescent="0.3">
      <c r="A9" t="str">
        <v>Aura</v>
      </c>
      <c r="B9" t="str">
        <v>Attachment Ending</v>
      </c>
      <c r="C9" t="str">
        <v>Blinding</v>
      </c>
      <c r="D9" t="str">
        <v>Betraying</v>
      </c>
      <c r="E9" t="str">
        <v>Disadvantage</v>
      </c>
      <c r="F9" t="str">
        <v>Blinding</v>
      </c>
      <c r="G9" t="str">
        <v>Equipment Damage</v>
      </c>
      <c r="H9" t="str">
        <v>Fear Effect</v>
      </c>
      <c r="I9" t="str">
        <v>Fear Effect</v>
      </c>
      <c r="J9" t="str">
        <v>Consuming</v>
      </c>
      <c r="K9" t="str">
        <v>Blinding</v>
      </c>
      <c r="L9" t="str">
        <v>Charming</v>
      </c>
    </row>
    <row r="10" spans="1:12" x14ac:dyDescent="0.3">
      <c r="A10" t="str">
        <v>Blinding</v>
      </c>
      <c r="B10" t="str">
        <v>Aura</v>
      </c>
      <c r="C10" t="str">
        <v>Bonus Action Attack</v>
      </c>
      <c r="D10" t="str">
        <v>Blinding</v>
      </c>
      <c r="E10" t="str">
        <v>Discharging</v>
      </c>
      <c r="F10" t="str">
        <v>Blindness Ending</v>
      </c>
      <c r="G10" t="str">
        <v>Exhausting</v>
      </c>
      <c r="H10" t="str">
        <v>Limitation</v>
      </c>
      <c r="I10" t="str">
        <v>Grapple Effect</v>
      </c>
      <c r="J10" t="str">
        <v>Disadvantage</v>
      </c>
      <c r="K10" t="str">
        <v>Bonus Action Attack</v>
      </c>
      <c r="L10" t="str">
        <v>Consumption Effect</v>
      </c>
    </row>
    <row r="11" spans="1:12" x14ac:dyDescent="0.3">
      <c r="A11" t="str">
        <v>Blindness Effect</v>
      </c>
      <c r="B11" t="str">
        <v>Betraying</v>
      </c>
      <c r="C11" t="str">
        <v>Charming</v>
      </c>
      <c r="D11" t="str">
        <v>Bonus Action Attack</v>
      </c>
      <c r="E11" t="str">
        <v>Disengaging</v>
      </c>
      <c r="F11" t="str">
        <v>Can't Attack Other Targets</v>
      </c>
      <c r="G11" t="str">
        <v>Extra Damage</v>
      </c>
      <c r="I11" t="str">
        <v>HP Max Reducing</v>
      </c>
      <c r="J11" t="str">
        <v>Disengaging</v>
      </c>
      <c r="K11" t="str">
        <v>Charming</v>
      </c>
      <c r="L11" t="str">
        <v>Cursing</v>
      </c>
    </row>
    <row r="12" spans="1:12" x14ac:dyDescent="0.3">
      <c r="A12" t="str">
        <v>Bonus Action Attack</v>
      </c>
      <c r="B12" t="str">
        <v>Blinding</v>
      </c>
      <c r="C12" t="str">
        <v>Coating</v>
      </c>
      <c r="D12" t="str">
        <v>Charm Effect</v>
      </c>
      <c r="E12" t="str">
        <v>Equipment Damage</v>
      </c>
      <c r="F12" t="str">
        <v>Charm Effect</v>
      </c>
      <c r="G12" t="str">
        <v>Grapple Effect</v>
      </c>
      <c r="I12" t="str">
        <v>Incapacitation Effect</v>
      </c>
      <c r="J12" t="str">
        <v>Equipment Damage</v>
      </c>
      <c r="K12" t="str">
        <v>Communication</v>
      </c>
      <c r="L12" t="str">
        <v>Damage Reduction</v>
      </c>
    </row>
    <row r="13" spans="1:12" x14ac:dyDescent="0.3">
      <c r="A13" t="str">
        <v>Charming</v>
      </c>
      <c r="B13" t="str">
        <v>Blindness Ending</v>
      </c>
      <c r="C13" t="str">
        <v>Confusing</v>
      </c>
      <c r="D13" t="str">
        <v>Charming</v>
      </c>
      <c r="E13" t="str">
        <v>Expanded Crit Range</v>
      </c>
      <c r="F13" t="str">
        <v>Charm Ending</v>
      </c>
      <c r="G13" t="str">
        <v>Healing</v>
      </c>
      <c r="I13" t="str">
        <v>Infecting</v>
      </c>
      <c r="J13" t="str">
        <v>Extra Damage</v>
      </c>
      <c r="K13" t="str">
        <v>Consumption Effect</v>
      </c>
      <c r="L13" t="str">
        <v>Difficult Terrain</v>
      </c>
    </row>
    <row r="14" spans="1:12" x14ac:dyDescent="0.3">
      <c r="A14" t="str">
        <v>Coating</v>
      </c>
      <c r="B14" t="str">
        <v>Bonus Action Attack</v>
      </c>
      <c r="C14" t="str">
        <v>Consuming</v>
      </c>
      <c r="D14" t="str">
        <v>Coating</v>
      </c>
      <c r="E14" t="str">
        <v>Extra Damage</v>
      </c>
      <c r="F14" t="str">
        <v>Charming</v>
      </c>
      <c r="G14" t="str">
        <v>HP Max Reducing</v>
      </c>
      <c r="I14" t="str">
        <v>Limitation</v>
      </c>
      <c r="J14" t="str">
        <v>HP Max Reducing</v>
      </c>
      <c r="K14" t="str">
        <v>Cursing</v>
      </c>
      <c r="L14" t="str">
        <v>Disadvantage</v>
      </c>
    </row>
    <row r="15" spans="1:12" x14ac:dyDescent="0.3">
      <c r="A15" t="str">
        <v>Communication</v>
      </c>
      <c r="B15" t="str">
        <v>Can't Attack Other Targets</v>
      </c>
      <c r="C15" t="str">
        <v>Cursing</v>
      </c>
      <c r="D15" t="str">
        <v>Communication</v>
      </c>
      <c r="E15" t="str">
        <v>Grapple Effect</v>
      </c>
      <c r="F15" t="str">
        <v>Confusing</v>
      </c>
      <c r="G15" t="str">
        <v>Knockout</v>
      </c>
      <c r="I15" t="str">
        <v>Magic Disrupting</v>
      </c>
      <c r="J15" t="str">
        <v>Magic Disrupting</v>
      </c>
      <c r="K15" t="str">
        <v>Damage Reduction</v>
      </c>
      <c r="L15" t="str">
        <v>Disarming</v>
      </c>
    </row>
    <row r="16" spans="1:12" x14ac:dyDescent="0.3">
      <c r="A16" t="str">
        <v>Concentration</v>
      </c>
      <c r="B16" t="str">
        <v>Charm Effect</v>
      </c>
      <c r="C16" t="str">
        <v>Damage Reduction</v>
      </c>
      <c r="D16" t="str">
        <v>Concentration</v>
      </c>
      <c r="E16" t="str">
        <v>Grappling</v>
      </c>
      <c r="F16" t="str">
        <v>Confusion</v>
      </c>
      <c r="G16" t="str">
        <v>Lethal</v>
      </c>
      <c r="I16" t="str">
        <v>Movement</v>
      </c>
      <c r="J16" t="str">
        <v>Nonreactive</v>
      </c>
      <c r="K16" t="str">
        <v>Difficult Terrain</v>
      </c>
      <c r="L16" t="str">
        <v>Disengaging</v>
      </c>
    </row>
    <row r="17" spans="1:12" x14ac:dyDescent="0.3">
      <c r="A17" t="str">
        <v>Confusing</v>
      </c>
      <c r="B17" t="str">
        <v>Charm Ending</v>
      </c>
      <c r="C17" t="str">
        <v>Deafening</v>
      </c>
      <c r="D17" t="str">
        <v>Confusing</v>
      </c>
      <c r="E17" t="str">
        <v>HP Max Reducing</v>
      </c>
      <c r="F17" t="str">
        <v>Confusion Ending</v>
      </c>
      <c r="G17" t="str">
        <v>Limitation</v>
      </c>
      <c r="I17" t="str">
        <v>Obscuring</v>
      </c>
      <c r="J17" t="str">
        <v>Ongoing Damage</v>
      </c>
      <c r="K17" t="str">
        <v>Disadvantage</v>
      </c>
      <c r="L17" t="str">
        <v>Drop to 0</v>
      </c>
    </row>
    <row r="18" spans="1:12" x14ac:dyDescent="0.3">
      <c r="A18" t="str">
        <v>Consuming</v>
      </c>
      <c r="B18" t="str">
        <v>Charming</v>
      </c>
      <c r="C18" t="str">
        <v>Disadvantage</v>
      </c>
      <c r="D18" t="str">
        <v>Consuming</v>
      </c>
      <c r="E18" t="str">
        <v>Incapacitating</v>
      </c>
      <c r="F18" t="str">
        <v>Consumption Effect</v>
      </c>
      <c r="G18" t="str">
        <v>Nonlethal</v>
      </c>
      <c r="I18" t="str">
        <v>Poison Effect</v>
      </c>
      <c r="J18" t="str">
        <v>Paralyzing</v>
      </c>
      <c r="K18" t="str">
        <v>Discharging</v>
      </c>
      <c r="L18" t="str">
        <v>Extra Damage</v>
      </c>
    </row>
    <row r="19" spans="1:12" x14ac:dyDescent="0.3">
      <c r="A19" t="str">
        <v>Curse Effect</v>
      </c>
      <c r="B19" t="str">
        <v>Communication</v>
      </c>
      <c r="C19" t="str">
        <v>Disarming</v>
      </c>
      <c r="D19" t="str">
        <v>Curse Effect</v>
      </c>
      <c r="E19" t="str">
        <v>Infecting</v>
      </c>
      <c r="F19" t="str">
        <v>Consumption Ending</v>
      </c>
      <c r="G19" t="str">
        <v>Self Healing</v>
      </c>
      <c r="I19" t="str">
        <v>Prone Effect</v>
      </c>
      <c r="J19" t="str">
        <v>Pushing</v>
      </c>
      <c r="K19" t="str">
        <v>Disengaging</v>
      </c>
      <c r="L19" t="str">
        <v>Frightening</v>
      </c>
    </row>
    <row r="20" spans="1:12" x14ac:dyDescent="0.3">
      <c r="A20" t="str">
        <v>Cursing</v>
      </c>
      <c r="B20" t="str">
        <v>Concentration</v>
      </c>
      <c r="C20" t="str">
        <v>Drop to 0</v>
      </c>
      <c r="D20" t="str">
        <v>Cursing</v>
      </c>
      <c r="E20" t="str">
        <v>Injury</v>
      </c>
      <c r="F20" t="str">
        <v>Curse Effect</v>
      </c>
      <c r="G20" t="str">
        <v>Shapechanging</v>
      </c>
      <c r="I20" t="str">
        <v>Pushing</v>
      </c>
      <c r="J20" t="str">
        <v>Shapechanging</v>
      </c>
      <c r="K20" t="str">
        <v>Equipment Damage</v>
      </c>
      <c r="L20" t="str">
        <v>Gaze</v>
      </c>
    </row>
    <row r="21" spans="1:12" x14ac:dyDescent="0.3">
      <c r="A21" t="str">
        <v>Damage Reduction</v>
      </c>
      <c r="B21" t="str">
        <v>Confusing</v>
      </c>
      <c r="C21" t="str">
        <v>Effect Ending</v>
      </c>
      <c r="D21" t="str">
        <v>Damage Reduction</v>
      </c>
      <c r="E21" t="str">
        <v>Lethal</v>
      </c>
      <c r="F21" t="str">
        <v>Curse Ending</v>
      </c>
      <c r="G21" t="str">
        <v>Spawning</v>
      </c>
      <c r="I21" t="str">
        <v>Restraining</v>
      </c>
      <c r="J21" t="str">
        <v>Speed Change</v>
      </c>
      <c r="K21" t="str">
        <v>Exhausting</v>
      </c>
      <c r="L21" t="str">
        <v>Grappling</v>
      </c>
    </row>
    <row r="22" spans="1:12" x14ac:dyDescent="0.3">
      <c r="A22" t="str">
        <v>Deafening</v>
      </c>
      <c r="B22" t="str">
        <v>Confusion</v>
      </c>
      <c r="C22" t="str">
        <v>Exhausting</v>
      </c>
      <c r="D22" t="str">
        <v>Deafening</v>
      </c>
      <c r="E22" t="str">
        <v>Light</v>
      </c>
      <c r="F22" t="str">
        <v>Cursing</v>
      </c>
      <c r="G22" t="str">
        <v>Temporary Self Healing</v>
      </c>
      <c r="I22" t="str">
        <v>Restraint Effect</v>
      </c>
      <c r="J22" t="str">
        <v>Suffocating</v>
      </c>
      <c r="K22" t="str">
        <v>Expanded Crit Range</v>
      </c>
      <c r="L22" t="str">
        <v>Healing</v>
      </c>
    </row>
    <row r="23" spans="1:12" x14ac:dyDescent="0.3">
      <c r="A23" t="str">
        <v>Difficult Terrain</v>
      </c>
      <c r="B23" t="str">
        <v>Confusion Ending</v>
      </c>
      <c r="C23" t="str">
        <v>Extra Damage</v>
      </c>
      <c r="D23" t="str">
        <v>Difficult Terrain</v>
      </c>
      <c r="E23" t="str">
        <v>Limitation</v>
      </c>
      <c r="F23" t="str">
        <v>Damage Reduction</v>
      </c>
      <c r="I23" t="str">
        <v>Self Healing</v>
      </c>
      <c r="J23" t="str">
        <v>Summoning</v>
      </c>
      <c r="K23" t="str">
        <v>Extra Damage</v>
      </c>
      <c r="L23" t="str">
        <v>Incapacitating</v>
      </c>
    </row>
    <row r="24" spans="1:12" x14ac:dyDescent="0.3">
      <c r="A24" t="str">
        <v>Disadvantage</v>
      </c>
      <c r="B24" t="str">
        <v>Consuming</v>
      </c>
      <c r="C24" t="str">
        <v>Frightening</v>
      </c>
      <c r="D24" t="str">
        <v>Disadvantage</v>
      </c>
      <c r="E24" t="str">
        <v>Magic Disrupting</v>
      </c>
      <c r="F24" t="str">
        <v>Deafness Ending</v>
      </c>
      <c r="I24" t="str">
        <v>Stun Effect</v>
      </c>
      <c r="J24" t="str">
        <v>Teleportation</v>
      </c>
      <c r="K24" t="str">
        <v>Grapple Effect</v>
      </c>
      <c r="L24" t="str">
        <v>Invisible</v>
      </c>
    </row>
    <row r="25" spans="1:12" x14ac:dyDescent="0.3">
      <c r="A25" t="str">
        <v>Disarming</v>
      </c>
      <c r="B25" t="str">
        <v>Consumption Effect</v>
      </c>
      <c r="C25" t="str">
        <v>Grappling</v>
      </c>
      <c r="D25" t="str">
        <v>Disarming</v>
      </c>
      <c r="E25" t="str">
        <v>Mount</v>
      </c>
      <c r="F25" t="str">
        <v>Disadvantage</v>
      </c>
      <c r="I25" t="str">
        <v>Temporary Self Healing</v>
      </c>
      <c r="J25" t="str">
        <v>Zero Speed</v>
      </c>
      <c r="K25" t="str">
        <v>Grappling</v>
      </c>
      <c r="L25" t="str">
        <v>Light</v>
      </c>
    </row>
    <row r="26" spans="1:12" x14ac:dyDescent="0.3">
      <c r="A26" t="str">
        <v>Discharging</v>
      </c>
      <c r="B26" t="str">
        <v>Consumption Ending</v>
      </c>
      <c r="C26" t="str">
        <v>Healing</v>
      </c>
      <c r="D26" t="str">
        <v>Discharging</v>
      </c>
      <c r="E26" t="str">
        <v>Movement</v>
      </c>
      <c r="F26" t="str">
        <v>Disease</v>
      </c>
      <c r="I26" t="str">
        <v>Throwing</v>
      </c>
      <c r="K26" t="str">
        <v>Incapacitating</v>
      </c>
      <c r="L26" t="str">
        <v>Magic Disrupting</v>
      </c>
    </row>
    <row r="27" spans="1:12" x14ac:dyDescent="0.3">
      <c r="A27" t="str">
        <v>Disengaging</v>
      </c>
      <c r="B27" t="str">
        <v>Curse Effect</v>
      </c>
      <c r="C27" t="str">
        <v>HP Max Reducing</v>
      </c>
      <c r="D27" t="str">
        <v>Disengaging</v>
      </c>
      <c r="E27" t="str">
        <v>Ongoing Damage</v>
      </c>
      <c r="F27" t="str">
        <v>Effect Ending</v>
      </c>
      <c r="I27" t="str">
        <v>Toppling</v>
      </c>
      <c r="K27" t="str">
        <v>Infecting</v>
      </c>
      <c r="L27" t="str">
        <v>Mount</v>
      </c>
    </row>
    <row r="28" spans="1:12" x14ac:dyDescent="0.3">
      <c r="A28" t="str">
        <v>Drop to 0</v>
      </c>
      <c r="B28" t="str">
        <v>Curse Ending</v>
      </c>
      <c r="C28" t="str">
        <v>Incapacitating</v>
      </c>
      <c r="D28" t="str">
        <v>Drop to 0</v>
      </c>
      <c r="E28" t="str">
        <v>Poisoning</v>
      </c>
      <c r="F28" t="str">
        <v>Exhausting</v>
      </c>
      <c r="I28" t="str">
        <v>Unconsciousness Effect</v>
      </c>
      <c r="K28" t="str">
        <v>Invisible</v>
      </c>
      <c r="L28" t="str">
        <v>Movement</v>
      </c>
    </row>
    <row r="29" spans="1:12" x14ac:dyDescent="0.3">
      <c r="A29" t="str">
        <v>Effect Ending</v>
      </c>
      <c r="B29" t="str">
        <v>Cursing</v>
      </c>
      <c r="C29" t="str">
        <v>Infecting</v>
      </c>
      <c r="D29" t="str">
        <v>Equipment Damage</v>
      </c>
      <c r="E29" t="str">
        <v>Rattling</v>
      </c>
      <c r="F29" t="str">
        <v>Exhaustion Effect</v>
      </c>
      <c r="I29" t="str">
        <v>Weakness</v>
      </c>
      <c r="K29" t="str">
        <v>Lethal</v>
      </c>
      <c r="L29" t="str">
        <v>Nonreactive</v>
      </c>
    </row>
    <row r="30" spans="1:12" x14ac:dyDescent="0.3">
      <c r="A30" t="str">
        <v>Equipment Damage</v>
      </c>
      <c r="B30" t="str">
        <v>Damage Reduction</v>
      </c>
      <c r="C30" t="str">
        <v>Knockout</v>
      </c>
      <c r="D30" t="str">
        <v>Exhausting</v>
      </c>
      <c r="E30" t="str">
        <v>Recharging</v>
      </c>
      <c r="F30" t="str">
        <v>Exhaustion Ending</v>
      </c>
      <c r="K30" t="str">
        <v>Light</v>
      </c>
      <c r="L30" t="str">
        <v>Obscuring</v>
      </c>
    </row>
    <row r="31" spans="1:12" x14ac:dyDescent="0.3">
      <c r="A31" t="str">
        <v>Exhausting</v>
      </c>
      <c r="B31" t="str">
        <v>Deafening</v>
      </c>
      <c r="C31" t="str">
        <v>Lethal</v>
      </c>
      <c r="D31" t="str">
        <v>Frightening</v>
      </c>
      <c r="E31" t="str">
        <v>Self Healing</v>
      </c>
      <c r="F31" t="str">
        <v>Extra Damage</v>
      </c>
      <c r="K31" t="str">
        <v>Magic Disrupting</v>
      </c>
      <c r="L31" t="str">
        <v>Ongoing Damage</v>
      </c>
    </row>
    <row r="32" spans="1:12" x14ac:dyDescent="0.3">
      <c r="A32" t="str">
        <v>Expanded Crit Range</v>
      </c>
      <c r="B32" t="str">
        <v>Deafness Ending</v>
      </c>
      <c r="C32" t="str">
        <v>Madness</v>
      </c>
      <c r="D32" t="str">
        <v>Grapple Effect</v>
      </c>
      <c r="E32" t="str">
        <v>Shapechanging</v>
      </c>
      <c r="F32" t="str">
        <v>Fear Effect</v>
      </c>
      <c r="K32" t="str">
        <v>Mount</v>
      </c>
      <c r="L32" t="str">
        <v>Poisoning</v>
      </c>
    </row>
    <row r="33" spans="1:12" x14ac:dyDescent="0.3">
      <c r="A33" t="str">
        <v>Extra Damage</v>
      </c>
      <c r="B33" t="str">
        <v>Difficult Terrain</v>
      </c>
      <c r="C33" t="str">
        <v>Magic Disrupting</v>
      </c>
      <c r="D33" t="str">
        <v>Grapple Ending</v>
      </c>
      <c r="E33" t="str">
        <v>Spawning</v>
      </c>
      <c r="F33" t="str">
        <v>Fear Ending</v>
      </c>
      <c r="K33" t="str">
        <v>Movement</v>
      </c>
      <c r="L33" t="str">
        <v>Prone Effect</v>
      </c>
    </row>
    <row r="34" spans="1:12" x14ac:dyDescent="0.3">
      <c r="A34" t="str">
        <v>Frightening</v>
      </c>
      <c r="B34" t="str">
        <v>Disadvantage</v>
      </c>
      <c r="C34" t="str">
        <v>Marking</v>
      </c>
      <c r="D34" t="str">
        <v>Grappling</v>
      </c>
      <c r="E34" t="str">
        <v>Temporary Healing</v>
      </c>
      <c r="F34" t="str">
        <v>Fire Effect</v>
      </c>
      <c r="K34" t="str">
        <v>Obscuring</v>
      </c>
      <c r="L34" t="str">
        <v>Pushing</v>
      </c>
    </row>
    <row r="35" spans="1:12" x14ac:dyDescent="0.3">
      <c r="A35" t="str">
        <v>Gaze</v>
      </c>
      <c r="B35" t="str">
        <v>Disarming</v>
      </c>
      <c r="C35" t="str">
        <v>Movement</v>
      </c>
      <c r="D35" t="str">
        <v>Healing</v>
      </c>
      <c r="E35" t="str">
        <v>Unhealable</v>
      </c>
      <c r="F35" t="str">
        <v>Grapple Effect</v>
      </c>
      <c r="K35" t="str">
        <v>Ongoing Damage</v>
      </c>
      <c r="L35" t="str">
        <v>Recharging</v>
      </c>
    </row>
    <row r="36" spans="1:12" x14ac:dyDescent="0.3">
      <c r="A36" t="str">
        <v>Grapple Effect</v>
      </c>
      <c r="B36" t="str">
        <v>Discharging</v>
      </c>
      <c r="C36" t="str">
        <v>Nonreactive</v>
      </c>
      <c r="D36" t="str">
        <v>HP Max Reducing</v>
      </c>
      <c r="E36" t="str">
        <v>Weakness</v>
      </c>
      <c r="F36" t="str">
        <v>Grapple Ending</v>
      </c>
      <c r="K36" t="str">
        <v>Poisoning</v>
      </c>
      <c r="L36" t="str">
        <v>Self Healing</v>
      </c>
    </row>
    <row r="37" spans="1:12" x14ac:dyDescent="0.3">
      <c r="A37" t="str">
        <v>Grappling</v>
      </c>
      <c r="B37" t="str">
        <v>Disease</v>
      </c>
      <c r="C37" t="str">
        <v>Ongoing Damage</v>
      </c>
      <c r="D37" t="str">
        <v>Incapacitating</v>
      </c>
      <c r="F37" t="str">
        <v>HP Max Reducing</v>
      </c>
      <c r="K37" t="str">
        <v>Possessing</v>
      </c>
      <c r="L37" t="str">
        <v>Shapechanging</v>
      </c>
    </row>
    <row r="38" spans="1:12" x14ac:dyDescent="0.3">
      <c r="A38" t="str">
        <v>Healing</v>
      </c>
      <c r="B38" t="str">
        <v>Disengaging</v>
      </c>
      <c r="C38" t="str">
        <v>Paralyzing</v>
      </c>
      <c r="D38" t="str">
        <v>Incapacitation Effect</v>
      </c>
      <c r="F38" t="str">
        <v>Incapacitating</v>
      </c>
      <c r="K38" t="str">
        <v>Prone Effect</v>
      </c>
      <c r="L38" t="str">
        <v>Speed Change</v>
      </c>
    </row>
    <row r="39" spans="1:12" x14ac:dyDescent="0.3">
      <c r="A39" t="str">
        <v>HP Max Reducing</v>
      </c>
      <c r="B39" t="str">
        <v>Effect Ending</v>
      </c>
      <c r="C39" t="str">
        <v>Petrifying</v>
      </c>
      <c r="D39" t="str">
        <v>Infecting</v>
      </c>
      <c r="F39" t="str">
        <v>Incapacitation Effect</v>
      </c>
      <c r="K39" t="str">
        <v>Pulling</v>
      </c>
      <c r="L39" t="str">
        <v>Stunning</v>
      </c>
    </row>
    <row r="40" spans="1:12" x14ac:dyDescent="0.3">
      <c r="A40" t="str">
        <v>Incapacitating</v>
      </c>
      <c r="B40" t="str">
        <v>Equipment Damage</v>
      </c>
      <c r="C40" t="str">
        <v>Poisoning</v>
      </c>
      <c r="D40" t="str">
        <v>Invisible</v>
      </c>
      <c r="F40" t="str">
        <v>Incapacitation Ending</v>
      </c>
      <c r="K40" t="str">
        <v>Rampaging</v>
      </c>
      <c r="L40" t="str">
        <v>Summoning</v>
      </c>
    </row>
    <row r="41" spans="1:12" x14ac:dyDescent="0.3">
      <c r="A41" t="str">
        <v>Incapacitation Effect</v>
      </c>
      <c r="B41" t="str">
        <v>Exhausting</v>
      </c>
      <c r="C41" t="str">
        <v>Possessing</v>
      </c>
      <c r="D41" t="str">
        <v>Knockout</v>
      </c>
      <c r="F41" t="str">
        <v>Infecting</v>
      </c>
      <c r="K41" t="str">
        <v>Recharging</v>
      </c>
      <c r="L41" t="str">
        <v>Teleportation</v>
      </c>
    </row>
    <row r="42" spans="1:12" x14ac:dyDescent="0.3">
      <c r="A42" t="str">
        <v>Infected</v>
      </c>
      <c r="B42" t="str">
        <v>Exhaustion Effect</v>
      </c>
      <c r="C42" t="str">
        <v>Pulling</v>
      </c>
      <c r="D42" t="str">
        <v>Lair</v>
      </c>
      <c r="F42" t="str">
        <v>Infection Effect</v>
      </c>
      <c r="K42" t="str">
        <v>Restraining</v>
      </c>
      <c r="L42" t="str">
        <v>Temporary Healing</v>
      </c>
    </row>
    <row r="43" spans="1:12" x14ac:dyDescent="0.3">
      <c r="A43" t="str">
        <v>Infecting</v>
      </c>
      <c r="B43" t="str">
        <v>Exhaustion Ending</v>
      </c>
      <c r="C43" t="str">
        <v>Pushing</v>
      </c>
      <c r="D43" t="str">
        <v>Lethal</v>
      </c>
      <c r="F43" t="str">
        <v>Infection Ending</v>
      </c>
      <c r="K43" t="str">
        <v>Self Healing</v>
      </c>
      <c r="L43" t="str">
        <v>Temporary Self Healing</v>
      </c>
    </row>
    <row r="44" spans="1:12" x14ac:dyDescent="0.3">
      <c r="A44" t="str">
        <v>Invisible</v>
      </c>
      <c r="B44" t="str">
        <v>Expanded Crit Range</v>
      </c>
      <c r="C44" t="str">
        <v>Random Effects</v>
      </c>
      <c r="D44" t="str">
        <v>Light</v>
      </c>
      <c r="F44" t="str">
        <v>Invisible</v>
      </c>
      <c r="K44" t="str">
        <v>Sense</v>
      </c>
      <c r="L44" t="str">
        <v>Toppling</v>
      </c>
    </row>
    <row r="45" spans="1:12" x14ac:dyDescent="0.3">
      <c r="A45" t="str">
        <v>Knockout</v>
      </c>
      <c r="B45" t="str">
        <v>Extra Damage</v>
      </c>
      <c r="C45" t="str">
        <v>Restoring</v>
      </c>
      <c r="D45" t="str">
        <v>Madness</v>
      </c>
      <c r="F45" t="str">
        <v>Knockout</v>
      </c>
      <c r="K45" t="str">
        <v>Shapechanging</v>
      </c>
      <c r="L45" t="str">
        <v>Variable Damage Type</v>
      </c>
    </row>
    <row r="46" spans="1:12" x14ac:dyDescent="0.3">
      <c r="A46" t="str">
        <v>Lair</v>
      </c>
      <c r="B46" t="str">
        <v>Fear Effect</v>
      </c>
      <c r="C46" t="str">
        <v>Restraining</v>
      </c>
      <c r="D46" t="str">
        <v>Magic Disrupting</v>
      </c>
      <c r="F46" t="str">
        <v>Limbs</v>
      </c>
      <c r="K46" t="str">
        <v>Spawning</v>
      </c>
    </row>
    <row r="47" spans="1:12" x14ac:dyDescent="0.3">
      <c r="A47" t="str">
        <v>Lethal</v>
      </c>
      <c r="B47" t="str">
        <v>Fear Ending</v>
      </c>
      <c r="C47" t="str">
        <v>Self Healing</v>
      </c>
      <c r="D47" t="str">
        <v>Marking</v>
      </c>
      <c r="F47" t="str">
        <v>Movement</v>
      </c>
      <c r="K47" t="str">
        <v>Speed Change</v>
      </c>
    </row>
    <row r="48" spans="1:12" x14ac:dyDescent="0.3">
      <c r="A48" t="str">
        <v>Light</v>
      </c>
      <c r="B48" t="str">
        <v>Fire Effect</v>
      </c>
      <c r="C48" t="str">
        <v>Sense</v>
      </c>
      <c r="D48" t="str">
        <v>Mount</v>
      </c>
      <c r="F48" t="str">
        <v>Nonreactive</v>
      </c>
      <c r="K48" t="str">
        <v>Stunning</v>
      </c>
    </row>
    <row r="49" spans="1:11" x14ac:dyDescent="0.3">
      <c r="A49" t="str">
        <v>Limbs</v>
      </c>
      <c r="B49" t="str">
        <v>Grapple Effect</v>
      </c>
      <c r="C49" t="str">
        <v>Shapechanging</v>
      </c>
      <c r="D49" t="str">
        <v>Movement</v>
      </c>
      <c r="F49" t="str">
        <v>Ongoing Damage</v>
      </c>
      <c r="K49" t="str">
        <v>Suffocating</v>
      </c>
    </row>
    <row r="50" spans="1:11" x14ac:dyDescent="0.3">
      <c r="A50" t="str">
        <v>Magic Disrupting</v>
      </c>
      <c r="B50" t="str">
        <v>Grapple Ending</v>
      </c>
      <c r="C50" t="str">
        <v>Silencing</v>
      </c>
      <c r="D50" t="str">
        <v>Obscuring</v>
      </c>
      <c r="F50" t="str">
        <v>Paralysis Ending</v>
      </c>
      <c r="K50" t="str">
        <v>Summoning</v>
      </c>
    </row>
    <row r="51" spans="1:11" x14ac:dyDescent="0.3">
      <c r="A51" t="str">
        <v>Mount</v>
      </c>
      <c r="B51" t="str">
        <v>Grappling</v>
      </c>
      <c r="C51" t="str">
        <v>Speed Change</v>
      </c>
      <c r="D51" t="str">
        <v>Ongoing Damage</v>
      </c>
      <c r="F51" t="str">
        <v>Paralyzing</v>
      </c>
      <c r="K51" t="str">
        <v>Teleportation</v>
      </c>
    </row>
    <row r="52" spans="1:11" x14ac:dyDescent="0.3">
      <c r="A52" t="str">
        <v>Movement</v>
      </c>
      <c r="B52" t="str">
        <v>Healing</v>
      </c>
      <c r="C52" t="str">
        <v>Stunning</v>
      </c>
      <c r="D52" t="str">
        <v>Petrifying</v>
      </c>
      <c r="F52" t="str">
        <v>Petrifying</v>
      </c>
      <c r="K52" t="str">
        <v>Temporary Self Healing</v>
      </c>
    </row>
    <row r="53" spans="1:11" x14ac:dyDescent="0.3">
      <c r="A53" t="str">
        <v>Nonreactive</v>
      </c>
      <c r="B53" t="str">
        <v>HP Max Reducing</v>
      </c>
      <c r="C53" t="str">
        <v>Suffocating</v>
      </c>
      <c r="D53" t="str">
        <v>Poisoning</v>
      </c>
      <c r="F53" t="str">
        <v>Poison Effect</v>
      </c>
      <c r="K53" t="str">
        <v>Throwing</v>
      </c>
    </row>
    <row r="54" spans="1:11" x14ac:dyDescent="0.3">
      <c r="A54" t="str">
        <v>Obscuring</v>
      </c>
      <c r="B54" t="str">
        <v>Incapacitating</v>
      </c>
      <c r="C54" t="str">
        <v>Teleportation</v>
      </c>
      <c r="D54" t="str">
        <v>Possessing</v>
      </c>
      <c r="F54" t="str">
        <v>Poison Ending</v>
      </c>
      <c r="K54" t="str">
        <v>Toppling</v>
      </c>
    </row>
    <row r="55" spans="1:11" x14ac:dyDescent="0.3">
      <c r="A55" t="str">
        <v>Ongoing Damage</v>
      </c>
      <c r="B55" t="str">
        <v>Incapacitation Effect</v>
      </c>
      <c r="C55" t="str">
        <v>Temporary Healing</v>
      </c>
      <c r="D55" t="str">
        <v>Prone Effect</v>
      </c>
      <c r="F55" t="str">
        <v>Poisoning</v>
      </c>
      <c r="K55" t="str">
        <v>Variable Damage Type</v>
      </c>
    </row>
    <row r="56" spans="1:11" x14ac:dyDescent="0.3">
      <c r="A56" t="str">
        <v>Paralyzing</v>
      </c>
      <c r="B56" t="str">
        <v>Incapacitation Ending</v>
      </c>
      <c r="C56" t="str">
        <v>Throwing</v>
      </c>
      <c r="D56" t="str">
        <v>Pulling</v>
      </c>
      <c r="F56" t="str">
        <v>Restraint Effect</v>
      </c>
      <c r="K56" t="str">
        <v>Zero Speed</v>
      </c>
    </row>
    <row r="57" spans="1:11" x14ac:dyDescent="0.3">
      <c r="A57" t="str">
        <v>Petrifying</v>
      </c>
      <c r="B57" t="str">
        <v>Infecting</v>
      </c>
      <c r="C57" t="str">
        <v>Toppling</v>
      </c>
      <c r="D57" t="str">
        <v>Pushing</v>
      </c>
      <c r="F57" t="str">
        <v>Restraint Ending</v>
      </c>
    </row>
    <row r="58" spans="1:11" x14ac:dyDescent="0.3">
      <c r="A58" t="str">
        <v>Poisoning</v>
      </c>
      <c r="B58" t="str">
        <v>Infection Effect</v>
      </c>
      <c r="C58" t="str">
        <v>Unhealable</v>
      </c>
      <c r="D58" t="str">
        <v>Rattling</v>
      </c>
      <c r="F58" t="str">
        <v>Stun Effect</v>
      </c>
    </row>
    <row r="59" spans="1:11" x14ac:dyDescent="0.3">
      <c r="A59" t="str">
        <v>Pushing</v>
      </c>
      <c r="B59" t="str">
        <v>Infection Ending</v>
      </c>
      <c r="C59" t="str">
        <v>Variable Damage Type</v>
      </c>
      <c r="D59" t="str">
        <v>Recharging</v>
      </c>
      <c r="F59" t="str">
        <v>Stun Ending</v>
      </c>
    </row>
    <row r="60" spans="1:11" x14ac:dyDescent="0.3">
      <c r="A60" t="str">
        <v>Rampaging</v>
      </c>
      <c r="B60" t="str">
        <v>Injury</v>
      </c>
      <c r="C60" t="str">
        <v>Zero Speed</v>
      </c>
      <c r="D60" t="str">
        <v>Restoring (Self)</v>
      </c>
      <c r="F60" t="str">
        <v>Unconsciousness Ending</v>
      </c>
    </row>
    <row r="61" spans="1:11" x14ac:dyDescent="0.3">
      <c r="A61" t="str">
        <v>Random Effects</v>
      </c>
      <c r="B61" t="str">
        <v>Invisible</v>
      </c>
      <c r="D61" t="str">
        <v>Restraining</v>
      </c>
    </row>
    <row r="62" spans="1:11" x14ac:dyDescent="0.3">
      <c r="A62" t="str">
        <v>Rattling</v>
      </c>
      <c r="B62" t="str">
        <v>Knockout</v>
      </c>
      <c r="D62" t="str">
        <v>Restraint Effect</v>
      </c>
    </row>
    <row r="63" spans="1:11" x14ac:dyDescent="0.3">
      <c r="A63" t="str">
        <v>Recharging</v>
      </c>
      <c r="B63" t="str">
        <v>Lethal</v>
      </c>
      <c r="D63" t="str">
        <v>Self Healing</v>
      </c>
    </row>
    <row r="64" spans="1:11" x14ac:dyDescent="0.3">
      <c r="A64" t="str">
        <v>Restoring</v>
      </c>
      <c r="B64" t="str">
        <v>Light</v>
      </c>
      <c r="D64" t="str">
        <v>Sense</v>
      </c>
    </row>
    <row r="65" spans="1:4" x14ac:dyDescent="0.3">
      <c r="A65" t="str">
        <v>Restoring (Self)</v>
      </c>
      <c r="B65" t="str">
        <v>Limbs</v>
      </c>
      <c r="D65" t="str">
        <v>Shapechanging</v>
      </c>
    </row>
    <row r="66" spans="1:4" x14ac:dyDescent="0.3">
      <c r="A66" t="str">
        <v>Restraining</v>
      </c>
      <c r="B66" t="str">
        <v>Limitation</v>
      </c>
      <c r="D66" t="str">
        <v>Spawning</v>
      </c>
    </row>
    <row r="67" spans="1:4" x14ac:dyDescent="0.3">
      <c r="A67" t="str">
        <v>Resurrection</v>
      </c>
      <c r="B67" t="str">
        <v>Magic Disrupting</v>
      </c>
      <c r="D67" t="str">
        <v>Speed Change</v>
      </c>
    </row>
    <row r="68" spans="1:4" x14ac:dyDescent="0.3">
      <c r="A68" t="str">
        <v>Self Healing</v>
      </c>
      <c r="B68" t="str">
        <v>Mount</v>
      </c>
      <c r="D68" t="str">
        <v>Stunning</v>
      </c>
    </row>
    <row r="69" spans="1:4" x14ac:dyDescent="0.3">
      <c r="A69" t="str">
        <v>Sense</v>
      </c>
      <c r="B69" t="str">
        <v>Movement</v>
      </c>
      <c r="D69" t="str">
        <v>Suffocating</v>
      </c>
    </row>
    <row r="70" spans="1:4" x14ac:dyDescent="0.3">
      <c r="A70" t="str">
        <v>Shapechanging</v>
      </c>
      <c r="B70" t="str">
        <v>Nonlethal</v>
      </c>
      <c r="D70" t="str">
        <v>Summoning</v>
      </c>
    </row>
    <row r="71" spans="1:4" x14ac:dyDescent="0.3">
      <c r="A71" t="str">
        <v>Silencing</v>
      </c>
      <c r="B71" t="str">
        <v>Nonreactive</v>
      </c>
      <c r="D71" t="str">
        <v>Target</v>
      </c>
    </row>
    <row r="72" spans="1:4" x14ac:dyDescent="0.3">
      <c r="A72" t="str">
        <v>Spawning</v>
      </c>
      <c r="B72" t="str">
        <v>Obscuring</v>
      </c>
      <c r="D72" t="str">
        <v>Teleportation</v>
      </c>
    </row>
    <row r="73" spans="1:4" x14ac:dyDescent="0.3">
      <c r="A73" t="str">
        <v>Speed Change</v>
      </c>
      <c r="B73" t="str">
        <v>Ongoing Damage</v>
      </c>
      <c r="D73" t="str">
        <v>Temporary Self Healing</v>
      </c>
    </row>
    <row r="74" spans="1:4" x14ac:dyDescent="0.3">
      <c r="A74" t="str">
        <v>Stunning</v>
      </c>
      <c r="B74" t="str">
        <v>Paralysis Ending</v>
      </c>
      <c r="D74" t="str">
        <v>Throwing</v>
      </c>
    </row>
    <row r="75" spans="1:4" x14ac:dyDescent="0.3">
      <c r="A75" t="str">
        <v>Summoning</v>
      </c>
      <c r="B75" t="str">
        <v>Paralyzing</v>
      </c>
      <c r="D75" t="str">
        <v>Toppling</v>
      </c>
    </row>
    <row r="76" spans="1:4" x14ac:dyDescent="0.3">
      <c r="A76" t="str">
        <v>Teleportation</v>
      </c>
      <c r="B76" t="str">
        <v>Petrifying</v>
      </c>
      <c r="D76" t="str">
        <v>Weakness</v>
      </c>
    </row>
    <row r="77" spans="1:4" x14ac:dyDescent="0.3">
      <c r="A77" t="str">
        <v>Temporary Self Healing</v>
      </c>
      <c r="B77" t="str">
        <v>Poison Effect</v>
      </c>
    </row>
    <row r="78" spans="1:4" x14ac:dyDescent="0.3">
      <c r="A78" t="str">
        <v>Toppling</v>
      </c>
      <c r="B78" t="str">
        <v>Poison Ending</v>
      </c>
    </row>
    <row r="79" spans="1:4" x14ac:dyDescent="0.3">
      <c r="A79" t="str">
        <v>Variable Damage Type</v>
      </c>
      <c r="B79" t="str">
        <v>Poisoning</v>
      </c>
    </row>
    <row r="80" spans="1:4" x14ac:dyDescent="0.3">
      <c r="A80" t="str">
        <v>Weakness</v>
      </c>
      <c r="B80" t="str">
        <v>Prone Effect</v>
      </c>
    </row>
    <row r="81" spans="1:2" x14ac:dyDescent="0.3">
      <c r="A81" t="str">
        <v>Zero Speed</v>
      </c>
      <c r="B81" t="str">
        <v>Pushing</v>
      </c>
    </row>
    <row r="82" spans="1:2" x14ac:dyDescent="0.3">
      <c r="B82" t="str">
        <v>Rattling</v>
      </c>
    </row>
    <row r="83" spans="1:2" x14ac:dyDescent="0.3">
      <c r="B83" t="str">
        <v>Recharging</v>
      </c>
    </row>
    <row r="84" spans="1:2" x14ac:dyDescent="0.3">
      <c r="B84" t="str">
        <v>Restoring</v>
      </c>
    </row>
    <row r="85" spans="1:2" x14ac:dyDescent="0.3">
      <c r="B85" t="str">
        <v>Restraining</v>
      </c>
    </row>
    <row r="86" spans="1:2" x14ac:dyDescent="0.3">
      <c r="B86" t="str">
        <v>Restraint Effect</v>
      </c>
    </row>
    <row r="87" spans="1:2" x14ac:dyDescent="0.3">
      <c r="B87" t="str">
        <v>Restraint Ending</v>
      </c>
    </row>
    <row r="88" spans="1:2" x14ac:dyDescent="0.3">
      <c r="B88" t="str">
        <v>Resurrection</v>
      </c>
    </row>
    <row r="89" spans="1:2" x14ac:dyDescent="0.3">
      <c r="B89" t="str">
        <v>Self Healing</v>
      </c>
    </row>
    <row r="90" spans="1:2" x14ac:dyDescent="0.3">
      <c r="B90" t="str">
        <v>Shapechanging</v>
      </c>
    </row>
    <row r="91" spans="1:2" x14ac:dyDescent="0.3">
      <c r="B91" t="str">
        <v>Spawning</v>
      </c>
    </row>
    <row r="92" spans="1:2" x14ac:dyDescent="0.3">
      <c r="B92" t="str">
        <v>Speed Change</v>
      </c>
    </row>
    <row r="93" spans="1:2" x14ac:dyDescent="0.3">
      <c r="B93" t="str">
        <v>Stun Effect</v>
      </c>
    </row>
    <row r="94" spans="1:2" x14ac:dyDescent="0.3">
      <c r="B94" t="str">
        <v>Stun Ending</v>
      </c>
    </row>
    <row r="95" spans="1:2" x14ac:dyDescent="0.3">
      <c r="B95" t="str">
        <v>Stunning</v>
      </c>
    </row>
    <row r="96" spans="1:2" x14ac:dyDescent="0.3">
      <c r="B96" t="str">
        <v>Summoning</v>
      </c>
    </row>
    <row r="97" spans="2:2" x14ac:dyDescent="0.3">
      <c r="B97" t="str">
        <v>Teleportation</v>
      </c>
    </row>
    <row r="98" spans="2:2" x14ac:dyDescent="0.3">
      <c r="B98" t="str">
        <v>Temporary Healing</v>
      </c>
    </row>
    <row r="99" spans="2:2" x14ac:dyDescent="0.3">
      <c r="B99" t="str">
        <v>Temporary Self Healing</v>
      </c>
    </row>
    <row r="100" spans="2:2" x14ac:dyDescent="0.3">
      <c r="B100" t="str">
        <v>Throwing</v>
      </c>
    </row>
    <row r="101" spans="2:2" x14ac:dyDescent="0.3">
      <c r="B101" t="str">
        <v>Toppling</v>
      </c>
    </row>
    <row r="102" spans="2:2" x14ac:dyDescent="0.3">
      <c r="B102" t="str">
        <v>Unconsciousness Effect</v>
      </c>
    </row>
    <row r="103" spans="2:2" x14ac:dyDescent="0.3">
      <c r="B103" t="str">
        <v>Unconsciousness Ending</v>
      </c>
    </row>
    <row r="104" spans="2:2" x14ac:dyDescent="0.3">
      <c r="B104" t="str">
        <v>Unhealable</v>
      </c>
    </row>
    <row r="105" spans="2:2" x14ac:dyDescent="0.3">
      <c r="B105" t="str">
        <v>Weakness</v>
      </c>
    </row>
  </sheetData>
  <conditionalFormatting sqref="A2:D150 J150:L150">
    <cfRule type="expression" dxfId="13" priority="1">
      <formula>AND(NOT(A2=""),COUNTIF($A$1:$D$150,A2)+COUNTIF($J$1:$L$150,A2)=1)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AC571-CE78-49C2-8A2A-97FD3B603EA8}">
  <dimension ref="A1:AD955"/>
  <sheetViews>
    <sheetView tabSelected="1" topLeftCell="J1" zoomScale="101" zoomScaleNormal="101" workbookViewId="0">
      <pane ySplit="1" topLeftCell="A2" activePane="bottomLeft" state="frozen"/>
      <selection pane="bottomLeft" activeCell="L2" sqref="L2"/>
    </sheetView>
  </sheetViews>
  <sheetFormatPr defaultColWidth="14.44140625" defaultRowHeight="15" customHeight="1" x14ac:dyDescent="0.3"/>
  <cols>
    <col min="1" max="2" width="27.33203125" style="8" customWidth="1"/>
    <col min="3" max="4" width="33.33203125" style="8" customWidth="1"/>
    <col min="5" max="5" width="18.33203125" style="8" customWidth="1"/>
    <col min="6" max="6" width="21.5546875" style="8" customWidth="1"/>
    <col min="7" max="7" width="48.44140625" style="8" customWidth="1"/>
    <col min="8" max="8" width="19.6640625" style="8" bestFit="1" customWidth="1"/>
    <col min="9" max="9" width="18.5546875" style="8" customWidth="1"/>
    <col min="10" max="10" width="56.5546875" style="8" customWidth="1"/>
    <col min="11" max="11" width="39.33203125" style="8" customWidth="1"/>
    <col min="12" max="15" width="8.88671875" style="8" customWidth="1"/>
    <col min="16" max="29" width="8.88671875" style="35" hidden="1" customWidth="1"/>
    <col min="30" max="30" width="0" style="8" hidden="1" customWidth="1"/>
    <col min="31" max="16384" width="14.44140625" style="8"/>
  </cols>
  <sheetData>
    <row r="1" spans="1:30" ht="13.5" customHeight="1" x14ac:dyDescent="0.3">
      <c r="A1" s="6" t="s">
        <v>8660</v>
      </c>
      <c r="B1" s="6" t="s">
        <v>8665</v>
      </c>
      <c r="C1" s="6" t="s">
        <v>8647</v>
      </c>
      <c r="D1" s="6" t="s">
        <v>8661</v>
      </c>
      <c r="E1" s="6" t="s">
        <v>9575</v>
      </c>
      <c r="F1" s="6" t="s">
        <v>9576</v>
      </c>
      <c r="G1" s="6" t="s">
        <v>9577</v>
      </c>
      <c r="H1" s="6" t="s">
        <v>9653</v>
      </c>
      <c r="I1" s="23" t="s">
        <v>9724</v>
      </c>
      <c r="J1" s="24" t="s">
        <v>9578</v>
      </c>
      <c r="K1" s="7" t="s">
        <v>9750</v>
      </c>
      <c r="L1" s="7" t="s">
        <v>9751</v>
      </c>
      <c r="P1" s="34" t="s">
        <v>7206</v>
      </c>
      <c r="U1" s="34" t="s">
        <v>9752</v>
      </c>
      <c r="V1" s="34"/>
      <c r="W1" s="35">
        <v>2</v>
      </c>
      <c r="Y1" s="35">
        <v>3</v>
      </c>
      <c r="AA1" s="35">
        <v>4</v>
      </c>
      <c r="AC1" s="35">
        <v>5</v>
      </c>
    </row>
    <row r="2" spans="1:30" ht="13.5" customHeight="1" x14ac:dyDescent="0.3">
      <c r="A2" s="9" t="s">
        <v>8648</v>
      </c>
      <c r="B2" s="9" t="s">
        <v>9579</v>
      </c>
      <c r="C2" s="9" t="s">
        <v>350</v>
      </c>
      <c r="D2" s="9" t="s">
        <v>9535</v>
      </c>
      <c r="E2" s="9" t="s">
        <v>8649</v>
      </c>
      <c r="F2" s="9" t="s">
        <v>8650</v>
      </c>
      <c r="G2" s="9" t="s">
        <v>544</v>
      </c>
      <c r="H2" s="9"/>
      <c r="I2" s="14"/>
      <c r="J2" s="13" t="str">
        <f>A2&amp;": [ATK_MOD] to hit, "&amp;D2&amp;", one target. Hit: [DAMAGE] "&amp;F2&amp;" damage. "&amp;I2</f>
        <v xml:space="preserve">Melee Weapon Attack: [ATK_MOD] to hit, reach 5 ft, one target. Hit: [DAMAGE] bludgeoning damage. </v>
      </c>
      <c r="L2" s="8" t="str">
        <f>IF(NOT(G2=""),IF(COUNTA(P2:T2)&gt;1,"Properties: ","Property: ")&amp;U2&amp;" ("&amp;V2&amp;")"&amp;IF(NOT(W2=""),", "&amp;W2&amp;" ("&amp;X2&amp;")"&amp;IF(NOT(Y2=""),", "&amp;Y2&amp;" ("&amp;Z2&amp;")"&amp;IF(NOT(AA2=""),", "&amp;AB2&amp;" ("&amp;AC2&amp;")",""),""),""),"")</f>
        <v>Property: Light (A light weapon is small and easy to handle, making it ideal for use when fighting with two weapons.)</v>
      </c>
      <c r="P2" s="35" t="str" cm="1">
        <f t="array" ref="P2">IFERROR(_xlfn.TEXTSPLIT(G2,", ",,TRUE),"")</f>
        <v>Light</v>
      </c>
      <c r="U2" s="36" t="str" cm="1">
        <f t="array" ref="U2">IFERROR(INDEX(_xlfn.TEXTSPLIT(P2," "),,1),"")</f>
        <v>Light</v>
      </c>
      <c r="V2" s="35" t="str">
        <f>IF(NOT(U2=""),_xlfn.XLOOKUP(U2,'weapon masteries'!$A$10:$A$19,'weapon masteries'!$B$10:$B$19,"",0),"")</f>
        <v>A light weapon is small and easy to handle, making it ideal for use when fighting with two weapons.</v>
      </c>
      <c r="W2" s="36" t="str" cm="1">
        <f t="array" ref="W2">IFERROR(INDEX(_xlfn.TEXTSPLIT(Q2," "),,1),"")</f>
        <v/>
      </c>
      <c r="X2" s="35" t="str">
        <f>IF(NOT(W2=""),_xlfn.XLOOKUP(W2,'weapon masteries'!$A$10:$A$19,'weapon masteries'!$B$10:$B$19,"",0),"")</f>
        <v/>
      </c>
      <c r="Y2" s="36" t="str" cm="1">
        <f t="array" ref="Y2">IFERROR(INDEX(_xlfn.TEXTSPLIT(R2," "),,1),"")</f>
        <v/>
      </c>
      <c r="Z2" s="35" t="str">
        <f>IF(NOT(Y2=""),_xlfn.XLOOKUP(Y2,'weapon masteries'!$A$10:$A$19,'weapon masteries'!$B$10:$B$19,"",0),"")</f>
        <v/>
      </c>
      <c r="AA2" s="36" t="str" cm="1">
        <f t="array" ref="AA2">IFERROR(INDEX(_xlfn.TEXTSPLIT(S2," "),,1),"")</f>
        <v/>
      </c>
      <c r="AB2" s="35" t="str">
        <f>IF(NOT(AA2=""),_xlfn.XLOOKUP(AA2,'weapon masteries'!$A$10:$A$19,'weapon masteries'!$B$10:$B$19,"",0),"")</f>
        <v/>
      </c>
      <c r="AC2" s="36" t="str" cm="1">
        <f t="array" ref="AC2">IFERROR(INDEX(_xlfn.TEXTSPLIT(T2," "),,1),"")</f>
        <v/>
      </c>
      <c r="AD2" s="35" t="str">
        <f>IF(NOT(AC2=""),_xlfn.XLOOKUP(AC2,'weapon masteries'!$A$10:$A$20,'weapon masteries'!$B$10:$B$20,"",0),"")</f>
        <v/>
      </c>
    </row>
    <row r="3" spans="1:30" ht="13.5" customHeight="1" x14ac:dyDescent="0.3">
      <c r="A3" s="9" t="s">
        <v>8651</v>
      </c>
      <c r="B3" s="9" t="s">
        <v>9580</v>
      </c>
      <c r="C3" s="9" t="s">
        <v>9652</v>
      </c>
      <c r="D3" s="9" t="s">
        <v>9533</v>
      </c>
      <c r="E3" s="9" t="s">
        <v>8649</v>
      </c>
      <c r="F3" s="9" t="s">
        <v>8652</v>
      </c>
      <c r="G3" s="9" t="s">
        <v>9737</v>
      </c>
      <c r="H3" s="9"/>
      <c r="I3" s="14"/>
      <c r="J3" s="13" t="str">
        <f t="shared" ref="J3:J66" si="0">A3&amp;": [ATK_MOD] to hit, "&amp;D3&amp;", one target. Hit: [DAMAGE] "&amp;F3&amp;" damage. "&amp;I3</f>
        <v xml:space="preserve">Melee or Ranged Weapon Attack: [ATK_MOD] to hit, reach 5 ft or range 20/60 ft, one target. Hit: [DAMAGE] piercing damage. </v>
      </c>
      <c r="L3" s="8" t="str">
        <f t="shared" ref="L3:L66" si="1">IF(NOT(G3=""),IF(COUNTA(P3:T3)&gt;1,"Properties: ","Property: ")&amp;U3&amp;" ("&amp;V3&amp;")"&amp;IF(NOT(W3=""),", "&amp;W3&amp;" ("&amp;X3&amp;")"&amp;IF(NOT(Y3=""),", "&amp;Y3&amp;" ("&amp;Z3&amp;")"&amp;IF(NOT(AA3=""),", "&amp;AB3&amp;" ("&amp;AC3&amp;")",""),""),""),"")</f>
        <v>Properties: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P3" s="35" t="str" cm="1">
        <f t="array" ref="P3:R3">IFERROR(_xlfn.TEXTSPLIT(G3,", ",,TRUE),"")</f>
        <v>Finesse</v>
      </c>
      <c r="Q3" s="35" t="str">
        <v>Light</v>
      </c>
      <c r="R3" s="35" t="str">
        <v>Thrown (20/60)</v>
      </c>
      <c r="U3" s="36" t="str" cm="1">
        <f t="array" ref="U3">IFERROR(INDEX(_xlfn.TEXTSPLIT(P3," "),,1),"")</f>
        <v>Finesse</v>
      </c>
      <c r="V3" s="35" t="str">
        <f>IF(NOT(U3=""),_xlfn.XLOOKUP(U3,'weapon masteries'!$A$10:$A$19,'weapon masteries'!$B$10:$B$19,"",0),"")</f>
        <v>When making an attack with a finesse weapon, you use your choice of your Strength or Dexterity modifier for the attack and damage rolls. You must use the same modifier for both rolls.</v>
      </c>
      <c r="W3" s="36" t="str" cm="1">
        <f t="array" ref="W3">IFERROR(INDEX(_xlfn.TEXTSPLIT(Q3," "),,1),"")</f>
        <v>Light</v>
      </c>
      <c r="X3" s="35" t="str">
        <f>IF(NOT(W3=""),_xlfn.XLOOKUP(W3,'weapon masteries'!$A$10:$A$19,'weapon masteries'!$B$10:$B$19,"",0),"")</f>
        <v>A light weapon is small and easy to handle, making it ideal for use when fighting with two weapons.</v>
      </c>
      <c r="Y3" s="36" t="str" cm="1">
        <f t="array" ref="Y3">IFERROR(INDEX(_xlfn.TEXTSPLIT(R3," "),,1),"")</f>
        <v>Thrown</v>
      </c>
      <c r="Z3" s="35" t="str">
        <f>IF(NOT(Y3=""),_xlfn.XLOOKUP(Y3,'weapon masteries'!$A$10:$A$19,'weapon masteries'!$B$10:$B$19,"",0),"")</f>
        <v>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AA3" s="36" t="str" cm="1">
        <f t="array" ref="AA3">IFERROR(INDEX(_xlfn.TEXTSPLIT(S3," "),,1),"")</f>
        <v/>
      </c>
      <c r="AB3" s="35" t="str">
        <f>IF(NOT(AA3=""),_xlfn.XLOOKUP(AA3,'weapon masteries'!$A$10:$A$19,'weapon masteries'!$B$10:$B$19,"",0),"")</f>
        <v/>
      </c>
      <c r="AC3" s="36" t="str" cm="1">
        <f t="array" ref="AC3">IFERROR(INDEX(_xlfn.TEXTSPLIT(T3," "),,1),"")</f>
        <v/>
      </c>
      <c r="AD3" s="35" t="str">
        <f>IF(NOT(AC3=""),_xlfn.XLOOKUP(AC3,'weapon masteries'!$A$10:$A$20,'weapon masteries'!$B$10:$B$20,"",0),"")</f>
        <v/>
      </c>
    </row>
    <row r="4" spans="1:30" ht="13.5" customHeight="1" x14ac:dyDescent="0.3">
      <c r="A4" s="9" t="s">
        <v>8648</v>
      </c>
      <c r="B4" s="9" t="s">
        <v>9581</v>
      </c>
      <c r="C4" s="9" t="s">
        <v>350</v>
      </c>
      <c r="D4" s="9" t="s">
        <v>9536</v>
      </c>
      <c r="E4" s="9" t="s">
        <v>8653</v>
      </c>
      <c r="F4" s="9" t="s">
        <v>8650</v>
      </c>
      <c r="G4" s="9" t="s">
        <v>9689</v>
      </c>
      <c r="H4" s="9"/>
      <c r="I4" s="14"/>
      <c r="J4" s="13" t="str">
        <f t="shared" si="0"/>
        <v xml:space="preserve">Melee Weapon Attack: [ATK_MOD] to hit, reach 5 ft target, one target. Hit: [DAMAGE] bludgeoning damage. </v>
      </c>
      <c r="L4" s="8" t="str">
        <f t="shared" si="1"/>
        <v>Property: Two-Handed (This weapon requires two hands to use. This property is relevant only when you attack with the weapon, not when you simply hold it.)</v>
      </c>
      <c r="P4" s="35" t="str" cm="1">
        <f t="array" ref="P4">IFERROR(_xlfn.TEXTSPLIT(G4,", ",,TRUE),"")</f>
        <v>Two-Handed</v>
      </c>
      <c r="U4" s="36" t="str" cm="1">
        <f t="array" ref="U4">IFERROR(INDEX(_xlfn.TEXTSPLIT(P4," "),,1),"")</f>
        <v>Two-Handed</v>
      </c>
      <c r="V4" s="35" t="str">
        <f>IF(NOT(U4=""),_xlfn.XLOOKUP(U4,'weapon masteries'!$A$10:$A$19,'weapon masteries'!$B$10:$B$19,"",0),"")</f>
        <v>This weapon requires two hands to use. This property is relevant only when you attack with the weapon, not when you simply hold it.</v>
      </c>
      <c r="W4" s="36" t="str" cm="1">
        <f t="array" ref="W4">IFERROR(INDEX(_xlfn.TEXTSPLIT(Q4," "),,1),"")</f>
        <v/>
      </c>
      <c r="X4" s="35" t="str">
        <f>IF(NOT(W4=""),_xlfn.XLOOKUP(W4,'weapon masteries'!$A$10:$A$19,'weapon masteries'!$B$10:$B$19,"",0),"")</f>
        <v/>
      </c>
      <c r="Y4" s="36" t="str" cm="1">
        <f t="array" ref="Y4">IFERROR(INDEX(_xlfn.TEXTSPLIT(R4," "),,1),"")</f>
        <v/>
      </c>
      <c r="Z4" s="35" t="str">
        <f>IF(NOT(Y4=""),_xlfn.XLOOKUP(Y4,'weapon masteries'!$A$10:$A$19,'weapon masteries'!$B$10:$B$19,"",0),"")</f>
        <v/>
      </c>
      <c r="AA4" s="36" t="str" cm="1">
        <f t="array" ref="AA4">IFERROR(INDEX(_xlfn.TEXTSPLIT(S4," "),,1),"")</f>
        <v/>
      </c>
      <c r="AB4" s="35" t="str">
        <f>IF(NOT(AA4=""),_xlfn.XLOOKUP(AA4,'weapon masteries'!$A$10:$A$19,'weapon masteries'!$B$10:$B$19,"",0),"")</f>
        <v/>
      </c>
      <c r="AC4" s="36" t="str" cm="1">
        <f t="array" ref="AC4">IFERROR(INDEX(_xlfn.TEXTSPLIT(T4," "),,1),"")</f>
        <v/>
      </c>
      <c r="AD4" s="35" t="str">
        <f>IF(NOT(AC4=""),_xlfn.XLOOKUP(AC4,'weapon masteries'!$A$10:$A$20,'weapon masteries'!$B$10:$B$20,"",0),"")</f>
        <v/>
      </c>
    </row>
    <row r="5" spans="1:30" ht="13.5" customHeight="1" x14ac:dyDescent="0.3">
      <c r="A5" s="9" t="s">
        <v>8651</v>
      </c>
      <c r="B5" s="9" t="s">
        <v>9582</v>
      </c>
      <c r="C5" s="9" t="s">
        <v>9652</v>
      </c>
      <c r="D5" s="9" t="s">
        <v>9533</v>
      </c>
      <c r="E5" s="9" t="s">
        <v>8654</v>
      </c>
      <c r="F5" s="9" t="s">
        <v>8655</v>
      </c>
      <c r="G5" s="9" t="s">
        <v>9738</v>
      </c>
      <c r="H5" s="9"/>
      <c r="I5" s="14"/>
      <c r="J5" s="13" t="str">
        <f t="shared" si="0"/>
        <v xml:space="preserve">Melee or Ranged Weapon Attack: [ATK_MOD] to hit, reach 5 ft or range 20/60 ft, one target. Hit: [DAMAGE] slashing damage. </v>
      </c>
      <c r="L5" s="8" t="str">
        <f t="shared" si="1"/>
        <v>Properties: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P5" s="35" t="str" cm="1">
        <f t="array" ref="P5:Q5">IFERROR(_xlfn.TEXTSPLIT(G5,", ",,TRUE),"")</f>
        <v>Light</v>
      </c>
      <c r="Q5" s="35" t="str">
        <v>Thrown (20/60)</v>
      </c>
      <c r="U5" s="36" t="str" cm="1">
        <f t="array" ref="U5">IFERROR(INDEX(_xlfn.TEXTSPLIT(P5," "),,1),"")</f>
        <v>Light</v>
      </c>
      <c r="V5" s="35" t="str">
        <f>IF(NOT(U5=""),_xlfn.XLOOKUP(U5,'weapon masteries'!$A$10:$A$19,'weapon masteries'!$B$10:$B$19,"",0),"")</f>
        <v>A light weapon is small and easy to handle, making it ideal for use when fighting with two weapons.</v>
      </c>
      <c r="W5" s="36" t="str" cm="1">
        <f t="array" ref="W5">IFERROR(INDEX(_xlfn.TEXTSPLIT(Q5," "),,1),"")</f>
        <v>Thrown</v>
      </c>
      <c r="X5" s="35" t="str">
        <f>IF(NOT(W5=""),_xlfn.XLOOKUP(W5,'weapon masteries'!$A$10:$A$19,'weapon masteries'!$B$10:$B$19,"",0),"")</f>
        <v>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Y5" s="36" t="str" cm="1">
        <f t="array" ref="Y5">IFERROR(INDEX(_xlfn.TEXTSPLIT(R5," "),,1),"")</f>
        <v/>
      </c>
      <c r="Z5" s="35" t="str">
        <f>IF(NOT(Y5=""),_xlfn.XLOOKUP(Y5,'weapon masteries'!$A$10:$A$19,'weapon masteries'!$B$10:$B$19,"",0),"")</f>
        <v/>
      </c>
      <c r="AA5" s="36" t="str" cm="1">
        <f t="array" ref="AA5">IFERROR(INDEX(_xlfn.TEXTSPLIT(S5," "),,1),"")</f>
        <v/>
      </c>
      <c r="AB5" s="35" t="str">
        <f>IF(NOT(AA5=""),_xlfn.XLOOKUP(AA5,'weapon masteries'!$A$10:$A$19,'weapon masteries'!$B$10:$B$19,"",0),"")</f>
        <v/>
      </c>
      <c r="AC5" s="36" t="str" cm="1">
        <f t="array" ref="AC5">IFERROR(INDEX(_xlfn.TEXTSPLIT(T5," "),,1),"")</f>
        <v/>
      </c>
      <c r="AD5" s="35" t="str">
        <f>IF(NOT(AC5=""),_xlfn.XLOOKUP(AC5,'weapon masteries'!$A$10:$A$20,'weapon masteries'!$B$10:$B$20,"",0),"")</f>
        <v/>
      </c>
    </row>
    <row r="6" spans="1:30" ht="13.5" customHeight="1" x14ac:dyDescent="0.3">
      <c r="A6" s="9" t="s">
        <v>8651</v>
      </c>
      <c r="B6" s="9" t="s">
        <v>9583</v>
      </c>
      <c r="C6" s="9" t="s">
        <v>350</v>
      </c>
      <c r="D6" s="9" t="s">
        <v>9534</v>
      </c>
      <c r="E6" s="9" t="s">
        <v>8654</v>
      </c>
      <c r="F6" s="9" t="s">
        <v>8652</v>
      </c>
      <c r="G6" s="9" t="s">
        <v>9739</v>
      </c>
      <c r="H6" s="9"/>
      <c r="I6" s="14"/>
      <c r="J6" s="13" t="str">
        <f t="shared" si="0"/>
        <v xml:space="preserve">Melee or Ranged Weapon Attack: [ATK_MOD] to hit, reach 5 ft or range 30/120 ft, one target. Hit: [DAMAGE] piercing damage. </v>
      </c>
      <c r="L6" s="8" t="str">
        <f t="shared" si="1"/>
        <v>Property: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P6" s="35" t="str" cm="1">
        <f t="array" ref="P6">IFERROR(_xlfn.TEXTSPLIT(G6,", ",,TRUE),"")</f>
        <v>Thrown (30/120)</v>
      </c>
      <c r="U6" s="36" t="str" cm="1">
        <f t="array" ref="U6">IFERROR(INDEX(_xlfn.TEXTSPLIT(P6," "),,1),"")</f>
        <v>Thrown</v>
      </c>
      <c r="V6" s="35" t="str">
        <f>IF(NOT(U6=""),_xlfn.XLOOKUP(U6,'weapon masteries'!$A$10:$A$19,'weapon masteries'!$B$10:$B$19,"",0),"")</f>
        <v>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W6" s="36" t="str" cm="1">
        <f t="array" ref="W6">IFERROR(INDEX(_xlfn.TEXTSPLIT(Q6," "),,1),"")</f>
        <v/>
      </c>
      <c r="X6" s="35" t="str">
        <f>IF(NOT(W6=""),_xlfn.XLOOKUP(W6,'weapon masteries'!$A$10:$A$19,'weapon masteries'!$B$10:$B$19,"",0),"")</f>
        <v/>
      </c>
      <c r="Y6" s="36" t="str" cm="1">
        <f t="array" ref="Y6">IFERROR(INDEX(_xlfn.TEXTSPLIT(R6," "),,1),"")</f>
        <v/>
      </c>
      <c r="Z6" s="35" t="str">
        <f>IF(NOT(Y6=""),_xlfn.XLOOKUP(Y6,'weapon masteries'!$A$10:$A$19,'weapon masteries'!$B$10:$B$19,"",0),"")</f>
        <v/>
      </c>
      <c r="AA6" s="36" t="str" cm="1">
        <f t="array" ref="AA6">IFERROR(INDEX(_xlfn.TEXTSPLIT(S6," "),,1),"")</f>
        <v/>
      </c>
      <c r="AB6" s="35" t="str">
        <f>IF(NOT(AA6=""),_xlfn.XLOOKUP(AA6,'weapon masteries'!$A$10:$A$19,'weapon masteries'!$B$10:$B$19,"",0),"")</f>
        <v/>
      </c>
      <c r="AC6" s="36" t="str" cm="1">
        <f t="array" ref="AC6">IFERROR(INDEX(_xlfn.TEXTSPLIT(T6," "),,1),"")</f>
        <v/>
      </c>
      <c r="AD6" s="35" t="str">
        <f>IF(NOT(AC6=""),_xlfn.XLOOKUP(AC6,'weapon masteries'!$A$10:$A$20,'weapon masteries'!$B$10:$B$20,"",0),"")</f>
        <v/>
      </c>
    </row>
    <row r="7" spans="1:30" ht="13.5" customHeight="1" x14ac:dyDescent="0.3">
      <c r="A7" s="9" t="s">
        <v>8651</v>
      </c>
      <c r="B7" s="9" t="s">
        <v>9584</v>
      </c>
      <c r="C7" s="9" t="s">
        <v>9652</v>
      </c>
      <c r="D7" s="9" t="s">
        <v>9533</v>
      </c>
      <c r="E7" s="9" t="s">
        <v>8649</v>
      </c>
      <c r="F7" s="9" t="s">
        <v>8650</v>
      </c>
      <c r="G7" s="9" t="s">
        <v>9738</v>
      </c>
      <c r="H7" s="9"/>
      <c r="I7" s="14"/>
      <c r="J7" s="13" t="str">
        <f t="shared" si="0"/>
        <v xml:space="preserve">Melee or Ranged Weapon Attack: [ATK_MOD] to hit, reach 5 ft or range 20/60 ft, one target. Hit: [DAMAGE] bludgeoning damage. </v>
      </c>
      <c r="L7" s="8" t="str">
        <f t="shared" si="1"/>
        <v>Properties: Light (A light weapon is small and easy to handle, making it ideal for use when fighting with two weapons.),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P7" s="35" t="str" cm="1">
        <f t="array" ref="P7:Q7">IFERROR(_xlfn.TEXTSPLIT(G7,", ",,TRUE),"")</f>
        <v>Light</v>
      </c>
      <c r="Q7" s="35" t="str">
        <v>Thrown (20/60)</v>
      </c>
      <c r="U7" s="36" t="str" cm="1">
        <f t="array" ref="U7">IFERROR(INDEX(_xlfn.TEXTSPLIT(P7," "),,1),"")</f>
        <v>Light</v>
      </c>
      <c r="V7" s="35" t="str">
        <f>IF(NOT(U7=""),_xlfn.XLOOKUP(U7,'weapon masteries'!$A$10:$A$19,'weapon masteries'!$B$10:$B$19,"",0),"")</f>
        <v>A light weapon is small and easy to handle, making it ideal for use when fighting with two weapons.</v>
      </c>
      <c r="W7" s="36" t="str" cm="1">
        <f t="array" ref="W7">IFERROR(INDEX(_xlfn.TEXTSPLIT(Q7," "),,1),"")</f>
        <v>Thrown</v>
      </c>
      <c r="X7" s="35" t="str">
        <f>IF(NOT(W7=""),_xlfn.XLOOKUP(W7,'weapon masteries'!$A$10:$A$19,'weapon masteries'!$B$10:$B$19,"",0),"")</f>
        <v>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Y7" s="36" t="str" cm="1">
        <f t="array" ref="Y7">IFERROR(INDEX(_xlfn.TEXTSPLIT(R7," "),,1),"")</f>
        <v/>
      </c>
      <c r="Z7" s="35" t="str">
        <f>IF(NOT(Y7=""),_xlfn.XLOOKUP(Y7,'weapon masteries'!$A$10:$A$19,'weapon masteries'!$B$10:$B$19,"",0),"")</f>
        <v/>
      </c>
      <c r="AA7" s="36" t="str" cm="1">
        <f t="array" ref="AA7">IFERROR(INDEX(_xlfn.TEXTSPLIT(S7," "),,1),"")</f>
        <v/>
      </c>
      <c r="AB7" s="35" t="str">
        <f>IF(NOT(AA7=""),_xlfn.XLOOKUP(AA7,'weapon masteries'!$A$10:$A$19,'weapon masteries'!$B$10:$B$19,"",0),"")</f>
        <v/>
      </c>
      <c r="AC7" s="36" t="str" cm="1">
        <f t="array" ref="AC7">IFERROR(INDEX(_xlfn.TEXTSPLIT(T7," "),,1),"")</f>
        <v/>
      </c>
      <c r="AD7" s="35" t="str">
        <f>IF(NOT(AC7=""),_xlfn.XLOOKUP(AC7,'weapon masteries'!$A$10:$A$20,'weapon masteries'!$B$10:$B$20,"",0),"")</f>
        <v/>
      </c>
    </row>
    <row r="8" spans="1:30" ht="13.5" customHeight="1" x14ac:dyDescent="0.3">
      <c r="A8" s="9" t="s">
        <v>8648</v>
      </c>
      <c r="B8" s="9" t="s">
        <v>9585</v>
      </c>
      <c r="C8" s="9" t="s">
        <v>350</v>
      </c>
      <c r="D8" s="9" t="s">
        <v>9535</v>
      </c>
      <c r="E8" s="9" t="s">
        <v>8654</v>
      </c>
      <c r="F8" s="9" t="s">
        <v>8650</v>
      </c>
      <c r="G8" s="9"/>
      <c r="H8" s="9"/>
      <c r="I8" s="14"/>
      <c r="J8" s="13" t="str">
        <f t="shared" si="0"/>
        <v xml:space="preserve">Melee Weapon Attack: [ATK_MOD] to hit, reach 5 ft, one target. Hit: [DAMAGE] bludgeoning damage. </v>
      </c>
      <c r="L8" s="8" t="str">
        <f t="shared" si="1"/>
        <v/>
      </c>
      <c r="P8" s="35" t="str" cm="1">
        <f t="array" ref="P8">IFERROR(_xlfn.TEXTSPLIT(G8,", ",,TRUE),"")</f>
        <v/>
      </c>
      <c r="U8" s="36" t="str" cm="1">
        <f t="array" ref="U8">IFERROR(INDEX(_xlfn.TEXTSPLIT(P8," "),,1),"")</f>
        <v/>
      </c>
      <c r="V8" s="35" t="str">
        <f>IF(NOT(U8=""),_xlfn.XLOOKUP(U8,'weapon masteries'!$A$10:$A$19,'weapon masteries'!$B$10:$B$19,"",0),"")</f>
        <v/>
      </c>
      <c r="W8" s="36" t="str" cm="1">
        <f t="array" ref="W8">IFERROR(INDEX(_xlfn.TEXTSPLIT(Q8," "),,1),"")</f>
        <v/>
      </c>
      <c r="X8" s="35" t="str">
        <f>IF(NOT(W8=""),_xlfn.XLOOKUP(W8,'weapon masteries'!$A$10:$A$19,'weapon masteries'!$B$10:$B$19,"",0),"")</f>
        <v/>
      </c>
      <c r="Y8" s="36" t="str" cm="1">
        <f t="array" ref="Y8">IFERROR(INDEX(_xlfn.TEXTSPLIT(R8," "),,1),"")</f>
        <v/>
      </c>
      <c r="Z8" s="35" t="str">
        <f>IF(NOT(Y8=""),_xlfn.XLOOKUP(Y8,'weapon masteries'!$A$10:$A$19,'weapon masteries'!$B$10:$B$19,"",0),"")</f>
        <v/>
      </c>
      <c r="AA8" s="36" t="str" cm="1">
        <f t="array" ref="AA8">IFERROR(INDEX(_xlfn.TEXTSPLIT(S8," "),,1),"")</f>
        <v/>
      </c>
      <c r="AB8" s="35" t="str">
        <f>IF(NOT(AA8=""),_xlfn.XLOOKUP(AA8,'weapon masteries'!$A$10:$A$19,'weapon masteries'!$B$10:$B$19,"",0),"")</f>
        <v/>
      </c>
      <c r="AC8" s="36" t="str" cm="1">
        <f t="array" ref="AC8">IFERROR(INDEX(_xlfn.TEXTSPLIT(T8," "),,1),"")</f>
        <v/>
      </c>
      <c r="AD8" s="35" t="str">
        <f>IF(NOT(AC8=""),_xlfn.XLOOKUP(AC8,'weapon masteries'!$A$10:$A$20,'weapon masteries'!$B$10:$B$20,"",0),"")</f>
        <v/>
      </c>
    </row>
    <row r="9" spans="1:30" ht="13.5" customHeight="1" x14ac:dyDescent="0.3">
      <c r="A9" s="9" t="s">
        <v>8648</v>
      </c>
      <c r="B9" s="9" t="s">
        <v>9586</v>
      </c>
      <c r="C9" s="9" t="s">
        <v>350</v>
      </c>
      <c r="D9" s="9" t="s">
        <v>9535</v>
      </c>
      <c r="E9" s="9" t="s">
        <v>8654</v>
      </c>
      <c r="F9" s="9" t="s">
        <v>8650</v>
      </c>
      <c r="G9" s="9" t="s">
        <v>9722</v>
      </c>
      <c r="H9" s="9"/>
      <c r="I9" s="14"/>
      <c r="J9" s="13" t="str">
        <f t="shared" si="0"/>
        <v xml:space="preserve">Melee Weapon Attack: [ATK_MOD] to hit, reach 5 ft, one target. Hit: [DAMAGE] bludgeoning damage. </v>
      </c>
      <c r="L9" s="8" t="str">
        <f t="shared" si="1"/>
        <v>Property: Versatile (This weapon can be used with one or two hands. A damage value in parentheses appears with the property—the damage when the weapon is used with two hands to make a melee attack.)</v>
      </c>
      <c r="P9" s="35" t="str" cm="1">
        <f t="array" ref="P9">IFERROR(_xlfn.TEXTSPLIT(G9,", ",,TRUE),"")</f>
        <v>Versatile (1d8)</v>
      </c>
      <c r="U9" s="36" t="str" cm="1">
        <f t="array" ref="U9">IFERROR(INDEX(_xlfn.TEXTSPLIT(P9," "),,1),"")</f>
        <v>Versatile</v>
      </c>
      <c r="V9" s="35" t="str">
        <f>IF(NOT(U9=""),_xlfn.XLOOKUP(U9,'weapon masteries'!$A$10:$A$19,'weapon masteries'!$B$10:$B$19,"",0),"")</f>
        <v>This weapon can be used with one or two hands. A damage value in parentheses appears with the property—the damage when the weapon is used with two hands to make a melee attack.</v>
      </c>
      <c r="W9" s="36" t="str" cm="1">
        <f t="array" ref="W9">IFERROR(INDEX(_xlfn.TEXTSPLIT(Q9," "),,1),"")</f>
        <v/>
      </c>
      <c r="X9" s="35" t="str">
        <f>IF(NOT(W9=""),_xlfn.XLOOKUP(W9,'weapon masteries'!$A$10:$A$19,'weapon masteries'!$B$10:$B$19,"",0),"")</f>
        <v/>
      </c>
      <c r="Y9" s="36" t="str" cm="1">
        <f t="array" ref="Y9">IFERROR(INDEX(_xlfn.TEXTSPLIT(R9," "),,1),"")</f>
        <v/>
      </c>
      <c r="Z9" s="35" t="str">
        <f>IF(NOT(Y9=""),_xlfn.XLOOKUP(Y9,'weapon masteries'!$A$10:$A$19,'weapon masteries'!$B$10:$B$19,"",0),"")</f>
        <v/>
      </c>
      <c r="AA9" s="36" t="str" cm="1">
        <f t="array" ref="AA9">IFERROR(INDEX(_xlfn.TEXTSPLIT(S9," "),,1),"")</f>
        <v/>
      </c>
      <c r="AB9" s="35" t="str">
        <f>IF(NOT(AA9=""),_xlfn.XLOOKUP(AA9,'weapon masteries'!$A$10:$A$19,'weapon masteries'!$B$10:$B$19,"",0),"")</f>
        <v/>
      </c>
      <c r="AC9" s="36" t="str" cm="1">
        <f t="array" ref="AC9">IFERROR(INDEX(_xlfn.TEXTSPLIT(T9," "),,1),"")</f>
        <v/>
      </c>
      <c r="AD9" s="35" t="str">
        <f>IF(NOT(AC9=""),_xlfn.XLOOKUP(AC9,'weapon masteries'!$A$10:$A$20,'weapon masteries'!$B$10:$B$20,"",0),"")</f>
        <v/>
      </c>
    </row>
    <row r="10" spans="1:30" ht="13.5" customHeight="1" x14ac:dyDescent="0.3">
      <c r="A10" s="9" t="s">
        <v>8648</v>
      </c>
      <c r="B10" s="9" t="s">
        <v>9587</v>
      </c>
      <c r="C10" s="9" t="s">
        <v>9652</v>
      </c>
      <c r="D10" s="9" t="s">
        <v>9535</v>
      </c>
      <c r="E10" s="9" t="s">
        <v>8649</v>
      </c>
      <c r="F10" s="9" t="s">
        <v>8655</v>
      </c>
      <c r="G10" s="9" t="s">
        <v>544</v>
      </c>
      <c r="H10" s="9"/>
      <c r="I10" s="14"/>
      <c r="J10" s="13" t="str">
        <f t="shared" si="0"/>
        <v xml:space="preserve">Melee Weapon Attack: [ATK_MOD] to hit, reach 5 ft, one target. Hit: [DAMAGE] slashing damage. </v>
      </c>
      <c r="L10" s="8" t="str">
        <f t="shared" si="1"/>
        <v>Property: Light (A light weapon is small and easy to handle, making it ideal for use when fighting with two weapons.)</v>
      </c>
      <c r="P10" s="35" t="str" cm="1">
        <f t="array" ref="P10">IFERROR(_xlfn.TEXTSPLIT(G10,", ",,TRUE),"")</f>
        <v>Light</v>
      </c>
      <c r="U10" s="36" t="str" cm="1">
        <f t="array" ref="U10">IFERROR(INDEX(_xlfn.TEXTSPLIT(P10," "),,1),"")</f>
        <v>Light</v>
      </c>
      <c r="V10" s="35" t="str">
        <f>IF(NOT(U10=""),_xlfn.XLOOKUP(U10,'weapon masteries'!$A$10:$A$19,'weapon masteries'!$B$10:$B$19,"",0),"")</f>
        <v>A light weapon is small and easy to handle, making it ideal for use when fighting with two weapons.</v>
      </c>
      <c r="W10" s="36" t="str" cm="1">
        <f t="array" ref="W10">IFERROR(INDEX(_xlfn.TEXTSPLIT(Q10," "),,1),"")</f>
        <v/>
      </c>
      <c r="X10" s="35" t="str">
        <f>IF(NOT(W10=""),_xlfn.XLOOKUP(W10,'weapon masteries'!$A$10:$A$19,'weapon masteries'!$B$10:$B$19,"",0),"")</f>
        <v/>
      </c>
      <c r="Y10" s="36" t="str" cm="1">
        <f t="array" ref="Y10">IFERROR(INDEX(_xlfn.TEXTSPLIT(R10," "),,1),"")</f>
        <v/>
      </c>
      <c r="Z10" s="35" t="str">
        <f>IF(NOT(Y10=""),_xlfn.XLOOKUP(Y10,'weapon masteries'!$A$10:$A$19,'weapon masteries'!$B$10:$B$19,"",0),"")</f>
        <v/>
      </c>
      <c r="AA10" s="36" t="str" cm="1">
        <f t="array" ref="AA10">IFERROR(INDEX(_xlfn.TEXTSPLIT(S10," "),,1),"")</f>
        <v/>
      </c>
      <c r="AB10" s="35" t="str">
        <f>IF(NOT(AA10=""),_xlfn.XLOOKUP(AA10,'weapon masteries'!$A$10:$A$19,'weapon masteries'!$B$10:$B$19,"",0),"")</f>
        <v/>
      </c>
      <c r="AC10" s="36" t="str" cm="1">
        <f t="array" ref="AC10">IFERROR(INDEX(_xlfn.TEXTSPLIT(T10," "),,1),"")</f>
        <v/>
      </c>
      <c r="AD10" s="35" t="str">
        <f>IF(NOT(AC10=""),_xlfn.XLOOKUP(AC10,'weapon masteries'!$A$10:$A$20,'weapon masteries'!$B$10:$B$20,"",0),"")</f>
        <v/>
      </c>
    </row>
    <row r="11" spans="1:30" ht="13.5" customHeight="1" x14ac:dyDescent="0.3">
      <c r="A11" s="9" t="s">
        <v>8651</v>
      </c>
      <c r="B11" s="9" t="s">
        <v>9588</v>
      </c>
      <c r="C11" s="9" t="s">
        <v>350</v>
      </c>
      <c r="D11" s="9" t="s">
        <v>9533</v>
      </c>
      <c r="E11" s="9" t="s">
        <v>8654</v>
      </c>
      <c r="F11" s="9" t="s">
        <v>8652</v>
      </c>
      <c r="G11" s="9" t="s">
        <v>9741</v>
      </c>
      <c r="H11" s="9"/>
      <c r="I11" s="14"/>
      <c r="J11" s="13" t="str">
        <f t="shared" si="0"/>
        <v xml:space="preserve">Melee or Ranged Weapon Attack: [ATK_MOD] to hit, reach 5 ft or range 20/60 ft, one target. Hit: [DAMAGE] piercing damage. </v>
      </c>
      <c r="L11" s="8" t="str">
        <f t="shared" si="1"/>
        <v>Properties: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 Versatile (This weapon can be used with one or two hands. A damage value in parentheses appears with the property—the damage when the weapon is used with two hands to make a melee attack.)</v>
      </c>
      <c r="P11" s="35" t="str" cm="1">
        <f t="array" ref="P11:Q11">IFERROR(_xlfn.TEXTSPLIT(G11,", ",,TRUE),"")</f>
        <v>Thrown (20/60)</v>
      </c>
      <c r="Q11" s="35" t="str">
        <v>Versatile (1d8)</v>
      </c>
      <c r="U11" s="36" t="str" cm="1">
        <f t="array" ref="U11">IFERROR(INDEX(_xlfn.TEXTSPLIT(P11," "),,1),"")</f>
        <v>Thrown</v>
      </c>
      <c r="V11" s="35" t="str">
        <f>IF(NOT(U11=""),_xlfn.XLOOKUP(U11,'weapon masteries'!$A$10:$A$19,'weapon masteries'!$B$10:$B$19,"",0),"")</f>
        <v>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W11" s="36" t="str" cm="1">
        <f t="array" ref="W11">IFERROR(INDEX(_xlfn.TEXTSPLIT(Q11," "),,1),"")</f>
        <v>Versatile</v>
      </c>
      <c r="X11" s="35" t="str">
        <f>IF(NOT(W11=""),_xlfn.XLOOKUP(W11,'weapon masteries'!$A$10:$A$19,'weapon masteries'!$B$10:$B$19,"",0),"")</f>
        <v>This weapon can be used with one or two hands. A damage value in parentheses appears with the property—the damage when the weapon is used with two hands to make a melee attack.</v>
      </c>
      <c r="Y11" s="36" t="str" cm="1">
        <f t="array" ref="Y11">IFERROR(INDEX(_xlfn.TEXTSPLIT(R11," "),,1),"")</f>
        <v/>
      </c>
      <c r="Z11" s="35" t="str">
        <f>IF(NOT(Y11=""),_xlfn.XLOOKUP(Y11,'weapon masteries'!$A$10:$A$19,'weapon masteries'!$B$10:$B$19,"",0),"")</f>
        <v/>
      </c>
      <c r="AA11" s="36" t="str" cm="1">
        <f t="array" ref="AA11">IFERROR(INDEX(_xlfn.TEXTSPLIT(S11," "),,1),"")</f>
        <v/>
      </c>
      <c r="AB11" s="35" t="str">
        <f>IF(NOT(AA11=""),_xlfn.XLOOKUP(AA11,'weapon masteries'!$A$10:$A$19,'weapon masteries'!$B$10:$B$19,"",0),"")</f>
        <v/>
      </c>
      <c r="AC11" s="36" t="str" cm="1">
        <f t="array" ref="AC11">IFERROR(INDEX(_xlfn.TEXTSPLIT(T11," "),,1),"")</f>
        <v/>
      </c>
      <c r="AD11" s="35" t="str">
        <f>IF(NOT(AC11=""),_xlfn.XLOOKUP(AC11,'weapon masteries'!$A$10:$A$20,'weapon masteries'!$B$10:$B$20,"",0),"")</f>
        <v/>
      </c>
    </row>
    <row r="12" spans="1:30" ht="13.5" customHeight="1" x14ac:dyDescent="0.3">
      <c r="A12" s="9" t="s">
        <v>8656</v>
      </c>
      <c r="B12" s="9" t="s">
        <v>9589</v>
      </c>
      <c r="C12" s="9" t="s">
        <v>4117</v>
      </c>
      <c r="D12" s="9" t="s">
        <v>9537</v>
      </c>
      <c r="E12" s="9" t="s">
        <v>8653</v>
      </c>
      <c r="F12" s="9" t="s">
        <v>8652</v>
      </c>
      <c r="G12" s="9" t="s">
        <v>9746</v>
      </c>
      <c r="H12" s="9"/>
      <c r="I12" s="14"/>
      <c r="J12" s="13" t="str">
        <f t="shared" si="0"/>
        <v xml:space="preserve">Ranged Weapon Attack: [ATK_MOD] to hit, range 80/320 ft, one target. Hit: [DAMAGE] piercing damage. </v>
      </c>
      <c r="L12" s="8" t="str">
        <f t="shared" si="1"/>
        <v>Properties: Ammunition (You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 Loading (Because of the time required to load this weapon, you can fire only one piece of ammunition from it when you use an action, bonus action, or reaction to fire it, regardless of the number of attacks you can normally make.), This weapon requires two hands to use. This property is relevant only when you attack with the weapon, not when you simply hold it. ()</v>
      </c>
      <c r="P12" s="35" t="str" cm="1">
        <f t="array" ref="P12:S12">IFERROR(_xlfn.TEXTSPLIT(G12,", ",,TRUE),"")</f>
        <v>Ammunition</v>
      </c>
      <c r="Q12" s="35" t="str">
        <v>Range (80/320)</v>
      </c>
      <c r="R12" s="35" t="str">
        <v>Loading</v>
      </c>
      <c r="S12" s="35" t="str">
        <v>Two-Handed</v>
      </c>
      <c r="U12" s="36" t="str" cm="1">
        <f t="array" ref="U12">IFERROR(INDEX(_xlfn.TEXTSPLIT(P12," "),,1),"")</f>
        <v>Ammunition</v>
      </c>
      <c r="V12" s="35" t="str">
        <f>IF(NOT(U12=""),_xlfn.XLOOKUP(U12,'weapon masteries'!$A$10:$A$19,'weapon masteries'!$B$10:$B$19,"",0),"")</f>
        <v>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v>
      </c>
      <c r="W12" s="36" t="str" cm="1">
        <f t="array" ref="W12">IFERROR(INDEX(_xlfn.TEXTSPLIT(Q12," "),,1),"")</f>
        <v>Range</v>
      </c>
      <c r="X12" s="35" t="str">
        <f>IF(NOT(W12=""),_xlfn.XLOOKUP(W12,'weapon masteries'!$A$10:$A$19,'weapon masteries'!$B$10:$B$19,"",0),"")</f>
        <v>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Y12" s="36" t="str" cm="1">
        <f t="array" ref="Y12">IFERROR(INDEX(_xlfn.TEXTSPLIT(R12," "),,1),"")</f>
        <v>Loading</v>
      </c>
      <c r="Z12" s="35" t="str">
        <f>IF(NOT(Y12=""),_xlfn.XLOOKUP(Y12,'weapon masteries'!$A$10:$A$19,'weapon masteries'!$B$10:$B$19,"",0),"")</f>
        <v>Because of the time required to load this weapon, you can fire only one piece of ammunition from it when you use an action, bonus action, or reaction to fire it, regardless of the number of attacks you can normally make.</v>
      </c>
      <c r="AA12" s="36" t="str" cm="1">
        <f t="array" ref="AA12">IFERROR(INDEX(_xlfn.TEXTSPLIT(S12," "),,1),"")</f>
        <v>Two-Handed</v>
      </c>
      <c r="AB12" s="35" t="str">
        <f>IF(NOT(AA12=""),_xlfn.XLOOKUP(AA12,'weapon masteries'!$A$10:$A$19,'weapon masteries'!$B$10:$B$19,"",0),"")</f>
        <v>This weapon requires two hands to use. This property is relevant only when you attack with the weapon, not when you simply hold it.</v>
      </c>
      <c r="AC12" s="36" t="str" cm="1">
        <f t="array" ref="AC12">IFERROR(INDEX(_xlfn.TEXTSPLIT(T12," "),,1),"")</f>
        <v/>
      </c>
      <c r="AD12" s="35" t="str">
        <f>IF(NOT(AC12=""),_xlfn.XLOOKUP(AC12,'weapon masteries'!$A$10:$A$20,'weapon masteries'!$B$10:$B$20,"",0),"")</f>
        <v/>
      </c>
    </row>
    <row r="13" spans="1:30" ht="13.5" customHeight="1" x14ac:dyDescent="0.3">
      <c r="A13" s="9" t="s">
        <v>8656</v>
      </c>
      <c r="B13" s="9" t="s">
        <v>9590</v>
      </c>
      <c r="C13" s="9" t="s">
        <v>4117</v>
      </c>
      <c r="D13" s="9" t="s">
        <v>9538</v>
      </c>
      <c r="E13" s="9" t="s">
        <v>8649</v>
      </c>
      <c r="F13" s="9" t="s">
        <v>8652</v>
      </c>
      <c r="G13" s="9" t="s">
        <v>9740</v>
      </c>
      <c r="H13" s="9"/>
      <c r="I13" s="14"/>
      <c r="J13" s="13" t="str">
        <f t="shared" si="0"/>
        <v xml:space="preserve">Ranged Weapon Attack: [ATK_MOD] to hit, range 20/60 ft, one target. Hit: [DAMAGE] piercing damage. </v>
      </c>
      <c r="L13" s="8" t="str">
        <f t="shared" si="1"/>
        <v>Properties: Finesse (When making an attack with a finesse weapon, you use your choice of your Strength or Dexterity modifier for the attack and damage rolls. You must use the same modifier for both rolls.),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P13" s="35" t="str" cm="1">
        <f t="array" ref="P13:Q13">IFERROR(_xlfn.TEXTSPLIT(G13,", ",,TRUE),"")</f>
        <v>Finesse</v>
      </c>
      <c r="Q13" s="35" t="str">
        <v>Thrown (20/60)</v>
      </c>
      <c r="U13" s="36" t="str" cm="1">
        <f t="array" ref="U13">IFERROR(INDEX(_xlfn.TEXTSPLIT(P13," "),,1),"")</f>
        <v>Finesse</v>
      </c>
      <c r="V13" s="35" t="str">
        <f>IF(NOT(U13=""),_xlfn.XLOOKUP(U13,'weapon masteries'!$A$10:$A$19,'weapon masteries'!$B$10:$B$19,"",0),"")</f>
        <v>When making an attack with a finesse weapon, you use your choice of your Strength or Dexterity modifier for the attack and damage rolls. You must use the same modifier for both rolls.</v>
      </c>
      <c r="W13" s="36" t="str" cm="1">
        <f t="array" ref="W13">IFERROR(INDEX(_xlfn.TEXTSPLIT(Q13," "),,1),"")</f>
        <v>Thrown</v>
      </c>
      <c r="X13" s="35" t="str">
        <f>IF(NOT(W13=""),_xlfn.XLOOKUP(W13,'weapon masteries'!$A$10:$A$19,'weapon masteries'!$B$10:$B$19,"",0),"")</f>
        <v>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Y13" s="36" t="str" cm="1">
        <f t="array" ref="Y13">IFERROR(INDEX(_xlfn.TEXTSPLIT(R13," "),,1),"")</f>
        <v/>
      </c>
      <c r="Z13" s="35" t="str">
        <f>IF(NOT(Y13=""),_xlfn.XLOOKUP(Y13,'weapon masteries'!$A$10:$A$19,'weapon masteries'!$B$10:$B$19,"",0),"")</f>
        <v/>
      </c>
      <c r="AA13" s="36" t="str" cm="1">
        <f t="array" ref="AA13">IFERROR(INDEX(_xlfn.TEXTSPLIT(S13," "),,1),"")</f>
        <v/>
      </c>
      <c r="AB13" s="35" t="str">
        <f>IF(NOT(AA13=""),_xlfn.XLOOKUP(AA13,'weapon masteries'!$A$10:$A$19,'weapon masteries'!$B$10:$B$19,"",0),"")</f>
        <v/>
      </c>
      <c r="AC13" s="36" t="str" cm="1">
        <f t="array" ref="AC13">IFERROR(INDEX(_xlfn.TEXTSPLIT(T13," "),,1),"")</f>
        <v/>
      </c>
      <c r="AD13" s="35" t="str">
        <f>IF(NOT(AC13=""),_xlfn.XLOOKUP(AC13,'weapon masteries'!$A$10:$A$20,'weapon masteries'!$B$10:$B$20,"",0),"")</f>
        <v/>
      </c>
    </row>
    <row r="14" spans="1:30" ht="13.5" customHeight="1" x14ac:dyDescent="0.3">
      <c r="A14" s="9" t="s">
        <v>8656</v>
      </c>
      <c r="B14" s="9" t="s">
        <v>9591</v>
      </c>
      <c r="C14" s="9" t="s">
        <v>4117</v>
      </c>
      <c r="D14" s="9" t="s">
        <v>9537</v>
      </c>
      <c r="E14" s="9" t="s">
        <v>8654</v>
      </c>
      <c r="F14" s="9" t="s">
        <v>8652</v>
      </c>
      <c r="G14" s="9" t="s">
        <v>9742</v>
      </c>
      <c r="H14" s="9"/>
      <c r="I14" s="14"/>
      <c r="J14" s="13" t="str">
        <f t="shared" si="0"/>
        <v xml:space="preserve">Ranged Weapon Attack: [ATK_MOD] to hit, range 80/320 ft, one target. Hit: [DAMAGE] piercing damage. </v>
      </c>
      <c r="L14" s="8" t="str">
        <f t="shared" si="1"/>
        <v>Properties: Ammunition (You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 Two-Handed (This weapon requires two hands to use. This property is relevant only when you attack with the weapon, not when you simply hold it.)</v>
      </c>
      <c r="P14" s="35" t="str" cm="1">
        <f t="array" ref="P14:R14">IFERROR(_xlfn.TEXTSPLIT(G14,", ",,TRUE),"")</f>
        <v>Ammunition</v>
      </c>
      <c r="Q14" s="35" t="str">
        <v>Range (80/320)</v>
      </c>
      <c r="R14" s="35" t="str">
        <v>Two-Handed</v>
      </c>
      <c r="U14" s="36" t="str" cm="1">
        <f t="array" ref="U14">IFERROR(INDEX(_xlfn.TEXTSPLIT(P14," "),,1),"")</f>
        <v>Ammunition</v>
      </c>
      <c r="V14" s="35" t="str">
        <f>IF(NOT(U14=""),_xlfn.XLOOKUP(U14,'weapon masteries'!$A$10:$A$19,'weapon masteries'!$B$10:$B$19,"",0),"")</f>
        <v>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v>
      </c>
      <c r="W14" s="36" t="str" cm="1">
        <f t="array" ref="W14">IFERROR(INDEX(_xlfn.TEXTSPLIT(Q14," "),,1),"")</f>
        <v>Range</v>
      </c>
      <c r="X14" s="35" t="str">
        <f>IF(NOT(W14=""),_xlfn.XLOOKUP(W14,'weapon masteries'!$A$10:$A$19,'weapon masteries'!$B$10:$B$19,"",0),"")</f>
        <v>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Y14" s="36" t="str" cm="1">
        <f t="array" ref="Y14">IFERROR(INDEX(_xlfn.TEXTSPLIT(R14," "),,1),"")</f>
        <v>Two-Handed</v>
      </c>
      <c r="Z14" s="35" t="str">
        <f>IF(NOT(Y14=""),_xlfn.XLOOKUP(Y14,'weapon masteries'!$A$10:$A$19,'weapon masteries'!$B$10:$B$19,"",0),"")</f>
        <v>This weapon requires two hands to use. This property is relevant only when you attack with the weapon, not when you simply hold it.</v>
      </c>
      <c r="AA14" s="36" t="str" cm="1">
        <f t="array" ref="AA14">IFERROR(INDEX(_xlfn.TEXTSPLIT(S14," "),,1),"")</f>
        <v/>
      </c>
      <c r="AB14" s="35" t="str">
        <f>IF(NOT(AA14=""),_xlfn.XLOOKUP(AA14,'weapon masteries'!$A$10:$A$19,'weapon masteries'!$B$10:$B$19,"",0),"")</f>
        <v/>
      </c>
      <c r="AC14" s="36" t="str" cm="1">
        <f t="array" ref="AC14">IFERROR(INDEX(_xlfn.TEXTSPLIT(T14," "),,1),"")</f>
        <v/>
      </c>
      <c r="AD14" s="35" t="str">
        <f>IF(NOT(AC14=""),_xlfn.XLOOKUP(AC14,'weapon masteries'!$A$10:$A$20,'weapon masteries'!$B$10:$B$20,"",0),"")</f>
        <v/>
      </c>
    </row>
    <row r="15" spans="1:30" ht="13.5" customHeight="1" x14ac:dyDescent="0.3">
      <c r="A15" s="9" t="s">
        <v>8656</v>
      </c>
      <c r="B15" s="9" t="s">
        <v>9592</v>
      </c>
      <c r="C15" s="9" t="s">
        <v>4117</v>
      </c>
      <c r="D15" s="9" t="s">
        <v>9539</v>
      </c>
      <c r="E15" s="9" t="s">
        <v>8649</v>
      </c>
      <c r="F15" s="9" t="s">
        <v>8650</v>
      </c>
      <c r="G15" s="9" t="s">
        <v>9743</v>
      </c>
      <c r="H15" s="9"/>
      <c r="I15" s="14"/>
      <c r="J15" s="13" t="str">
        <f t="shared" si="0"/>
        <v xml:space="preserve">Ranged Weapon Attack: [ATK_MOD] to hit, range 30/120 ft, one target. Hit: [DAMAGE] bludgeoning damage. </v>
      </c>
      <c r="L15" s="8" t="str">
        <f t="shared" si="1"/>
        <v>Properties: Ammunition (You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P15" s="35" t="str" cm="1">
        <f t="array" ref="P15:Q15">IFERROR(_xlfn.TEXTSPLIT(G15,", ",,TRUE),"")</f>
        <v>Ammunition</v>
      </c>
      <c r="Q15" s="35" t="str">
        <v>Range (30/120)</v>
      </c>
      <c r="U15" s="36" t="str" cm="1">
        <f t="array" ref="U15">IFERROR(INDEX(_xlfn.TEXTSPLIT(P15," "),,1),"")</f>
        <v>Ammunition</v>
      </c>
      <c r="V15" s="35" t="str">
        <f>IF(NOT(U15=""),_xlfn.XLOOKUP(U15,'weapon masteries'!$A$10:$A$19,'weapon masteries'!$B$10:$B$19,"",0),"")</f>
        <v>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v>
      </c>
      <c r="W15" s="36" t="str" cm="1">
        <f t="array" ref="W15">IFERROR(INDEX(_xlfn.TEXTSPLIT(Q15," "),,1),"")</f>
        <v>Range</v>
      </c>
      <c r="X15" s="35" t="str">
        <f>IF(NOT(W15=""),_xlfn.XLOOKUP(W15,'weapon masteries'!$A$10:$A$19,'weapon masteries'!$B$10:$B$19,"",0),"")</f>
        <v>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Y15" s="36" t="str" cm="1">
        <f t="array" ref="Y15">IFERROR(INDEX(_xlfn.TEXTSPLIT(R15," "),,1),"")</f>
        <v/>
      </c>
      <c r="Z15" s="35" t="str">
        <f>IF(NOT(Y15=""),_xlfn.XLOOKUP(Y15,'weapon masteries'!$A$10:$A$19,'weapon masteries'!$B$10:$B$19,"",0),"")</f>
        <v/>
      </c>
      <c r="AA15" s="36" t="str" cm="1">
        <f t="array" ref="AA15">IFERROR(INDEX(_xlfn.TEXTSPLIT(S15," "),,1),"")</f>
        <v/>
      </c>
      <c r="AB15" s="35" t="str">
        <f>IF(NOT(AA15=""),_xlfn.XLOOKUP(AA15,'weapon masteries'!$A$10:$A$19,'weapon masteries'!$B$10:$B$19,"",0),"")</f>
        <v/>
      </c>
      <c r="AC15" s="36" t="str" cm="1">
        <f t="array" ref="AC15">IFERROR(INDEX(_xlfn.TEXTSPLIT(T15," "),,1),"")</f>
        <v/>
      </c>
      <c r="AD15" s="35" t="str">
        <f>IF(NOT(AC15=""),_xlfn.XLOOKUP(AC15,'weapon masteries'!$A$10:$A$20,'weapon masteries'!$B$10:$B$20,"",0),"")</f>
        <v/>
      </c>
    </row>
    <row r="16" spans="1:30" ht="13.5" customHeight="1" x14ac:dyDescent="0.3">
      <c r="A16" s="9" t="s">
        <v>8648</v>
      </c>
      <c r="B16" s="9" t="s">
        <v>9593</v>
      </c>
      <c r="C16" s="9" t="s">
        <v>350</v>
      </c>
      <c r="D16" s="9" t="s">
        <v>9535</v>
      </c>
      <c r="E16" s="9" t="s">
        <v>8653</v>
      </c>
      <c r="F16" s="9" t="s">
        <v>8655</v>
      </c>
      <c r="G16" s="9" t="s">
        <v>9657</v>
      </c>
      <c r="H16" s="9"/>
      <c r="I16" s="14"/>
      <c r="J16" s="13" t="str">
        <f t="shared" si="0"/>
        <v xml:space="preserve">Melee Weapon Attack: [ATK_MOD] to hit, reach 5 ft, one target. Hit: [DAMAGE] slashing damage. </v>
      </c>
      <c r="L16" s="8" t="str">
        <f t="shared" si="1"/>
        <v>Property: Versatile (This weapon can be used with one or two hands. A damage value in parentheses appears with the property—the damage when the weapon is used with two hands to make a melee attack.)</v>
      </c>
      <c r="P16" s="35" t="str" cm="1">
        <f t="array" ref="P16">IFERROR(_xlfn.TEXTSPLIT(G16,", ",,TRUE),"")</f>
        <v>Versatile (1d10)</v>
      </c>
      <c r="U16" s="36" t="str" cm="1">
        <f t="array" ref="U16">IFERROR(INDEX(_xlfn.TEXTSPLIT(P16," "),,1),"")</f>
        <v>Versatile</v>
      </c>
      <c r="V16" s="35" t="str">
        <f>IF(NOT(U16=""),_xlfn.XLOOKUP(U16,'weapon masteries'!$A$10:$A$19,'weapon masteries'!$B$10:$B$19,"",0),"")</f>
        <v>This weapon can be used with one or two hands. A damage value in parentheses appears with the property—the damage when the weapon is used with two hands to make a melee attack.</v>
      </c>
      <c r="W16" s="36" t="str" cm="1">
        <f t="array" ref="W16">IFERROR(INDEX(_xlfn.TEXTSPLIT(Q16," "),,1),"")</f>
        <v/>
      </c>
      <c r="X16" s="35" t="str">
        <f>IF(NOT(W16=""),_xlfn.XLOOKUP(W16,'weapon masteries'!$A$10:$A$19,'weapon masteries'!$B$10:$B$19,"",0),"")</f>
        <v/>
      </c>
      <c r="Y16" s="36" t="str" cm="1">
        <f t="array" ref="Y16">IFERROR(INDEX(_xlfn.TEXTSPLIT(R16," "),,1),"")</f>
        <v/>
      </c>
      <c r="Z16" s="35" t="str">
        <f>IF(NOT(Y16=""),_xlfn.XLOOKUP(Y16,'weapon masteries'!$A$10:$A$19,'weapon masteries'!$B$10:$B$19,"",0),"")</f>
        <v/>
      </c>
      <c r="AA16" s="36" t="str" cm="1">
        <f t="array" ref="AA16">IFERROR(INDEX(_xlfn.TEXTSPLIT(S16," "),,1),"")</f>
        <v/>
      </c>
      <c r="AB16" s="35" t="str">
        <f>IF(NOT(AA16=""),_xlfn.XLOOKUP(AA16,'weapon masteries'!$A$10:$A$19,'weapon masteries'!$B$10:$B$19,"",0),"")</f>
        <v/>
      </c>
      <c r="AC16" s="36" t="str" cm="1">
        <f t="array" ref="AC16">IFERROR(INDEX(_xlfn.TEXTSPLIT(T16," "),,1),"")</f>
        <v/>
      </c>
      <c r="AD16" s="35" t="str">
        <f>IF(NOT(AC16=""),_xlfn.XLOOKUP(AC16,'weapon masteries'!$A$10:$A$20,'weapon masteries'!$B$10:$B$20,"",0),"")</f>
        <v/>
      </c>
    </row>
    <row r="17" spans="1:30" ht="13.5" customHeight="1" x14ac:dyDescent="0.3">
      <c r="A17" s="9" t="s">
        <v>8648</v>
      </c>
      <c r="B17" s="9" t="s">
        <v>9594</v>
      </c>
      <c r="C17" s="9" t="s">
        <v>350</v>
      </c>
      <c r="D17" s="9" t="s">
        <v>9535</v>
      </c>
      <c r="E17" s="9" t="s">
        <v>8653</v>
      </c>
      <c r="F17" s="9" t="s">
        <v>8650</v>
      </c>
      <c r="G17" s="9"/>
      <c r="H17" s="9"/>
      <c r="I17" s="14"/>
      <c r="J17" s="13" t="str">
        <f t="shared" si="0"/>
        <v xml:space="preserve">Melee Weapon Attack: [ATK_MOD] to hit, reach 5 ft, one target. Hit: [DAMAGE] bludgeoning damage. </v>
      </c>
      <c r="L17" s="8" t="str">
        <f t="shared" si="1"/>
        <v/>
      </c>
      <c r="P17" s="35" t="str" cm="1">
        <f t="array" ref="P17">IFERROR(_xlfn.TEXTSPLIT(G17,", ",,TRUE),"")</f>
        <v/>
      </c>
      <c r="U17" s="36" t="str" cm="1">
        <f t="array" ref="U17">IFERROR(INDEX(_xlfn.TEXTSPLIT(P17," "),,1),"")</f>
        <v/>
      </c>
      <c r="V17" s="35" t="str">
        <f>IF(NOT(U17=""),_xlfn.XLOOKUP(U17,'weapon masteries'!$A$10:$A$19,'weapon masteries'!$B$10:$B$19,"",0),"")</f>
        <v/>
      </c>
      <c r="W17" s="36" t="str" cm="1">
        <f t="array" ref="W17">IFERROR(INDEX(_xlfn.TEXTSPLIT(Q17," "),,1),"")</f>
        <v/>
      </c>
      <c r="X17" s="35" t="str">
        <f>IF(NOT(W17=""),_xlfn.XLOOKUP(W17,'weapon masteries'!$A$10:$A$19,'weapon masteries'!$B$10:$B$19,"",0),"")</f>
        <v/>
      </c>
      <c r="Y17" s="36" t="str" cm="1">
        <f t="array" ref="Y17">IFERROR(INDEX(_xlfn.TEXTSPLIT(R17," "),,1),"")</f>
        <v/>
      </c>
      <c r="Z17" s="35" t="str">
        <f>IF(NOT(Y17=""),_xlfn.XLOOKUP(Y17,'weapon masteries'!$A$10:$A$19,'weapon masteries'!$B$10:$B$19,"",0),"")</f>
        <v/>
      </c>
      <c r="AA17" s="36" t="str" cm="1">
        <f t="array" ref="AA17">IFERROR(INDEX(_xlfn.TEXTSPLIT(S17," "),,1),"")</f>
        <v/>
      </c>
      <c r="AB17" s="35" t="str">
        <f>IF(NOT(AA17=""),_xlfn.XLOOKUP(AA17,'weapon masteries'!$A$10:$A$19,'weapon masteries'!$B$10:$B$19,"",0),"")</f>
        <v/>
      </c>
      <c r="AC17" s="36" t="str" cm="1">
        <f t="array" ref="AC17">IFERROR(INDEX(_xlfn.TEXTSPLIT(T17," "),,1),"")</f>
        <v/>
      </c>
      <c r="AD17" s="35" t="str">
        <f>IF(NOT(AC17=""),_xlfn.XLOOKUP(AC17,'weapon masteries'!$A$10:$A$20,'weapon masteries'!$B$10:$B$20,"",0),"")</f>
        <v/>
      </c>
    </row>
    <row r="18" spans="1:30" ht="13.5" customHeight="1" x14ac:dyDescent="0.3">
      <c r="A18" s="9" t="s">
        <v>8648</v>
      </c>
      <c r="B18" s="9" t="s">
        <v>9595</v>
      </c>
      <c r="C18" s="9" t="s">
        <v>350</v>
      </c>
      <c r="D18" s="9" t="s">
        <v>9540</v>
      </c>
      <c r="E18" s="9" t="s">
        <v>8657</v>
      </c>
      <c r="F18" s="9" t="s">
        <v>8655</v>
      </c>
      <c r="G18" s="9" t="s">
        <v>9658</v>
      </c>
      <c r="H18" s="9"/>
      <c r="I18" s="14"/>
      <c r="J18" s="13" t="str">
        <f t="shared" si="0"/>
        <v xml:space="preserve">Melee Weapon Attack: [ATK_MOD] to hit, reach 10 ft, one target. Hit: [DAMAGE] slashing damage. </v>
      </c>
      <c r="L18" s="8" t="str">
        <f t="shared" si="1"/>
        <v>Properties: Heavy (Creatures that are Small or Tiny have disadvantage on attack rolls with heavy weapons. A heavy weapon's size and bulk make it too large for a Small or Tiny creature to use effectively.), Reach (This weapon adds 5 feet to your reach when you attack with it. This property also determines your reach for opportunity attacks with a reach weapon.), Two-Handed (This weapon requires two hands to use. This property is relevant only when you attack with the weapon, not when you simply hold it.)</v>
      </c>
      <c r="P18" s="35" t="str" cm="1">
        <f t="array" ref="P18:R18">IFERROR(_xlfn.TEXTSPLIT(G18,", ",,TRUE),"")</f>
        <v>Heavy</v>
      </c>
      <c r="Q18" s="35" t="str">
        <v>Reach</v>
      </c>
      <c r="R18" s="35" t="str">
        <v>Two-Handed</v>
      </c>
      <c r="U18" s="36" t="str" cm="1">
        <f t="array" ref="U18">IFERROR(INDEX(_xlfn.TEXTSPLIT(P18," "),,1),"")</f>
        <v>Heavy</v>
      </c>
      <c r="V18" s="35" t="str">
        <f>IF(NOT(U18=""),_xlfn.XLOOKUP(U18,'weapon masteries'!$A$10:$A$19,'weapon masteries'!$B$10:$B$19,"",0),"")</f>
        <v>Creatures that are Small or Tiny have disadvantage on attack rolls with heavy weapons. A heavy weapon's size and bulk make it too large for a Small or Tiny creature to use effectively.</v>
      </c>
      <c r="W18" s="36" t="str" cm="1">
        <f t="array" ref="W18">IFERROR(INDEX(_xlfn.TEXTSPLIT(Q18," "),,1),"")</f>
        <v>Reach</v>
      </c>
      <c r="X18" s="35" t="str">
        <f>IF(NOT(W18=""),_xlfn.XLOOKUP(W18,'weapon masteries'!$A$10:$A$19,'weapon masteries'!$B$10:$B$19,"",0),"")</f>
        <v>This weapon adds 5 feet to your reach when you attack with it. This property also determines your reach for opportunity attacks with a reach weapon.</v>
      </c>
      <c r="Y18" s="36" t="str" cm="1">
        <f t="array" ref="Y18">IFERROR(INDEX(_xlfn.TEXTSPLIT(R18," "),,1),"")</f>
        <v>Two-Handed</v>
      </c>
      <c r="Z18" s="35" t="str">
        <f>IF(NOT(Y18=""),_xlfn.XLOOKUP(Y18,'weapon masteries'!$A$10:$A$19,'weapon masteries'!$B$10:$B$19,"",0),"")</f>
        <v>This weapon requires two hands to use. This property is relevant only when you attack with the weapon, not when you simply hold it.</v>
      </c>
      <c r="AA18" s="36" t="str" cm="1">
        <f t="array" ref="AA18">IFERROR(INDEX(_xlfn.TEXTSPLIT(S18," "),,1),"")</f>
        <v/>
      </c>
      <c r="AB18" s="35" t="str">
        <f>IF(NOT(AA18=""),_xlfn.XLOOKUP(AA18,'weapon masteries'!$A$10:$A$19,'weapon masteries'!$B$10:$B$19,"",0),"")</f>
        <v/>
      </c>
      <c r="AC18" s="36" t="str" cm="1">
        <f t="array" ref="AC18">IFERROR(INDEX(_xlfn.TEXTSPLIT(T18," "),,1),"")</f>
        <v/>
      </c>
      <c r="AD18" s="35" t="str">
        <f>IF(NOT(AC18=""),_xlfn.XLOOKUP(AC18,'weapon masteries'!$A$10:$A$20,'weapon masteries'!$B$10:$B$20,"",0),"")</f>
        <v/>
      </c>
    </row>
    <row r="19" spans="1:30" ht="13.5" customHeight="1" x14ac:dyDescent="0.3">
      <c r="A19" s="9" t="s">
        <v>8648</v>
      </c>
      <c r="B19" s="9" t="s">
        <v>9596</v>
      </c>
      <c r="C19" s="9" t="s">
        <v>350</v>
      </c>
      <c r="D19" s="9" t="s">
        <v>9535</v>
      </c>
      <c r="E19" s="9" t="s">
        <v>8658</v>
      </c>
      <c r="F19" s="9" t="s">
        <v>8655</v>
      </c>
      <c r="G19" s="9" t="s">
        <v>9660</v>
      </c>
      <c r="H19" s="9"/>
      <c r="I19" s="14"/>
      <c r="J19" s="13" t="str">
        <f t="shared" si="0"/>
        <v xml:space="preserve">Melee Weapon Attack: [ATK_MOD] to hit, reach 5 ft, one target. Hit: [DAMAGE] slashing damage. </v>
      </c>
      <c r="L19" s="8" t="str">
        <f t="shared" si="1"/>
        <v>Properties: Heavy (Creatures that are Small or Tiny have disadvantage on attack rolls with heavy weapons. A heavy weapon's size and bulk make it too large for a Small or Tiny creature to use effectively.), Two-Handed (This weapon requires two hands to use. This property is relevant only when you attack with the weapon, not when you simply hold it.)</v>
      </c>
      <c r="P19" s="35" t="str" cm="1">
        <f t="array" ref="P19:Q19">IFERROR(_xlfn.TEXTSPLIT(G19,", ",,TRUE),"")</f>
        <v>Heavy</v>
      </c>
      <c r="Q19" s="35" t="str">
        <v>Two-Handed</v>
      </c>
      <c r="U19" s="36" t="str" cm="1">
        <f t="array" ref="U19">IFERROR(INDEX(_xlfn.TEXTSPLIT(P19," "),,1),"")</f>
        <v>Heavy</v>
      </c>
      <c r="V19" s="35" t="str">
        <f>IF(NOT(U19=""),_xlfn.XLOOKUP(U19,'weapon masteries'!$A$10:$A$19,'weapon masteries'!$B$10:$B$19,"",0),"")</f>
        <v>Creatures that are Small or Tiny have disadvantage on attack rolls with heavy weapons. A heavy weapon's size and bulk make it too large for a Small or Tiny creature to use effectively.</v>
      </c>
      <c r="W19" s="36" t="str" cm="1">
        <f t="array" ref="W19">IFERROR(INDEX(_xlfn.TEXTSPLIT(Q19," "),,1),"")</f>
        <v>Two-Handed</v>
      </c>
      <c r="X19" s="35" t="str">
        <f>IF(NOT(W19=""),_xlfn.XLOOKUP(W19,'weapon masteries'!$A$10:$A$19,'weapon masteries'!$B$10:$B$19,"",0),"")</f>
        <v>This weapon requires two hands to use. This property is relevant only when you attack with the weapon, not when you simply hold it.</v>
      </c>
      <c r="Y19" s="36" t="str" cm="1">
        <f t="array" ref="Y19">IFERROR(INDEX(_xlfn.TEXTSPLIT(R19," "),,1),"")</f>
        <v/>
      </c>
      <c r="Z19" s="35" t="str">
        <f>IF(NOT(Y19=""),_xlfn.XLOOKUP(Y19,'weapon masteries'!$A$10:$A$19,'weapon masteries'!$B$10:$B$19,"",0),"")</f>
        <v/>
      </c>
      <c r="AA19" s="36" t="str" cm="1">
        <f t="array" ref="AA19">IFERROR(INDEX(_xlfn.TEXTSPLIT(S19," "),,1),"")</f>
        <v/>
      </c>
      <c r="AB19" s="35" t="str">
        <f>IF(NOT(AA19=""),_xlfn.XLOOKUP(AA19,'weapon masteries'!$A$10:$A$19,'weapon masteries'!$B$10:$B$19,"",0),"")</f>
        <v/>
      </c>
      <c r="AC19" s="36" t="str" cm="1">
        <f t="array" ref="AC19">IFERROR(INDEX(_xlfn.TEXTSPLIT(T19," "),,1),"")</f>
        <v/>
      </c>
      <c r="AD19" s="35" t="str">
        <f>IF(NOT(AC19=""),_xlfn.XLOOKUP(AC19,'weapon masteries'!$A$10:$A$20,'weapon masteries'!$B$10:$B$20,"",0),"")</f>
        <v/>
      </c>
    </row>
    <row r="20" spans="1:30" ht="13.5" customHeight="1" x14ac:dyDescent="0.3">
      <c r="A20" s="9" t="s">
        <v>8648</v>
      </c>
      <c r="B20" s="9" t="s">
        <v>9597</v>
      </c>
      <c r="C20" s="9" t="s">
        <v>350</v>
      </c>
      <c r="D20" s="9" t="s">
        <v>9535</v>
      </c>
      <c r="E20" s="9" t="s">
        <v>8659</v>
      </c>
      <c r="F20" s="9" t="s">
        <v>8655</v>
      </c>
      <c r="G20" s="9" t="s">
        <v>9660</v>
      </c>
      <c r="H20" s="9"/>
      <c r="I20" s="14"/>
      <c r="J20" s="13" t="str">
        <f t="shared" si="0"/>
        <v xml:space="preserve">Melee Weapon Attack: [ATK_MOD] to hit, reach 5 ft, one target. Hit: [DAMAGE] slashing damage. </v>
      </c>
      <c r="L20" s="8" t="str">
        <f t="shared" si="1"/>
        <v>Properties: Heavy (Creatures that are Small or Tiny have disadvantage on attack rolls with heavy weapons. A heavy weapon's size and bulk make it too large for a Small or Tiny creature to use effectively.), Two-Handed (This weapon requires two hands to use. This property is relevant only when you attack with the weapon, not when you simply hold it.)</v>
      </c>
      <c r="P20" s="35" t="str" cm="1">
        <f t="array" ref="P20:Q20">IFERROR(_xlfn.TEXTSPLIT(G20,", ",,TRUE),"")</f>
        <v>Heavy</v>
      </c>
      <c r="Q20" s="35" t="str">
        <v>Two-Handed</v>
      </c>
      <c r="U20" s="36" t="str" cm="1">
        <f t="array" ref="U20">IFERROR(INDEX(_xlfn.TEXTSPLIT(P20," "),,1),"")</f>
        <v>Heavy</v>
      </c>
      <c r="V20" s="35" t="str">
        <f>IF(NOT(U20=""),_xlfn.XLOOKUP(U20,'weapon masteries'!$A$10:$A$19,'weapon masteries'!$B$10:$B$19,"",0),"")</f>
        <v>Creatures that are Small or Tiny have disadvantage on attack rolls with heavy weapons. A heavy weapon's size and bulk make it too large for a Small or Tiny creature to use effectively.</v>
      </c>
      <c r="W20" s="36" t="str" cm="1">
        <f t="array" ref="W20">IFERROR(INDEX(_xlfn.TEXTSPLIT(Q20," "),,1),"")</f>
        <v>Two-Handed</v>
      </c>
      <c r="X20" s="35" t="str">
        <f>IF(NOT(W20=""),_xlfn.XLOOKUP(W20,'weapon masteries'!$A$10:$A$19,'weapon masteries'!$B$10:$B$19,"",0),"")</f>
        <v>This weapon requires two hands to use. This property is relevant only when you attack with the weapon, not when you simply hold it.</v>
      </c>
      <c r="Y20" s="36" t="str" cm="1">
        <f t="array" ref="Y20">IFERROR(INDEX(_xlfn.TEXTSPLIT(R20," "),,1),"")</f>
        <v/>
      </c>
      <c r="Z20" s="35" t="str">
        <f>IF(NOT(Y20=""),_xlfn.XLOOKUP(Y20,'weapon masteries'!$A$10:$A$19,'weapon masteries'!$B$10:$B$19,"",0),"")</f>
        <v/>
      </c>
      <c r="AA20" s="36" t="str" cm="1">
        <f t="array" ref="AA20">IFERROR(INDEX(_xlfn.TEXTSPLIT(S20," "),,1),"")</f>
        <v/>
      </c>
      <c r="AB20" s="35" t="str">
        <f>IF(NOT(AA20=""),_xlfn.XLOOKUP(AA20,'weapon masteries'!$A$10:$A$19,'weapon masteries'!$B$10:$B$19,"",0),"")</f>
        <v/>
      </c>
      <c r="AC20" s="36" t="str" cm="1">
        <f t="array" ref="AC20">IFERROR(INDEX(_xlfn.TEXTSPLIT(T20," "),,1),"")</f>
        <v/>
      </c>
      <c r="AD20" s="35" t="str">
        <f>IF(NOT(AC20=""),_xlfn.XLOOKUP(AC20,'weapon masteries'!$A$10:$A$20,'weapon masteries'!$B$10:$B$20,"",0),"")</f>
        <v/>
      </c>
    </row>
    <row r="21" spans="1:30" ht="13.5" customHeight="1" x14ac:dyDescent="0.3">
      <c r="A21" s="9" t="s">
        <v>8648</v>
      </c>
      <c r="B21" s="9" t="s">
        <v>9598</v>
      </c>
      <c r="C21" s="9" t="s">
        <v>350</v>
      </c>
      <c r="D21" s="9" t="s">
        <v>9540</v>
      </c>
      <c r="E21" s="9" t="s">
        <v>8657</v>
      </c>
      <c r="F21" s="9" t="s">
        <v>8655</v>
      </c>
      <c r="G21" s="9" t="s">
        <v>9658</v>
      </c>
      <c r="H21" s="9"/>
      <c r="I21" s="14"/>
      <c r="J21" s="13" t="str">
        <f t="shared" si="0"/>
        <v xml:space="preserve">Melee Weapon Attack: [ATK_MOD] to hit, reach 10 ft, one target. Hit: [DAMAGE] slashing damage. </v>
      </c>
      <c r="L21" s="8" t="str">
        <f t="shared" si="1"/>
        <v>Properties: Heavy (Creatures that are Small or Tiny have disadvantage on attack rolls with heavy weapons. A heavy weapon's size and bulk make it too large for a Small or Tiny creature to use effectively.), Reach (This weapon adds 5 feet to your reach when you attack with it. This property also determines your reach for opportunity attacks with a reach weapon.), Two-Handed (This weapon requires two hands to use. This property is relevant only when you attack with the weapon, not when you simply hold it.)</v>
      </c>
      <c r="P21" s="35" t="str" cm="1">
        <f t="array" ref="P21:R21">IFERROR(_xlfn.TEXTSPLIT(G21,", ",,TRUE),"")</f>
        <v>Heavy</v>
      </c>
      <c r="Q21" s="35" t="str">
        <v>Reach</v>
      </c>
      <c r="R21" s="35" t="str">
        <v>Two-Handed</v>
      </c>
      <c r="U21" s="36" t="str" cm="1">
        <f t="array" ref="U21">IFERROR(INDEX(_xlfn.TEXTSPLIT(P21," "),,1),"")</f>
        <v>Heavy</v>
      </c>
      <c r="V21" s="35" t="str">
        <f>IF(NOT(U21=""),_xlfn.XLOOKUP(U21,'weapon masteries'!$A$10:$A$19,'weapon masteries'!$B$10:$B$19,"",0),"")</f>
        <v>Creatures that are Small or Tiny have disadvantage on attack rolls with heavy weapons. A heavy weapon's size and bulk make it too large for a Small or Tiny creature to use effectively.</v>
      </c>
      <c r="W21" s="36" t="str" cm="1">
        <f t="array" ref="W21">IFERROR(INDEX(_xlfn.TEXTSPLIT(Q21," "),,1),"")</f>
        <v>Reach</v>
      </c>
      <c r="X21" s="35" t="str">
        <f>IF(NOT(W21=""),_xlfn.XLOOKUP(W21,'weapon masteries'!$A$10:$A$19,'weapon masteries'!$B$10:$B$19,"",0),"")</f>
        <v>This weapon adds 5 feet to your reach when you attack with it. This property also determines your reach for opportunity attacks with a reach weapon.</v>
      </c>
      <c r="Y21" s="36" t="str" cm="1">
        <f t="array" ref="Y21">IFERROR(INDEX(_xlfn.TEXTSPLIT(R21," "),,1),"")</f>
        <v>Two-Handed</v>
      </c>
      <c r="Z21" s="35" t="str">
        <f>IF(NOT(Y21=""),_xlfn.XLOOKUP(Y21,'weapon masteries'!$A$10:$A$19,'weapon masteries'!$B$10:$B$19,"",0),"")</f>
        <v>This weapon requires two hands to use. This property is relevant only when you attack with the weapon, not when you simply hold it.</v>
      </c>
      <c r="AA21" s="36" t="str" cm="1">
        <f t="array" ref="AA21">IFERROR(INDEX(_xlfn.TEXTSPLIT(S21," "),,1),"")</f>
        <v/>
      </c>
      <c r="AB21" s="35" t="str">
        <f>IF(NOT(AA21=""),_xlfn.XLOOKUP(AA21,'weapon masteries'!$A$10:$A$19,'weapon masteries'!$B$10:$B$19,"",0),"")</f>
        <v/>
      </c>
      <c r="AC21" s="36" t="str" cm="1">
        <f t="array" ref="AC21">IFERROR(INDEX(_xlfn.TEXTSPLIT(T21," "),,1),"")</f>
        <v/>
      </c>
      <c r="AD21" s="35" t="str">
        <f>IF(NOT(AC21=""),_xlfn.XLOOKUP(AC21,'weapon masteries'!$A$10:$A$20,'weapon masteries'!$B$10:$B$20,"",0),"")</f>
        <v/>
      </c>
    </row>
    <row r="22" spans="1:30" ht="13.5" customHeight="1" x14ac:dyDescent="0.3">
      <c r="A22" s="9" t="s">
        <v>8648</v>
      </c>
      <c r="B22" s="9" t="s">
        <v>9599</v>
      </c>
      <c r="C22" s="9" t="s">
        <v>350</v>
      </c>
      <c r="D22" s="9" t="s">
        <v>9540</v>
      </c>
      <c r="E22" s="9" t="s">
        <v>8658</v>
      </c>
      <c r="F22" s="9" t="s">
        <v>8652</v>
      </c>
      <c r="G22" s="9" t="s">
        <v>9685</v>
      </c>
      <c r="H22" s="9"/>
      <c r="I22" s="14" t="s">
        <v>9725</v>
      </c>
      <c r="J22" s="13" t="str">
        <f t="shared" si="0"/>
        <v>Melee Weapon Attack: [ATK_MOD] to hit, reach 10 ft, one target. Hit: [DAMAGE] piercing damage. The [MON] has disadvantage when it uses a lance to attack a target within 5 feet of itself. Also, a lance requires two hands to wield when not mounted.</v>
      </c>
      <c r="L22" s="8" t="str">
        <f t="shared" si="1"/>
        <v>Property: Reach (This weapon adds 5 feet to your reach when you attack with it. This property also determines your reach for opportunity attacks with a reach weapon.)</v>
      </c>
      <c r="P22" s="35" t="str" cm="1">
        <f t="array" ref="P22">IFERROR(_xlfn.TEXTSPLIT(G22,", ",,TRUE),"")</f>
        <v>Reach</v>
      </c>
      <c r="U22" s="36" t="str" cm="1">
        <f t="array" ref="U22">IFERROR(INDEX(_xlfn.TEXTSPLIT(P22," "),,1),"")</f>
        <v>Reach</v>
      </c>
      <c r="V22" s="35" t="str">
        <f>IF(NOT(U22=""),_xlfn.XLOOKUP(U22,'weapon masteries'!$A$10:$A$19,'weapon masteries'!$B$10:$B$19,"",0),"")</f>
        <v>This weapon adds 5 feet to your reach when you attack with it. This property also determines your reach for opportunity attacks with a reach weapon.</v>
      </c>
      <c r="W22" s="36" t="str" cm="1">
        <f t="array" ref="W22">IFERROR(INDEX(_xlfn.TEXTSPLIT(Q22," "),,1),"")</f>
        <v/>
      </c>
      <c r="X22" s="35" t="str">
        <f>IF(NOT(W22=""),_xlfn.XLOOKUP(W22,'weapon masteries'!$A$10:$A$19,'weapon masteries'!$B$10:$B$19,"",0),"")</f>
        <v/>
      </c>
      <c r="Y22" s="36" t="str" cm="1">
        <f t="array" ref="Y22">IFERROR(INDEX(_xlfn.TEXTSPLIT(R22," "),,1),"")</f>
        <v/>
      </c>
      <c r="Z22" s="35" t="str">
        <f>IF(NOT(Y22=""),_xlfn.XLOOKUP(Y22,'weapon masteries'!$A$10:$A$19,'weapon masteries'!$B$10:$B$19,"",0),"")</f>
        <v/>
      </c>
      <c r="AA22" s="36" t="str" cm="1">
        <f t="array" ref="AA22">IFERROR(INDEX(_xlfn.TEXTSPLIT(S22," "),,1),"")</f>
        <v/>
      </c>
      <c r="AB22" s="35" t="str">
        <f>IF(NOT(AA22=""),_xlfn.XLOOKUP(AA22,'weapon masteries'!$A$10:$A$19,'weapon masteries'!$B$10:$B$19,"",0),"")</f>
        <v/>
      </c>
      <c r="AC22" s="36" t="str" cm="1">
        <f t="array" ref="AC22">IFERROR(INDEX(_xlfn.TEXTSPLIT(T22," "),,1),"")</f>
        <v/>
      </c>
      <c r="AD22" s="35" t="str">
        <f>IF(NOT(AC22=""),_xlfn.XLOOKUP(AC22,'weapon masteries'!$A$10:$A$20,'weapon masteries'!$B$10:$B$20,"",0),"")</f>
        <v/>
      </c>
    </row>
    <row r="23" spans="1:30" ht="13.5" customHeight="1" x14ac:dyDescent="0.3">
      <c r="A23" s="9" t="s">
        <v>8648</v>
      </c>
      <c r="B23" s="9" t="s">
        <v>9600</v>
      </c>
      <c r="C23" s="9" t="s">
        <v>350</v>
      </c>
      <c r="D23" s="9" t="s">
        <v>9535</v>
      </c>
      <c r="E23" s="9" t="s">
        <v>8653</v>
      </c>
      <c r="F23" s="9" t="s">
        <v>8655</v>
      </c>
      <c r="G23" s="9" t="s">
        <v>9657</v>
      </c>
      <c r="H23" s="9"/>
      <c r="I23" s="14"/>
      <c r="J23" s="13" t="str">
        <f t="shared" si="0"/>
        <v xml:space="preserve">Melee Weapon Attack: [ATK_MOD] to hit, reach 5 ft, one target. Hit: [DAMAGE] slashing damage. </v>
      </c>
      <c r="L23" s="8" t="str">
        <f t="shared" si="1"/>
        <v>Property: Versatile (This weapon can be used with one or two hands. A damage value in parentheses appears with the property—the damage when the weapon is used with two hands to make a melee attack.)</v>
      </c>
      <c r="P23" s="35" t="str" cm="1">
        <f t="array" ref="P23">IFERROR(_xlfn.TEXTSPLIT(G23,", ",,TRUE),"")</f>
        <v>Versatile (1d10)</v>
      </c>
      <c r="U23" s="36" t="str" cm="1">
        <f t="array" ref="U23">IFERROR(INDEX(_xlfn.TEXTSPLIT(P23," "),,1),"")</f>
        <v>Versatile</v>
      </c>
      <c r="V23" s="35" t="str">
        <f>IF(NOT(U23=""),_xlfn.XLOOKUP(U23,'weapon masteries'!$A$10:$A$19,'weapon masteries'!$B$10:$B$19,"",0),"")</f>
        <v>This weapon can be used with one or two hands. A damage value in parentheses appears with the property—the damage when the weapon is used with two hands to make a melee attack.</v>
      </c>
      <c r="W23" s="36" t="str" cm="1">
        <f t="array" ref="W23">IFERROR(INDEX(_xlfn.TEXTSPLIT(Q23," "),,1),"")</f>
        <v/>
      </c>
      <c r="X23" s="35" t="str">
        <f>IF(NOT(W23=""),_xlfn.XLOOKUP(W23,'weapon masteries'!$A$10:$A$19,'weapon masteries'!$B$10:$B$19,"",0),"")</f>
        <v/>
      </c>
      <c r="Y23" s="36" t="str" cm="1">
        <f t="array" ref="Y23">IFERROR(INDEX(_xlfn.TEXTSPLIT(R23," "),,1),"")</f>
        <v/>
      </c>
      <c r="Z23" s="35" t="str">
        <f>IF(NOT(Y23=""),_xlfn.XLOOKUP(Y23,'weapon masteries'!$A$10:$A$19,'weapon masteries'!$B$10:$B$19,"",0),"")</f>
        <v/>
      </c>
      <c r="AA23" s="36" t="str" cm="1">
        <f t="array" ref="AA23">IFERROR(INDEX(_xlfn.TEXTSPLIT(S23," "),,1),"")</f>
        <v/>
      </c>
      <c r="AB23" s="35" t="str">
        <f>IF(NOT(AA23=""),_xlfn.XLOOKUP(AA23,'weapon masteries'!$A$10:$A$19,'weapon masteries'!$B$10:$B$19,"",0),"")</f>
        <v/>
      </c>
      <c r="AC23" s="36" t="str" cm="1">
        <f t="array" ref="AC23">IFERROR(INDEX(_xlfn.TEXTSPLIT(T23," "),,1),"")</f>
        <v/>
      </c>
      <c r="AD23" s="35" t="str">
        <f>IF(NOT(AC23=""),_xlfn.XLOOKUP(AC23,'weapon masteries'!$A$10:$A$20,'weapon masteries'!$B$10:$B$20,"",0),"")</f>
        <v/>
      </c>
    </row>
    <row r="24" spans="1:30" ht="13.5" customHeight="1" x14ac:dyDescent="0.3">
      <c r="A24" s="9" t="s">
        <v>8648</v>
      </c>
      <c r="B24" s="9" t="s">
        <v>9601</v>
      </c>
      <c r="C24" s="9" t="s">
        <v>350</v>
      </c>
      <c r="D24" s="9" t="s">
        <v>9535</v>
      </c>
      <c r="E24" s="9" t="s">
        <v>8659</v>
      </c>
      <c r="F24" s="9" t="s">
        <v>8650</v>
      </c>
      <c r="G24" s="9" t="s">
        <v>9660</v>
      </c>
      <c r="H24" s="9"/>
      <c r="I24" s="14"/>
      <c r="J24" s="13" t="str">
        <f t="shared" si="0"/>
        <v xml:space="preserve">Melee Weapon Attack: [ATK_MOD] to hit, reach 5 ft, one target. Hit: [DAMAGE] bludgeoning damage. </v>
      </c>
      <c r="L24" s="8" t="str">
        <f t="shared" si="1"/>
        <v>Properties: Heavy (Creatures that are Small or Tiny have disadvantage on attack rolls with heavy weapons. A heavy weapon's size and bulk make it too large for a Small or Tiny creature to use effectively.), Two-Handed (This weapon requires two hands to use. This property is relevant only when you attack with the weapon, not when you simply hold it.)</v>
      </c>
      <c r="P24" s="35" t="str" cm="1">
        <f t="array" ref="P24:Q24">IFERROR(_xlfn.TEXTSPLIT(G24,", ",,TRUE),"")</f>
        <v>Heavy</v>
      </c>
      <c r="Q24" s="35" t="str">
        <v>Two-Handed</v>
      </c>
      <c r="U24" s="36" t="str" cm="1">
        <f t="array" ref="U24">IFERROR(INDEX(_xlfn.TEXTSPLIT(P24," "),,1),"")</f>
        <v>Heavy</v>
      </c>
      <c r="V24" s="35" t="str">
        <f>IF(NOT(U24=""),_xlfn.XLOOKUP(U24,'weapon masteries'!$A$10:$A$19,'weapon masteries'!$B$10:$B$19,"",0),"")</f>
        <v>Creatures that are Small or Tiny have disadvantage on attack rolls with heavy weapons. A heavy weapon's size and bulk make it too large for a Small or Tiny creature to use effectively.</v>
      </c>
      <c r="W24" s="36" t="str" cm="1">
        <f t="array" ref="W24">IFERROR(INDEX(_xlfn.TEXTSPLIT(Q24," "),,1),"")</f>
        <v>Two-Handed</v>
      </c>
      <c r="X24" s="35" t="str">
        <f>IF(NOT(W24=""),_xlfn.XLOOKUP(W24,'weapon masteries'!$A$10:$A$19,'weapon masteries'!$B$10:$B$19,"",0),"")</f>
        <v>This weapon requires two hands to use. This property is relevant only when you attack with the weapon, not when you simply hold it.</v>
      </c>
      <c r="Y24" s="36" t="str" cm="1">
        <f t="array" ref="Y24">IFERROR(INDEX(_xlfn.TEXTSPLIT(R24," "),,1),"")</f>
        <v/>
      </c>
      <c r="Z24" s="35" t="str">
        <f>IF(NOT(Y24=""),_xlfn.XLOOKUP(Y24,'weapon masteries'!$A$10:$A$19,'weapon masteries'!$B$10:$B$19,"",0),"")</f>
        <v/>
      </c>
      <c r="AA24" s="36" t="str" cm="1">
        <f t="array" ref="AA24">IFERROR(INDEX(_xlfn.TEXTSPLIT(S24," "),,1),"")</f>
        <v/>
      </c>
      <c r="AB24" s="35" t="str">
        <f>IF(NOT(AA24=""),_xlfn.XLOOKUP(AA24,'weapon masteries'!$A$10:$A$19,'weapon masteries'!$B$10:$B$19,"",0),"")</f>
        <v/>
      </c>
      <c r="AC24" s="36" t="str" cm="1">
        <f t="array" ref="AC24">IFERROR(INDEX(_xlfn.TEXTSPLIT(T24," "),,1),"")</f>
        <v/>
      </c>
      <c r="AD24" s="35" t="str">
        <f>IF(NOT(AC24=""),_xlfn.XLOOKUP(AC24,'weapon masteries'!$A$10:$A$20,'weapon masteries'!$B$10:$B$20,"",0),"")</f>
        <v/>
      </c>
    </row>
    <row r="25" spans="1:30" ht="13.5" customHeight="1" x14ac:dyDescent="0.3">
      <c r="A25" s="9" t="s">
        <v>8648</v>
      </c>
      <c r="B25" s="9" t="s">
        <v>9602</v>
      </c>
      <c r="C25" s="9" t="s">
        <v>350</v>
      </c>
      <c r="D25" s="9" t="s">
        <v>9535</v>
      </c>
      <c r="E25" s="9" t="s">
        <v>8653</v>
      </c>
      <c r="F25" s="9" t="s">
        <v>8652</v>
      </c>
      <c r="G25" s="9"/>
      <c r="H25" s="9"/>
      <c r="I25" s="14"/>
      <c r="J25" s="13" t="str">
        <f t="shared" si="0"/>
        <v xml:space="preserve">Melee Weapon Attack: [ATK_MOD] to hit, reach 5 ft, one target. Hit: [DAMAGE] piercing damage. </v>
      </c>
      <c r="L25" s="8" t="str">
        <f t="shared" si="1"/>
        <v/>
      </c>
      <c r="P25" s="35" t="str" cm="1">
        <f t="array" ref="P25">IFERROR(_xlfn.TEXTSPLIT(G25,", ",,TRUE),"")</f>
        <v/>
      </c>
      <c r="U25" s="36" t="str" cm="1">
        <f t="array" ref="U25">IFERROR(INDEX(_xlfn.TEXTSPLIT(P25," "),,1),"")</f>
        <v/>
      </c>
      <c r="V25" s="35" t="str">
        <f>IF(NOT(U25=""),_xlfn.XLOOKUP(U25,'weapon masteries'!$A$10:$A$19,'weapon masteries'!$B$10:$B$19,"",0),"")</f>
        <v/>
      </c>
      <c r="W25" s="36" t="str" cm="1">
        <f t="array" ref="W25">IFERROR(INDEX(_xlfn.TEXTSPLIT(Q25," "),,1),"")</f>
        <v/>
      </c>
      <c r="X25" s="35" t="str">
        <f>IF(NOT(W25=""),_xlfn.XLOOKUP(W25,'weapon masteries'!$A$10:$A$19,'weapon masteries'!$B$10:$B$19,"",0),"")</f>
        <v/>
      </c>
      <c r="Y25" s="36" t="str" cm="1">
        <f t="array" ref="Y25">IFERROR(INDEX(_xlfn.TEXTSPLIT(R25," "),,1),"")</f>
        <v/>
      </c>
      <c r="Z25" s="35" t="str">
        <f>IF(NOT(Y25=""),_xlfn.XLOOKUP(Y25,'weapon masteries'!$A$10:$A$19,'weapon masteries'!$B$10:$B$19,"",0),"")</f>
        <v/>
      </c>
      <c r="AA25" s="36" t="str" cm="1">
        <f t="array" ref="AA25">IFERROR(INDEX(_xlfn.TEXTSPLIT(S25," "),,1),"")</f>
        <v/>
      </c>
      <c r="AB25" s="35" t="str">
        <f>IF(NOT(AA25=""),_xlfn.XLOOKUP(AA25,'weapon masteries'!$A$10:$A$19,'weapon masteries'!$B$10:$B$19,"",0),"")</f>
        <v/>
      </c>
      <c r="AC25" s="36" t="str" cm="1">
        <f t="array" ref="AC25">IFERROR(INDEX(_xlfn.TEXTSPLIT(T25," "),,1),"")</f>
        <v/>
      </c>
      <c r="AD25" s="35" t="str">
        <f>IF(NOT(AC25=""),_xlfn.XLOOKUP(AC25,'weapon masteries'!$A$10:$A$20,'weapon masteries'!$B$10:$B$20,"",0),"")</f>
        <v/>
      </c>
    </row>
    <row r="26" spans="1:30" ht="13.5" customHeight="1" x14ac:dyDescent="0.3">
      <c r="A26" s="9" t="s">
        <v>8648</v>
      </c>
      <c r="B26" s="9" t="s">
        <v>9603</v>
      </c>
      <c r="C26" s="9" t="s">
        <v>350</v>
      </c>
      <c r="D26" s="9" t="s">
        <v>9540</v>
      </c>
      <c r="E26" s="9" t="s">
        <v>8657</v>
      </c>
      <c r="F26" s="9" t="s">
        <v>8652</v>
      </c>
      <c r="G26" s="9" t="s">
        <v>9658</v>
      </c>
      <c r="H26" s="9"/>
      <c r="I26" s="14"/>
      <c r="J26" s="13" t="str">
        <f t="shared" si="0"/>
        <v xml:space="preserve">Melee Weapon Attack: [ATK_MOD] to hit, reach 10 ft, one target. Hit: [DAMAGE] piercing damage. </v>
      </c>
      <c r="L26" s="8" t="str">
        <f t="shared" si="1"/>
        <v>Properties: Heavy (Creatures that are Small or Tiny have disadvantage on attack rolls with heavy weapons. A heavy weapon's size and bulk make it too large for a Small or Tiny creature to use effectively.), Reach (This weapon adds 5 feet to your reach when you attack with it. This property also determines your reach for opportunity attacks with a reach weapon.), Two-Handed (This weapon requires two hands to use. This property is relevant only when you attack with the weapon, not when you simply hold it.)</v>
      </c>
      <c r="P26" s="35" t="str" cm="1">
        <f t="array" ref="P26:R26">IFERROR(_xlfn.TEXTSPLIT(G26,", ",,TRUE),"")</f>
        <v>Heavy</v>
      </c>
      <c r="Q26" s="35" t="str">
        <v>Reach</v>
      </c>
      <c r="R26" s="35" t="str">
        <v>Two-Handed</v>
      </c>
      <c r="U26" s="36" t="str" cm="1">
        <f t="array" ref="U26">IFERROR(INDEX(_xlfn.TEXTSPLIT(P26," "),,1),"")</f>
        <v>Heavy</v>
      </c>
      <c r="V26" s="35" t="str">
        <f>IF(NOT(U26=""),_xlfn.XLOOKUP(U26,'weapon masteries'!$A$10:$A$19,'weapon masteries'!$B$10:$B$19,"",0),"")</f>
        <v>Creatures that are Small or Tiny have disadvantage on attack rolls with heavy weapons. A heavy weapon's size and bulk make it too large for a Small or Tiny creature to use effectively.</v>
      </c>
      <c r="W26" s="36" t="str" cm="1">
        <f t="array" ref="W26">IFERROR(INDEX(_xlfn.TEXTSPLIT(Q26," "),,1),"")</f>
        <v>Reach</v>
      </c>
      <c r="X26" s="35" t="str">
        <f>IF(NOT(W26=""),_xlfn.XLOOKUP(W26,'weapon masteries'!$A$10:$A$19,'weapon masteries'!$B$10:$B$19,"",0),"")</f>
        <v>This weapon adds 5 feet to your reach when you attack with it. This property also determines your reach for opportunity attacks with a reach weapon.</v>
      </c>
      <c r="Y26" s="36" t="str" cm="1">
        <f t="array" ref="Y26">IFERROR(INDEX(_xlfn.TEXTSPLIT(R26," "),,1),"")</f>
        <v>Two-Handed</v>
      </c>
      <c r="Z26" s="35" t="str">
        <f>IF(NOT(Y26=""),_xlfn.XLOOKUP(Y26,'weapon masteries'!$A$10:$A$19,'weapon masteries'!$B$10:$B$19,"",0),"")</f>
        <v>This weapon requires two hands to use. This property is relevant only when you attack with the weapon, not when you simply hold it.</v>
      </c>
      <c r="AA26" s="36" t="str" cm="1">
        <f t="array" ref="AA26">IFERROR(INDEX(_xlfn.TEXTSPLIT(S26," "),,1),"")</f>
        <v/>
      </c>
      <c r="AB26" s="35" t="str">
        <f>IF(NOT(AA26=""),_xlfn.XLOOKUP(AA26,'weapon masteries'!$A$10:$A$19,'weapon masteries'!$B$10:$B$19,"",0),"")</f>
        <v/>
      </c>
      <c r="AC26" s="36" t="str" cm="1">
        <f t="array" ref="AC26">IFERROR(INDEX(_xlfn.TEXTSPLIT(T26," "),,1),"")</f>
        <v/>
      </c>
      <c r="AD26" s="35" t="str">
        <f>IF(NOT(AC26=""),_xlfn.XLOOKUP(AC26,'weapon masteries'!$A$10:$A$20,'weapon masteries'!$B$10:$B$20,"",0),"")</f>
        <v/>
      </c>
    </row>
    <row r="27" spans="1:30" ht="13.5" customHeight="1" x14ac:dyDescent="0.3">
      <c r="A27" s="9" t="s">
        <v>8648</v>
      </c>
      <c r="B27" s="9" t="s">
        <v>9604</v>
      </c>
      <c r="C27" s="9" t="s">
        <v>9652</v>
      </c>
      <c r="D27" s="9" t="s">
        <v>9535</v>
      </c>
      <c r="E27" s="9" t="s">
        <v>8653</v>
      </c>
      <c r="F27" s="9" t="s">
        <v>8652</v>
      </c>
      <c r="G27" s="9" t="s">
        <v>9663</v>
      </c>
      <c r="H27" s="9"/>
      <c r="I27" s="14"/>
      <c r="J27" s="13" t="str">
        <f t="shared" si="0"/>
        <v xml:space="preserve">Melee Weapon Attack: [ATK_MOD] to hit, reach 5 ft, one target. Hit: [DAMAGE] piercing damage. </v>
      </c>
      <c r="L27" s="8" t="str">
        <f t="shared" si="1"/>
        <v>Property: Finesse (When making an attack with a finesse weapon, you use your choice of your Strength or Dexterity modifier for the attack and damage rolls. You must use the same modifier for both rolls.)</v>
      </c>
      <c r="P27" s="35" t="str" cm="1">
        <f t="array" ref="P27">IFERROR(_xlfn.TEXTSPLIT(G27,", ",,TRUE),"")</f>
        <v>Finesse</v>
      </c>
      <c r="U27" s="36" t="str" cm="1">
        <f t="array" ref="U27">IFERROR(INDEX(_xlfn.TEXTSPLIT(P27," "),,1),"")</f>
        <v>Finesse</v>
      </c>
      <c r="V27" s="35" t="str">
        <f>IF(NOT(U27=""),_xlfn.XLOOKUP(U27,'weapon masteries'!$A$10:$A$19,'weapon masteries'!$B$10:$B$19,"",0),"")</f>
        <v>When making an attack with a finesse weapon, you use your choice of your Strength or Dexterity modifier for the attack and damage rolls. You must use the same modifier for both rolls.</v>
      </c>
      <c r="W27" s="36" t="str" cm="1">
        <f t="array" ref="W27">IFERROR(INDEX(_xlfn.TEXTSPLIT(Q27," "),,1),"")</f>
        <v/>
      </c>
      <c r="X27" s="35" t="str">
        <f>IF(NOT(W27=""),_xlfn.XLOOKUP(W27,'weapon masteries'!$A$10:$A$19,'weapon masteries'!$B$10:$B$19,"",0),"")</f>
        <v/>
      </c>
      <c r="Y27" s="36" t="str" cm="1">
        <f t="array" ref="Y27">IFERROR(INDEX(_xlfn.TEXTSPLIT(R27," "),,1),"")</f>
        <v/>
      </c>
      <c r="Z27" s="35" t="str">
        <f>IF(NOT(Y27=""),_xlfn.XLOOKUP(Y27,'weapon masteries'!$A$10:$A$19,'weapon masteries'!$B$10:$B$19,"",0),"")</f>
        <v/>
      </c>
      <c r="AA27" s="36" t="str" cm="1">
        <f t="array" ref="AA27">IFERROR(INDEX(_xlfn.TEXTSPLIT(S27," "),,1),"")</f>
        <v/>
      </c>
      <c r="AB27" s="35" t="str">
        <f>IF(NOT(AA27=""),_xlfn.XLOOKUP(AA27,'weapon masteries'!$A$10:$A$19,'weapon masteries'!$B$10:$B$19,"",0),"")</f>
        <v/>
      </c>
      <c r="AC27" s="36" t="str" cm="1">
        <f t="array" ref="AC27">IFERROR(INDEX(_xlfn.TEXTSPLIT(T27," "),,1),"")</f>
        <v/>
      </c>
      <c r="AD27" s="35" t="str">
        <f>IF(NOT(AC27=""),_xlfn.XLOOKUP(AC27,'weapon masteries'!$A$10:$A$20,'weapon masteries'!$B$10:$B$20,"",0),"")</f>
        <v/>
      </c>
    </row>
    <row r="28" spans="1:30" ht="13.5" customHeight="1" x14ac:dyDescent="0.3">
      <c r="A28" s="9" t="s">
        <v>8648</v>
      </c>
      <c r="B28" s="9" t="s">
        <v>9605</v>
      </c>
      <c r="C28" s="9" t="s">
        <v>9652</v>
      </c>
      <c r="D28" s="9" t="s">
        <v>9535</v>
      </c>
      <c r="E28" s="9" t="s">
        <v>8654</v>
      </c>
      <c r="F28" s="9" t="s">
        <v>8655</v>
      </c>
      <c r="G28" s="9" t="s">
        <v>9664</v>
      </c>
      <c r="H28" s="9"/>
      <c r="I28" s="14"/>
      <c r="J28" s="13" t="str">
        <f t="shared" si="0"/>
        <v xml:space="preserve">Melee Weapon Attack: [ATK_MOD] to hit, reach 5 ft, one target. Hit: [DAMAGE] slashing damage. </v>
      </c>
      <c r="L28" s="8" t="str">
        <f t="shared" si="1"/>
        <v>Properties: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v>
      </c>
      <c r="P28" s="35" t="str" cm="1">
        <f t="array" ref="P28:Q28">IFERROR(_xlfn.TEXTSPLIT(G28,", ",,TRUE),"")</f>
        <v>Finesse</v>
      </c>
      <c r="Q28" s="35" t="str">
        <v>Light</v>
      </c>
      <c r="U28" s="36" t="str" cm="1">
        <f t="array" ref="U28">IFERROR(INDEX(_xlfn.TEXTSPLIT(P28," "),,1),"")</f>
        <v>Finesse</v>
      </c>
      <c r="V28" s="35" t="str">
        <f>IF(NOT(U28=""),_xlfn.XLOOKUP(U28,'weapon masteries'!$A$10:$A$19,'weapon masteries'!$B$10:$B$19,"",0),"")</f>
        <v>When making an attack with a finesse weapon, you use your choice of your Strength or Dexterity modifier for the attack and damage rolls. You must use the same modifier for both rolls.</v>
      </c>
      <c r="W28" s="36" t="str" cm="1">
        <f t="array" ref="W28">IFERROR(INDEX(_xlfn.TEXTSPLIT(Q28," "),,1),"")</f>
        <v>Light</v>
      </c>
      <c r="X28" s="35" t="str">
        <f>IF(NOT(W28=""),_xlfn.XLOOKUP(W28,'weapon masteries'!$A$10:$A$19,'weapon masteries'!$B$10:$B$19,"",0),"")</f>
        <v>A light weapon is small and easy to handle, making it ideal for use when fighting with two weapons.</v>
      </c>
      <c r="Y28" s="36" t="str" cm="1">
        <f t="array" ref="Y28">IFERROR(INDEX(_xlfn.TEXTSPLIT(R28," "),,1),"")</f>
        <v/>
      </c>
      <c r="Z28" s="35" t="str">
        <f>IF(NOT(Y28=""),_xlfn.XLOOKUP(Y28,'weapon masteries'!$A$10:$A$19,'weapon masteries'!$B$10:$B$19,"",0),"")</f>
        <v/>
      </c>
      <c r="AA28" s="36" t="str" cm="1">
        <f t="array" ref="AA28">IFERROR(INDEX(_xlfn.TEXTSPLIT(S28," "),,1),"")</f>
        <v/>
      </c>
      <c r="AB28" s="35" t="str">
        <f>IF(NOT(AA28=""),_xlfn.XLOOKUP(AA28,'weapon masteries'!$A$10:$A$19,'weapon masteries'!$B$10:$B$19,"",0),"")</f>
        <v/>
      </c>
      <c r="AC28" s="36" t="str" cm="1">
        <f t="array" ref="AC28">IFERROR(INDEX(_xlfn.TEXTSPLIT(T28," "),,1),"")</f>
        <v/>
      </c>
      <c r="AD28" s="35" t="str">
        <f>IF(NOT(AC28=""),_xlfn.XLOOKUP(AC28,'weapon masteries'!$A$10:$A$20,'weapon masteries'!$B$10:$B$20,"",0),"")</f>
        <v/>
      </c>
    </row>
    <row r="29" spans="1:30" ht="13.5" customHeight="1" x14ac:dyDescent="0.3">
      <c r="A29" s="9" t="s">
        <v>8648</v>
      </c>
      <c r="B29" s="9" t="s">
        <v>9606</v>
      </c>
      <c r="C29" s="9" t="s">
        <v>9652</v>
      </c>
      <c r="D29" s="9" t="s">
        <v>9535</v>
      </c>
      <c r="E29" s="9" t="s">
        <v>8654</v>
      </c>
      <c r="F29" s="9" t="s">
        <v>8652</v>
      </c>
      <c r="G29" s="9" t="s">
        <v>9664</v>
      </c>
      <c r="H29" s="9"/>
      <c r="I29" s="14"/>
      <c r="J29" s="13" t="str">
        <f t="shared" si="0"/>
        <v xml:space="preserve">Melee Weapon Attack: [ATK_MOD] to hit, reach 5 ft, one target. Hit: [DAMAGE] piercing damage. </v>
      </c>
      <c r="L29" s="8" t="str">
        <f t="shared" si="1"/>
        <v>Properties: Finesse (When making an attack with a finesse weapon, you use your choice of your Strength or Dexterity modifier for the attack and damage rolls. You must use the same modifier for both rolls.), Light (A light weapon is small and easy to handle, making it ideal for use when fighting with two weapons.)</v>
      </c>
      <c r="P29" s="35" t="str" cm="1">
        <f t="array" ref="P29:Q29">IFERROR(_xlfn.TEXTSPLIT(G29,", ",,TRUE),"")</f>
        <v>Finesse</v>
      </c>
      <c r="Q29" s="35" t="str">
        <v>Light</v>
      </c>
      <c r="U29" s="36" t="str" cm="1">
        <f t="array" ref="U29">IFERROR(INDEX(_xlfn.TEXTSPLIT(P29," "),,1),"")</f>
        <v>Finesse</v>
      </c>
      <c r="V29" s="35" t="str">
        <f>IF(NOT(U29=""),_xlfn.XLOOKUP(U29,'weapon masteries'!$A$10:$A$19,'weapon masteries'!$B$10:$B$19,"",0),"")</f>
        <v>When making an attack with a finesse weapon, you use your choice of your Strength or Dexterity modifier for the attack and damage rolls. You must use the same modifier for both rolls.</v>
      </c>
      <c r="W29" s="36" t="str" cm="1">
        <f t="array" ref="W29">IFERROR(INDEX(_xlfn.TEXTSPLIT(Q29," "),,1),"")</f>
        <v>Light</v>
      </c>
      <c r="X29" s="35" t="str">
        <f>IF(NOT(W29=""),_xlfn.XLOOKUP(W29,'weapon masteries'!$A$10:$A$19,'weapon masteries'!$B$10:$B$19,"",0),"")</f>
        <v>A light weapon is small and easy to handle, making it ideal for use when fighting with two weapons.</v>
      </c>
      <c r="Y29" s="36" t="str" cm="1">
        <f t="array" ref="Y29">IFERROR(INDEX(_xlfn.TEXTSPLIT(R29," "),,1),"")</f>
        <v/>
      </c>
      <c r="Z29" s="35" t="str">
        <f>IF(NOT(Y29=""),_xlfn.XLOOKUP(Y29,'weapon masteries'!$A$10:$A$19,'weapon masteries'!$B$10:$B$19,"",0),"")</f>
        <v/>
      </c>
      <c r="AA29" s="36" t="str" cm="1">
        <f t="array" ref="AA29">IFERROR(INDEX(_xlfn.TEXTSPLIT(S29," "),,1),"")</f>
        <v/>
      </c>
      <c r="AB29" s="35" t="str">
        <f>IF(NOT(AA29=""),_xlfn.XLOOKUP(AA29,'weapon masteries'!$A$10:$A$19,'weapon masteries'!$B$10:$B$19,"",0),"")</f>
        <v/>
      </c>
      <c r="AC29" s="36" t="str" cm="1">
        <f t="array" ref="AC29">IFERROR(INDEX(_xlfn.TEXTSPLIT(T29," "),,1),"")</f>
        <v/>
      </c>
      <c r="AD29" s="35" t="str">
        <f>IF(NOT(AC29=""),_xlfn.XLOOKUP(AC29,'weapon masteries'!$A$10:$A$20,'weapon masteries'!$B$10:$B$20,"",0),"")</f>
        <v/>
      </c>
    </row>
    <row r="30" spans="1:30" ht="13.5" customHeight="1" x14ac:dyDescent="0.3">
      <c r="A30" s="9" t="s">
        <v>8651</v>
      </c>
      <c r="B30" s="9" t="s">
        <v>9607</v>
      </c>
      <c r="C30" s="9" t="s">
        <v>350</v>
      </c>
      <c r="D30" s="9" t="s">
        <v>9533</v>
      </c>
      <c r="E30" s="9" t="s">
        <v>8654</v>
      </c>
      <c r="F30" s="9" t="s">
        <v>8652</v>
      </c>
      <c r="G30" s="9" t="s">
        <v>9741</v>
      </c>
      <c r="H30" s="9"/>
      <c r="I30" s="14"/>
      <c r="J30" s="13" t="str">
        <f t="shared" si="0"/>
        <v xml:space="preserve">Melee or Ranged Weapon Attack: [ATK_MOD] to hit, reach 5 ft or range 20/60 ft, one target. Hit: [DAMAGE] piercing damage. </v>
      </c>
      <c r="L30" s="8" t="str">
        <f t="shared" si="1"/>
        <v>Properties: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 Versatile (This weapon can be used with one or two hands. A damage value in parentheses appears with the property—the damage when the weapon is used with two hands to make a melee attack.)</v>
      </c>
      <c r="P30" s="35" t="str" cm="1">
        <f t="array" ref="P30:Q30">IFERROR(_xlfn.TEXTSPLIT(G30,", ",,TRUE),"")</f>
        <v>Thrown (20/60)</v>
      </c>
      <c r="Q30" s="35" t="str">
        <v>Versatile (1d8)</v>
      </c>
      <c r="U30" s="36" t="str" cm="1">
        <f t="array" ref="U30">IFERROR(INDEX(_xlfn.TEXTSPLIT(P30," "),,1),"")</f>
        <v>Thrown</v>
      </c>
      <c r="V30" s="35" t="str">
        <f>IF(NOT(U30=""),_xlfn.XLOOKUP(U30,'weapon masteries'!$A$10:$A$19,'weapon masteries'!$B$10:$B$19,"",0),"")</f>
        <v>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W30" s="36" t="str" cm="1">
        <f t="array" ref="W30">IFERROR(INDEX(_xlfn.TEXTSPLIT(Q30," "),,1),"")</f>
        <v>Versatile</v>
      </c>
      <c r="X30" s="35" t="str">
        <f>IF(NOT(W30=""),_xlfn.XLOOKUP(W30,'weapon masteries'!$A$10:$A$19,'weapon masteries'!$B$10:$B$19,"",0),"")</f>
        <v>This weapon can be used with one or two hands. A damage value in parentheses appears with the property—the damage when the weapon is used with two hands to make a melee attack.</v>
      </c>
      <c r="Y30" s="36" t="str" cm="1">
        <f t="array" ref="Y30">IFERROR(INDEX(_xlfn.TEXTSPLIT(R30," "),,1),"")</f>
        <v/>
      </c>
      <c r="Z30" s="35" t="str">
        <f>IF(NOT(Y30=""),_xlfn.XLOOKUP(Y30,'weapon masteries'!$A$10:$A$19,'weapon masteries'!$B$10:$B$19,"",0),"")</f>
        <v/>
      </c>
      <c r="AA30" s="36" t="str" cm="1">
        <f t="array" ref="AA30">IFERROR(INDEX(_xlfn.TEXTSPLIT(S30," "),,1),"")</f>
        <v/>
      </c>
      <c r="AB30" s="35" t="str">
        <f>IF(NOT(AA30=""),_xlfn.XLOOKUP(AA30,'weapon masteries'!$A$10:$A$19,'weapon masteries'!$B$10:$B$19,"",0),"")</f>
        <v/>
      </c>
      <c r="AC30" s="36" t="str" cm="1">
        <f t="array" ref="AC30">IFERROR(INDEX(_xlfn.TEXTSPLIT(T30," "),,1),"")</f>
        <v/>
      </c>
      <c r="AD30" s="35" t="str">
        <f>IF(NOT(AC30=""),_xlfn.XLOOKUP(AC30,'weapon masteries'!$A$10:$A$20,'weapon masteries'!$B$10:$B$20,"",0),"")</f>
        <v/>
      </c>
    </row>
    <row r="31" spans="1:30" ht="13.5" customHeight="1" x14ac:dyDescent="0.3">
      <c r="A31" s="9" t="s">
        <v>8648</v>
      </c>
      <c r="B31" s="9" t="s">
        <v>9608</v>
      </c>
      <c r="C31" s="9" t="s">
        <v>350</v>
      </c>
      <c r="D31" s="9" t="s">
        <v>9535</v>
      </c>
      <c r="E31" s="9" t="s">
        <v>8653</v>
      </c>
      <c r="F31" s="9" t="s">
        <v>8652</v>
      </c>
      <c r="G31" s="9"/>
      <c r="H31" s="9"/>
      <c r="I31" s="14"/>
      <c r="J31" s="13" t="str">
        <f t="shared" si="0"/>
        <v xml:space="preserve">Melee Weapon Attack: [ATK_MOD] to hit, reach 5 ft, one target. Hit: [DAMAGE] piercing damage. </v>
      </c>
      <c r="L31" s="8" t="str">
        <f t="shared" si="1"/>
        <v/>
      </c>
      <c r="P31" s="35" t="str" cm="1">
        <f t="array" ref="P31">IFERROR(_xlfn.TEXTSPLIT(G31,", ",,TRUE),"")</f>
        <v/>
      </c>
      <c r="U31" s="36" t="str" cm="1">
        <f t="array" ref="U31">IFERROR(INDEX(_xlfn.TEXTSPLIT(P31," "),,1),"")</f>
        <v/>
      </c>
      <c r="V31" s="35" t="str">
        <f>IF(NOT(U31=""),_xlfn.XLOOKUP(U31,'weapon masteries'!$A$10:$A$19,'weapon masteries'!$B$10:$B$19,"",0),"")</f>
        <v/>
      </c>
      <c r="W31" s="36" t="str" cm="1">
        <f t="array" ref="W31">IFERROR(INDEX(_xlfn.TEXTSPLIT(Q31," "),,1),"")</f>
        <v/>
      </c>
      <c r="X31" s="35" t="str">
        <f>IF(NOT(W31=""),_xlfn.XLOOKUP(W31,'weapon masteries'!$A$10:$A$19,'weapon masteries'!$B$10:$B$19,"",0),"")</f>
        <v/>
      </c>
      <c r="Y31" s="36" t="str" cm="1">
        <f t="array" ref="Y31">IFERROR(INDEX(_xlfn.TEXTSPLIT(R31," "),,1),"")</f>
        <v/>
      </c>
      <c r="Z31" s="35" t="str">
        <f>IF(NOT(Y31=""),_xlfn.XLOOKUP(Y31,'weapon masteries'!$A$10:$A$19,'weapon masteries'!$B$10:$B$19,"",0),"")</f>
        <v/>
      </c>
      <c r="AA31" s="36" t="str" cm="1">
        <f t="array" ref="AA31">IFERROR(INDEX(_xlfn.TEXTSPLIT(S31," "),,1),"")</f>
        <v/>
      </c>
      <c r="AB31" s="35" t="str">
        <f>IF(NOT(AA31=""),_xlfn.XLOOKUP(AA31,'weapon masteries'!$A$10:$A$19,'weapon masteries'!$B$10:$B$19,"",0),"")</f>
        <v/>
      </c>
      <c r="AC31" s="36" t="str" cm="1">
        <f t="array" ref="AC31">IFERROR(INDEX(_xlfn.TEXTSPLIT(T31," "),,1),"")</f>
        <v/>
      </c>
      <c r="AD31" s="35" t="str">
        <f>IF(NOT(AC31=""),_xlfn.XLOOKUP(AC31,'weapon masteries'!$A$10:$A$20,'weapon masteries'!$B$10:$B$20,"",0),"")</f>
        <v/>
      </c>
    </row>
    <row r="32" spans="1:30" ht="13.5" customHeight="1" x14ac:dyDescent="0.3">
      <c r="A32" s="9" t="s">
        <v>8648</v>
      </c>
      <c r="B32" s="9" t="s">
        <v>9609</v>
      </c>
      <c r="C32" s="9" t="s">
        <v>350</v>
      </c>
      <c r="D32" s="9" t="s">
        <v>9535</v>
      </c>
      <c r="E32" s="9" t="s">
        <v>8653</v>
      </c>
      <c r="F32" s="9" t="s">
        <v>8650</v>
      </c>
      <c r="G32" s="9" t="s">
        <v>9657</v>
      </c>
      <c r="H32" s="9"/>
      <c r="I32" s="14"/>
      <c r="J32" s="13" t="str">
        <f t="shared" si="0"/>
        <v xml:space="preserve">Melee Weapon Attack: [ATK_MOD] to hit, reach 5 ft, one target. Hit: [DAMAGE] bludgeoning damage. </v>
      </c>
      <c r="L32" s="8" t="str">
        <f t="shared" si="1"/>
        <v>Property: Versatile (This weapon can be used with one or two hands. A damage value in parentheses appears with the property—the damage when the weapon is used with two hands to make a melee attack.)</v>
      </c>
      <c r="P32" s="35" t="str" cm="1">
        <f t="array" ref="P32">IFERROR(_xlfn.TEXTSPLIT(G32,", ",,TRUE),"")</f>
        <v>Versatile (1d10)</v>
      </c>
      <c r="U32" s="36" t="str" cm="1">
        <f t="array" ref="U32">IFERROR(INDEX(_xlfn.TEXTSPLIT(P32," "),,1),"")</f>
        <v>Versatile</v>
      </c>
      <c r="V32" s="35" t="str">
        <f>IF(NOT(U32=""),_xlfn.XLOOKUP(U32,'weapon masteries'!$A$10:$A$19,'weapon masteries'!$B$10:$B$19,"",0),"")</f>
        <v>This weapon can be used with one or two hands. A damage value in parentheses appears with the property—the damage when the weapon is used with two hands to make a melee attack.</v>
      </c>
      <c r="W32" s="36" t="str" cm="1">
        <f t="array" ref="W32">IFERROR(INDEX(_xlfn.TEXTSPLIT(Q32," "),,1),"")</f>
        <v/>
      </c>
      <c r="X32" s="35" t="str">
        <f>IF(NOT(W32=""),_xlfn.XLOOKUP(W32,'weapon masteries'!$A$10:$A$19,'weapon masteries'!$B$10:$B$19,"",0),"")</f>
        <v/>
      </c>
      <c r="Y32" s="36" t="str" cm="1">
        <f t="array" ref="Y32">IFERROR(INDEX(_xlfn.TEXTSPLIT(R32," "),,1),"")</f>
        <v/>
      </c>
      <c r="Z32" s="35" t="str">
        <f>IF(NOT(Y32=""),_xlfn.XLOOKUP(Y32,'weapon masteries'!$A$10:$A$19,'weapon masteries'!$B$10:$B$19,"",0),"")</f>
        <v/>
      </c>
      <c r="AA32" s="36" t="str" cm="1">
        <f t="array" ref="AA32">IFERROR(INDEX(_xlfn.TEXTSPLIT(S32," "),,1),"")</f>
        <v/>
      </c>
      <c r="AB32" s="35" t="str">
        <f>IF(NOT(AA32=""),_xlfn.XLOOKUP(AA32,'weapon masteries'!$A$10:$A$19,'weapon masteries'!$B$10:$B$19,"",0),"")</f>
        <v/>
      </c>
      <c r="AC32" s="36" t="str" cm="1">
        <f t="array" ref="AC32">IFERROR(INDEX(_xlfn.TEXTSPLIT(T32," "),,1),"")</f>
        <v/>
      </c>
      <c r="AD32" s="35" t="str">
        <f>IF(NOT(AC32=""),_xlfn.XLOOKUP(AC32,'weapon masteries'!$A$10:$A$20,'weapon masteries'!$B$10:$B$20,"",0),"")</f>
        <v/>
      </c>
    </row>
    <row r="33" spans="1:30" ht="13.5" customHeight="1" x14ac:dyDescent="0.3">
      <c r="A33" s="9" t="s">
        <v>8648</v>
      </c>
      <c r="B33" s="9" t="s">
        <v>9610</v>
      </c>
      <c r="C33" s="9" t="s">
        <v>9652</v>
      </c>
      <c r="D33" s="9" t="s">
        <v>9535</v>
      </c>
      <c r="E33" s="9" t="s">
        <v>8649</v>
      </c>
      <c r="F33" s="9" t="s">
        <v>8655</v>
      </c>
      <c r="G33" s="9" t="s">
        <v>9666</v>
      </c>
      <c r="H33" s="9"/>
      <c r="I33" s="14"/>
      <c r="J33" s="13" t="str">
        <f t="shared" si="0"/>
        <v xml:space="preserve">Melee Weapon Attack: [ATK_MOD] to hit, reach 5 ft, one target. Hit: [DAMAGE] slashing damage. </v>
      </c>
      <c r="L33" s="8" t="str">
        <f t="shared" si="1"/>
        <v>Properties: Finesse (When making an attack with a finesse weapon, you use your choice of your Strength or Dexterity modifier for the attack and damage rolls. You must use the same modifier for both rolls.), Reach (This weapon adds 5 feet to your reach when you attack with it. This property also determines your reach for opportunity attacks with a reach weapon.)</v>
      </c>
      <c r="P33" s="35" t="str" cm="1">
        <f t="array" ref="P33:Q33">IFERROR(_xlfn.TEXTSPLIT(G33,", ",,TRUE),"")</f>
        <v>Finesse</v>
      </c>
      <c r="Q33" s="35" t="str">
        <v>Reach</v>
      </c>
      <c r="U33" s="36" t="str" cm="1">
        <f t="array" ref="U33">IFERROR(INDEX(_xlfn.TEXTSPLIT(P33," "),,1),"")</f>
        <v>Finesse</v>
      </c>
      <c r="V33" s="35" t="str">
        <f>IF(NOT(U33=""),_xlfn.XLOOKUP(U33,'weapon masteries'!$A$10:$A$19,'weapon masteries'!$B$10:$B$19,"",0),"")</f>
        <v>When making an attack with a finesse weapon, you use your choice of your Strength or Dexterity modifier for the attack and damage rolls. You must use the same modifier for both rolls.</v>
      </c>
      <c r="W33" s="36" t="str" cm="1">
        <f t="array" ref="W33">IFERROR(INDEX(_xlfn.TEXTSPLIT(Q33," "),,1),"")</f>
        <v>Reach</v>
      </c>
      <c r="X33" s="35" t="str">
        <f>IF(NOT(W33=""),_xlfn.XLOOKUP(W33,'weapon masteries'!$A$10:$A$19,'weapon masteries'!$B$10:$B$19,"",0),"")</f>
        <v>This weapon adds 5 feet to your reach when you attack with it. This property also determines your reach for opportunity attacks with a reach weapon.</v>
      </c>
      <c r="Y33" s="36" t="str" cm="1">
        <f t="array" ref="Y33">IFERROR(INDEX(_xlfn.TEXTSPLIT(R33," "),,1),"")</f>
        <v/>
      </c>
      <c r="Z33" s="35" t="str">
        <f>IF(NOT(Y33=""),_xlfn.XLOOKUP(Y33,'weapon masteries'!$A$10:$A$19,'weapon masteries'!$B$10:$B$19,"",0),"")</f>
        <v/>
      </c>
      <c r="AA33" s="36" t="str" cm="1">
        <f t="array" ref="AA33">IFERROR(INDEX(_xlfn.TEXTSPLIT(S33," "),,1),"")</f>
        <v/>
      </c>
      <c r="AB33" s="35" t="str">
        <f>IF(NOT(AA33=""),_xlfn.XLOOKUP(AA33,'weapon masteries'!$A$10:$A$19,'weapon masteries'!$B$10:$B$19,"",0),"")</f>
        <v/>
      </c>
      <c r="AC33" s="36" t="str" cm="1">
        <f t="array" ref="AC33">IFERROR(INDEX(_xlfn.TEXTSPLIT(T33," "),,1),"")</f>
        <v/>
      </c>
      <c r="AD33" s="35" t="str">
        <f>IF(NOT(AC33=""),_xlfn.XLOOKUP(AC33,'weapon masteries'!$A$10:$A$20,'weapon masteries'!$B$10:$B$20,"",0),"")</f>
        <v/>
      </c>
    </row>
    <row r="34" spans="1:30" ht="13.5" customHeight="1" x14ac:dyDescent="0.3">
      <c r="A34" s="9" t="s">
        <v>8656</v>
      </c>
      <c r="B34" s="9" t="s">
        <v>9611</v>
      </c>
      <c r="C34" s="9" t="s">
        <v>4117</v>
      </c>
      <c r="D34" s="9" t="s">
        <v>9541</v>
      </c>
      <c r="E34" s="9">
        <v>1</v>
      </c>
      <c r="F34" s="9" t="s">
        <v>8652</v>
      </c>
      <c r="G34" s="9" t="s">
        <v>9747</v>
      </c>
      <c r="H34" s="9"/>
      <c r="I34" s="14"/>
      <c r="J34" s="13" t="str">
        <f t="shared" si="0"/>
        <v xml:space="preserve">Ranged Weapon Attack: [ATK_MOD] to hit, range 25/100 ft, one target. Hit: [DAMAGE] piercing damage. </v>
      </c>
      <c r="L34" s="8" t="str">
        <f t="shared" si="1"/>
        <v>Properties: Ammunition (You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 Loading (Because of the time required to load this weapon, you can fire only one piece of ammunition from it when you use an action, bonus action, or reaction to fire it, regardless of the number of attacks you can normally make.)</v>
      </c>
      <c r="P34" s="35" t="str" cm="1">
        <f t="array" ref="P34:R34">IFERROR(_xlfn.TEXTSPLIT(G34,", ",,TRUE),"")</f>
        <v>Ammunition</v>
      </c>
      <c r="Q34" s="35" t="str">
        <v>Range (25/100)</v>
      </c>
      <c r="R34" s="35" t="str">
        <v>Loading</v>
      </c>
      <c r="U34" s="36" t="str" cm="1">
        <f t="array" ref="U34">IFERROR(INDEX(_xlfn.TEXTSPLIT(P34," "),,1),"")</f>
        <v>Ammunition</v>
      </c>
      <c r="V34" s="35" t="str">
        <f>IF(NOT(U34=""),_xlfn.XLOOKUP(U34,'weapon masteries'!$A$10:$A$19,'weapon masteries'!$B$10:$B$19,"",0),"")</f>
        <v>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v>
      </c>
      <c r="W34" s="36" t="str" cm="1">
        <f t="array" ref="W34">IFERROR(INDEX(_xlfn.TEXTSPLIT(Q34," "),,1),"")</f>
        <v>Range</v>
      </c>
      <c r="X34" s="35" t="str">
        <f>IF(NOT(W34=""),_xlfn.XLOOKUP(W34,'weapon masteries'!$A$10:$A$19,'weapon masteries'!$B$10:$B$19,"",0),"")</f>
        <v>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Y34" s="36" t="str" cm="1">
        <f t="array" ref="Y34">IFERROR(INDEX(_xlfn.TEXTSPLIT(R34," "),,1),"")</f>
        <v>Loading</v>
      </c>
      <c r="Z34" s="35" t="str">
        <f>IF(NOT(Y34=""),_xlfn.XLOOKUP(Y34,'weapon masteries'!$A$10:$A$19,'weapon masteries'!$B$10:$B$19,"",0),"")</f>
        <v>Because of the time required to load this weapon, you can fire only one piece of ammunition from it when you use an action, bonus action, or reaction to fire it, regardless of the number of attacks you can normally make.</v>
      </c>
      <c r="AA34" s="36" t="str" cm="1">
        <f t="array" ref="AA34">IFERROR(INDEX(_xlfn.TEXTSPLIT(S34," "),,1),"")</f>
        <v/>
      </c>
      <c r="AB34" s="35" t="str">
        <f>IF(NOT(AA34=""),_xlfn.XLOOKUP(AA34,'weapon masteries'!$A$10:$A$19,'weapon masteries'!$B$10:$B$19,"",0),"")</f>
        <v/>
      </c>
      <c r="AC34" s="36" t="str" cm="1">
        <f t="array" ref="AC34">IFERROR(INDEX(_xlfn.TEXTSPLIT(T34," "),,1),"")</f>
        <v/>
      </c>
      <c r="AD34" s="35" t="str">
        <f>IF(NOT(AC34=""),_xlfn.XLOOKUP(AC34,'weapon masteries'!$A$10:$A$20,'weapon masteries'!$B$10:$B$20,"",0),"")</f>
        <v/>
      </c>
    </row>
    <row r="35" spans="1:30" ht="13.5" customHeight="1" x14ac:dyDescent="0.3">
      <c r="A35" s="9" t="s">
        <v>8656</v>
      </c>
      <c r="B35" s="9" t="s">
        <v>9612</v>
      </c>
      <c r="C35" s="9" t="s">
        <v>4117</v>
      </c>
      <c r="D35" s="9" t="s">
        <v>9539</v>
      </c>
      <c r="E35" s="9" t="s">
        <v>8654</v>
      </c>
      <c r="F35" s="9" t="s">
        <v>8652</v>
      </c>
      <c r="G35" s="9" t="s">
        <v>9748</v>
      </c>
      <c r="H35" s="9"/>
      <c r="I35" s="14"/>
      <c r="J35" s="13" t="str">
        <f t="shared" si="0"/>
        <v xml:space="preserve">Ranged Weapon Attack: [ATK_MOD] to hit, range 30/120 ft, one target. Hit: [DAMAGE] piercing damage. </v>
      </c>
      <c r="L35" s="8" t="str">
        <f t="shared" si="1"/>
        <v>Properties: Ammunition (You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 Light (A light weapon is small and easy to handle, making it ideal for use when fighting with two weapons.), Because of the time required to load this weapon, you can fire only one piece of ammunition from it when you use an action, bonus action, or reaction to fire it, regardless of the number of attacks you can normally make. ()</v>
      </c>
      <c r="P35" s="35" t="str" cm="1">
        <f t="array" ref="P35:S35">IFERROR(_xlfn.TEXTSPLIT(G35,", ",,TRUE),"")</f>
        <v>Ammunition</v>
      </c>
      <c r="Q35" s="35" t="str">
        <v>Range (30/120)</v>
      </c>
      <c r="R35" s="35" t="str">
        <v>Light</v>
      </c>
      <c r="S35" s="35" t="str">
        <v>Loading</v>
      </c>
      <c r="U35" s="36" t="str" cm="1">
        <f t="array" ref="U35">IFERROR(INDEX(_xlfn.TEXTSPLIT(P35," "),,1),"")</f>
        <v>Ammunition</v>
      </c>
      <c r="V35" s="35" t="str">
        <f>IF(NOT(U35=""),_xlfn.XLOOKUP(U35,'weapon masteries'!$A$10:$A$19,'weapon masteries'!$B$10:$B$19,"",0),"")</f>
        <v>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v>
      </c>
      <c r="W35" s="36" t="str" cm="1">
        <f t="array" ref="W35">IFERROR(INDEX(_xlfn.TEXTSPLIT(Q35," "),,1),"")</f>
        <v>Range</v>
      </c>
      <c r="X35" s="35" t="str">
        <f>IF(NOT(W35=""),_xlfn.XLOOKUP(W35,'weapon masteries'!$A$10:$A$19,'weapon masteries'!$B$10:$B$19,"",0),"")</f>
        <v>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Y35" s="36" t="str" cm="1">
        <f t="array" ref="Y35">IFERROR(INDEX(_xlfn.TEXTSPLIT(R35," "),,1),"")</f>
        <v>Light</v>
      </c>
      <c r="Z35" s="35" t="str">
        <f>IF(NOT(Y35=""),_xlfn.XLOOKUP(Y35,'weapon masteries'!$A$10:$A$19,'weapon masteries'!$B$10:$B$19,"",0),"")</f>
        <v>A light weapon is small and easy to handle, making it ideal for use when fighting with two weapons.</v>
      </c>
      <c r="AA35" s="36" t="str" cm="1">
        <f t="array" ref="AA35">IFERROR(INDEX(_xlfn.TEXTSPLIT(S35," "),,1),"")</f>
        <v>Loading</v>
      </c>
      <c r="AB35" s="35" t="str">
        <f>IF(NOT(AA35=""),_xlfn.XLOOKUP(AA35,'weapon masteries'!$A$10:$A$19,'weapon masteries'!$B$10:$B$19,"",0),"")</f>
        <v>Because of the time required to load this weapon, you can fire only one piece of ammunition from it when you use an action, bonus action, or reaction to fire it, regardless of the number of attacks you can normally make.</v>
      </c>
      <c r="AC35" s="36" t="str" cm="1">
        <f t="array" ref="AC35">IFERROR(INDEX(_xlfn.TEXTSPLIT(T35," "),,1),"")</f>
        <v/>
      </c>
      <c r="AD35" s="35" t="str">
        <f>IF(NOT(AC35=""),_xlfn.XLOOKUP(AC35,'weapon masteries'!$A$10:$A$20,'weapon masteries'!$B$10:$B$20,"",0),"")</f>
        <v/>
      </c>
    </row>
    <row r="36" spans="1:30" ht="13.5" customHeight="1" x14ac:dyDescent="0.3">
      <c r="A36" s="9" t="s">
        <v>8656</v>
      </c>
      <c r="B36" s="9" t="s">
        <v>9613</v>
      </c>
      <c r="C36" s="9" t="s">
        <v>4117</v>
      </c>
      <c r="D36" s="9" t="s">
        <v>9542</v>
      </c>
      <c r="E36" s="9" t="s">
        <v>8657</v>
      </c>
      <c r="F36" s="9" t="s">
        <v>8652</v>
      </c>
      <c r="G36" s="9" t="s">
        <v>9749</v>
      </c>
      <c r="H36" s="9"/>
      <c r="I36" s="14"/>
      <c r="J36" s="13" t="str">
        <f t="shared" si="0"/>
        <v xml:space="preserve">Ranged Weapon Attack: [ATK_MOD] to hit, range 100/400 ft, one target. Hit: [DAMAGE] piercing damage. </v>
      </c>
      <c r="L36" s="8" t="str">
        <f t="shared" si="1"/>
        <v>Properties: Ammunition (You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 Heavy (Creatures that are Small or Tiny have disadvantage on attack rolls with heavy weapons. A heavy weapon's size and bulk make it too large for a Small or Tiny creature to use effectively.), Because of the time required to load this weapon, you can fire only one piece of ammunition from it when you use an action, bonus action, or reaction to fire it, regardless of the number of attacks you can normally make. (Two-Handed)</v>
      </c>
      <c r="P36" s="35" t="str" cm="1">
        <f t="array" ref="P36:T36">IFERROR(_xlfn.TEXTSPLIT(G36,", ",,TRUE),"")</f>
        <v>Ammunition</v>
      </c>
      <c r="Q36" s="35" t="str">
        <v>Range (100/400)</v>
      </c>
      <c r="R36" s="35" t="str">
        <v>Heavy</v>
      </c>
      <c r="S36" s="35" t="str">
        <v>Loading</v>
      </c>
      <c r="T36" s="35" t="str">
        <v>Two-Handed</v>
      </c>
      <c r="U36" s="36" t="str" cm="1">
        <f t="array" ref="U36">IFERROR(INDEX(_xlfn.TEXTSPLIT(P36," "),,1),"")</f>
        <v>Ammunition</v>
      </c>
      <c r="V36" s="35" t="str">
        <f>IF(NOT(U36=""),_xlfn.XLOOKUP(U36,'weapon masteries'!$A$10:$A$19,'weapon masteries'!$B$10:$B$19,"",0),"")</f>
        <v>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v>
      </c>
      <c r="W36" s="36" t="str" cm="1">
        <f t="array" ref="W36">IFERROR(INDEX(_xlfn.TEXTSPLIT(Q36," "),,1),"")</f>
        <v>Range</v>
      </c>
      <c r="X36" s="35" t="str">
        <f>IF(NOT(W36=""),_xlfn.XLOOKUP(W36,'weapon masteries'!$A$10:$A$19,'weapon masteries'!$B$10:$B$19,"",0),"")</f>
        <v>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Y36" s="36" t="str" cm="1">
        <f t="array" ref="Y36">IFERROR(INDEX(_xlfn.TEXTSPLIT(R36," "),,1),"")</f>
        <v>Heavy</v>
      </c>
      <c r="Z36" s="35" t="str">
        <f>IF(NOT(Y36=""),_xlfn.XLOOKUP(Y36,'weapon masteries'!$A$10:$A$19,'weapon masteries'!$B$10:$B$19,"",0),"")</f>
        <v>Creatures that are Small or Tiny have disadvantage on attack rolls with heavy weapons. A heavy weapon's size and bulk make it too large for a Small or Tiny creature to use effectively.</v>
      </c>
      <c r="AA36" s="36" t="str" cm="1">
        <f t="array" ref="AA36">IFERROR(INDEX(_xlfn.TEXTSPLIT(S36," "),,1),"")</f>
        <v>Loading</v>
      </c>
      <c r="AB36" s="35" t="str">
        <f>IF(NOT(AA36=""),_xlfn.XLOOKUP(AA36,'weapon masteries'!$A$10:$A$19,'weapon masteries'!$B$10:$B$19,"",0),"")</f>
        <v>Because of the time required to load this weapon, you can fire only one piece of ammunition from it when you use an action, bonus action, or reaction to fire it, regardless of the number of attacks you can normally make.</v>
      </c>
      <c r="AC36" s="36" t="str" cm="1">
        <f t="array" ref="AC36">IFERROR(INDEX(_xlfn.TEXTSPLIT(T36," "),,1),"")</f>
        <v>Two-Handed</v>
      </c>
      <c r="AD36" s="35" t="str">
        <f>IF(NOT(AC36=""),_xlfn.XLOOKUP(AC36,'weapon masteries'!$A$10:$A$20,'weapon masteries'!$B$10:$B$20,"",0),"")</f>
        <v>This weapon requires two hands to use. This property is relevant only when you attack with the weapon, not when you simply hold it.</v>
      </c>
    </row>
    <row r="37" spans="1:30" ht="13.5" customHeight="1" x14ac:dyDescent="0.3">
      <c r="A37" s="9" t="s">
        <v>8656</v>
      </c>
      <c r="B37" s="9" t="s">
        <v>9614</v>
      </c>
      <c r="C37" s="9" t="s">
        <v>4117</v>
      </c>
      <c r="D37" s="9" t="s">
        <v>9543</v>
      </c>
      <c r="E37" s="9" t="s">
        <v>8653</v>
      </c>
      <c r="F37" s="9" t="s">
        <v>8652</v>
      </c>
      <c r="G37" s="9" t="s">
        <v>9744</v>
      </c>
      <c r="H37" s="9"/>
      <c r="I37" s="14"/>
      <c r="J37" s="13" t="str">
        <f t="shared" si="0"/>
        <v xml:space="preserve">Ranged Weapon Attack: [ATK_MOD] to hit, range 150/600 ft, one target. Hit: [DAMAGE] piercing damage. </v>
      </c>
      <c r="L37" s="8" t="str">
        <f t="shared" si="1"/>
        <v>Properties: Ammunition (You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 Range (A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 Heavy (Creatures that are Small or Tiny have disadvantage on attack rolls with heavy weapons. A heavy weapon's size and bulk make it too large for a Small or Tiny creature to use effectively.), This weapon requires two hands to use. This property is relevant only when you attack with the weapon, not when you simply hold it. ()</v>
      </c>
      <c r="P37" s="35" t="str" cm="1">
        <f t="array" ref="P37:S37">IFERROR(_xlfn.TEXTSPLIT(G37,", ",,TRUE),"")</f>
        <v>Ammunition</v>
      </c>
      <c r="Q37" s="35" t="str">
        <v>Range (150/600)</v>
      </c>
      <c r="R37" s="35" t="str">
        <v>Heavy</v>
      </c>
      <c r="S37" s="35" t="str">
        <v>Two-Handed</v>
      </c>
      <c r="U37" s="36" t="str" cm="1">
        <f t="array" ref="U37">IFERROR(INDEX(_xlfn.TEXTSPLIT(P37," "),,1),"")</f>
        <v>Ammunition</v>
      </c>
      <c r="V37" s="35" t="str">
        <f>IF(NOT(U37=""),_xlfn.XLOOKUP(U37,'weapon masteries'!$A$10:$A$19,'weapon masteries'!$B$10:$B$19,"",0),"")</f>
        <v>You can use a weapon that has the ammunition property to make a ranged attack only if you have ammunition to fire from the weapon. Each time you attack with the weapon, you expend one piece of ammunition. Drawing the ammunition from a quiver, case, or other container is part of the attack. Loading a one-handed weapon requires a free hand. At the end of the battle, you can recover half your expended ammunition by taking a minute to search the battlefield. If you use a weapon that has the ammunition property to make a melee attack, you treat the weapon as an improvised weapon. A sling must be loaded to deal any damage when used in this way.</v>
      </c>
      <c r="W37" s="36" t="str" cm="1">
        <f t="array" ref="W37">IFERROR(INDEX(_xlfn.TEXTSPLIT(Q37," "),,1),"")</f>
        <v>Range</v>
      </c>
      <c r="X37" s="35" t="str">
        <f>IF(NOT(W37=""),_xlfn.XLOOKUP(W37,'weapon masteries'!$A$10:$A$19,'weapon masteries'!$B$10:$B$19,"",0),"")</f>
        <v>A weapon that can be used to make a ranged attack has a range shown in parentheses after the ammunition or thrown property. The range lists two numbers. The first is the weapon’s normal range in feet, and the second indicates the weapon’s maximum range. When attacking a target beyond normal range, you have disadvantage on the attack roll. You can’t attack a target beyond the weapon’s long range.</v>
      </c>
      <c r="Y37" s="36" t="str" cm="1">
        <f t="array" ref="Y37">IFERROR(INDEX(_xlfn.TEXTSPLIT(R37," "),,1),"")</f>
        <v>Heavy</v>
      </c>
      <c r="Z37" s="35" t="str">
        <f>IF(NOT(Y37=""),_xlfn.XLOOKUP(Y37,'weapon masteries'!$A$10:$A$19,'weapon masteries'!$B$10:$B$19,"",0),"")</f>
        <v>Creatures that are Small or Tiny have disadvantage on attack rolls with heavy weapons. A heavy weapon's size and bulk make it too large for a Small or Tiny creature to use effectively.</v>
      </c>
      <c r="AA37" s="36" t="str" cm="1">
        <f t="array" ref="AA37">IFERROR(INDEX(_xlfn.TEXTSPLIT(S37," "),,1),"")</f>
        <v>Two-Handed</v>
      </c>
      <c r="AB37" s="35" t="str">
        <f>IF(NOT(AA37=""),_xlfn.XLOOKUP(AA37,'weapon masteries'!$A$10:$A$19,'weapon masteries'!$B$10:$B$19,"",0),"")</f>
        <v>This weapon requires two hands to use. This property is relevant only when you attack with the weapon, not when you simply hold it.</v>
      </c>
      <c r="AC37" s="36" t="str" cm="1">
        <f t="array" ref="AC37">IFERROR(INDEX(_xlfn.TEXTSPLIT(T37," "),,1),"")</f>
        <v/>
      </c>
      <c r="AD37" s="35" t="str">
        <f>IF(NOT(AC37=""),_xlfn.XLOOKUP(AC37,'weapon masteries'!$A$10:$A$20,'weapon masteries'!$B$10:$B$20,"",0),"")</f>
        <v/>
      </c>
    </row>
    <row r="38" spans="1:30" s="40" customFormat="1" ht="13.5" customHeight="1" thickBot="1" x14ac:dyDescent="0.35">
      <c r="A38" s="39" t="s">
        <v>8656</v>
      </c>
      <c r="B38" s="39" t="s">
        <v>9615</v>
      </c>
      <c r="C38" s="39" t="s">
        <v>4117</v>
      </c>
      <c r="D38" s="39" t="s">
        <v>9544</v>
      </c>
      <c r="E38" s="39"/>
      <c r="F38" s="39"/>
      <c r="G38" s="39" t="s">
        <v>9745</v>
      </c>
      <c r="H38" s="39"/>
      <c r="I38" s="39" t="s">
        <v>9726</v>
      </c>
      <c r="J38" s="40" t="str">
        <f t="shared" si="0"/>
        <v>Ranged Weapon Attack: [ATK_MOD] to hit, range 5/15 ft, one target. Hit: [DAMAGE]  damage. A Large or smaller creature hit by a net is restrained until it is freed. A net has no effect on creatures that are formless, or creatures that are Huge or larger. A creature can use its action to make a DC 10 Strength check, freeing itself or another creature within its reach on a success. Dealing 5 slashing damage to the net (AC 10) also frees the creature without harming it, ending the effect and destroying the net. When the [MON] uses an action, bonus action, or reaction to attack with a net, it can make only one attack regardless of the number of attacks it can normally make.</v>
      </c>
      <c r="L38" s="40" t="str">
        <f t="shared" si="1"/>
        <v>Property: Thrown (If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P38" s="41" t="str" cm="1">
        <f t="array" ref="P38">IFERROR(_xlfn.TEXTSPLIT(G38,", ",,TRUE),"")</f>
        <v>Thrown (5/15)</v>
      </c>
      <c r="Q38" s="41"/>
      <c r="R38" s="41"/>
      <c r="S38" s="41"/>
      <c r="T38" s="41"/>
      <c r="U38" s="42" t="str" cm="1">
        <f t="array" ref="U38">IFERROR(INDEX(_xlfn.TEXTSPLIT(P38," "),,1),"")</f>
        <v>Thrown</v>
      </c>
      <c r="V38" s="41" t="str">
        <f>IF(NOT(U38=""),_xlfn.XLOOKUP(U38,'weapon masteries'!$A$10:$A$19,'weapon masteries'!$B$10:$B$19,"",0),"")</f>
        <v>If a weapon has the thrown property, you can throw the weapon to make a ranged attack. If the weapon is a melee weapon, you use the same ability modifier for that attack roll and damage roll that you would use for a melee attack with the weapon. For example, if you throw a handaxe, you use your Strength, but if you throw a dagger, you can use either your Strength or your Dexterity, since the dagger has the finesse property.</v>
      </c>
      <c r="W38" s="42" t="str" cm="1">
        <f t="array" ref="W38">IFERROR(INDEX(_xlfn.TEXTSPLIT(Q38," "),,1),"")</f>
        <v/>
      </c>
      <c r="X38" s="41" t="str">
        <f>IF(NOT(W38=""),_xlfn.XLOOKUP(W38,'weapon masteries'!$A$10:$A$19,'weapon masteries'!$B$10:$B$19,"",0),"")</f>
        <v/>
      </c>
      <c r="Y38" s="42" t="str" cm="1">
        <f t="array" ref="Y38">IFERROR(INDEX(_xlfn.TEXTSPLIT(R38," "),,1),"")</f>
        <v/>
      </c>
      <c r="Z38" s="41" t="str">
        <f>IF(NOT(Y38=""),_xlfn.XLOOKUP(Y38,'weapon masteries'!$A$10:$A$19,'weapon masteries'!$B$10:$B$19,"",0),"")</f>
        <v/>
      </c>
      <c r="AA38" s="42" t="str" cm="1">
        <f t="array" ref="AA38">IFERROR(INDEX(_xlfn.TEXTSPLIT(S38," "),,1),"")</f>
        <v/>
      </c>
      <c r="AB38" s="41" t="str">
        <f>IF(NOT(AA38=""),_xlfn.XLOOKUP(AA38,'weapon masteries'!$A$10:$A$19,'weapon masteries'!$B$10:$B$19,"",0),"")</f>
        <v/>
      </c>
      <c r="AC38" s="42" t="str" cm="1">
        <f t="array" ref="AC38">IFERROR(INDEX(_xlfn.TEXTSPLIT(T38," "),,1),"")</f>
        <v/>
      </c>
      <c r="AD38" s="41" t="str">
        <f>IF(NOT(AC38=""),_xlfn.XLOOKUP(AC38,'weapon masteries'!$A$10:$A$20,'weapon masteries'!$B$10:$B$20,"",0),"")</f>
        <v/>
      </c>
    </row>
    <row r="39" spans="1:30" ht="13.5" customHeight="1" thickTop="1" x14ac:dyDescent="0.3">
      <c r="A39" s="18" t="s">
        <v>8648</v>
      </c>
      <c r="B39" s="8" t="s">
        <v>9616</v>
      </c>
      <c r="C39" s="18" t="s">
        <v>350</v>
      </c>
      <c r="D39" s="18" t="s">
        <v>9535</v>
      </c>
      <c r="E39" s="18" t="s">
        <v>8649</v>
      </c>
      <c r="F39" s="18" t="s">
        <v>8650</v>
      </c>
      <c r="G39" s="37" t="s">
        <v>544</v>
      </c>
      <c r="H39" s="38" t="s">
        <v>208</v>
      </c>
      <c r="I39" s="16"/>
      <c r="J39" s="13" t="str">
        <f t="shared" si="0"/>
        <v xml:space="preserve">Melee Weapon Attack: [ATK_MOD] to hit, reach 5 ft, one target. Hit: [DAMAGE] bludgeoning damage. </v>
      </c>
      <c r="K39" s="8" t="str">
        <f>"Mastery: "&amp;H39&amp;". "&amp;_xlfn.XLOOKUP(H39,'weapon masteries'!A$2:A$9,'weapon masteries'!B$2:B$9,"",0)</f>
        <v>Mastery: Slow. If the [MON] hits a creature with this weapon and deals damage to it, it can reduce the target's speed by 10 feet until the start of the [MON]'s next turn. If the creature is hit more than once by weapons that have this property, the speed reduction doesn’t exceed 10 feet.</v>
      </c>
      <c r="L39" s="8" t="str">
        <f t="shared" si="1"/>
        <v>Property: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P39" s="35" t="str" cm="1">
        <f t="array" ref="P39">IFERROR(_xlfn.TEXTSPLIT(G39,", ",,TRUE),"")</f>
        <v>Light</v>
      </c>
      <c r="U39" s="36" t="str" cm="1">
        <f t="array" ref="U39">IFERROR(INDEX(_xlfn.TEXTSPLIT(P39," "),,1),"")</f>
        <v>Light</v>
      </c>
      <c r="V39" s="35" t="str">
        <f>IF(NOT(U39=""),_xlfn.XLOOKUP(U39,'weapon masteries'!$A$20:$A$29,'weapon masteries'!$B$20:$B$29,"",0),"")</f>
        <v>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W39" s="36" t="str" cm="1">
        <f t="array" ref="W39">IFERROR(INDEX(_xlfn.TEXTSPLIT(Q39," "),,1),"")</f>
        <v/>
      </c>
      <c r="X39" s="35" t="str">
        <f>IF(NOT(W39=""),_xlfn.XLOOKUP(W39,'weapon masteries'!$A$20:$A$29,'weapon masteries'!$B$20:$B$29,"",0),"")</f>
        <v/>
      </c>
      <c r="Y39" s="36" t="str" cm="1">
        <f t="array" ref="Y39">IFERROR(INDEX(_xlfn.TEXTSPLIT(R39," "),,1),"")</f>
        <v/>
      </c>
      <c r="Z39" s="35" t="str">
        <f>IF(NOT(Y39=""),_xlfn.XLOOKUP(Y39,'weapon masteries'!$A$20:$A$29,'weapon masteries'!$B$20:$B$29,"",0),"")</f>
        <v/>
      </c>
      <c r="AA39" s="36" t="str" cm="1">
        <f t="array" ref="AA39">IFERROR(INDEX(_xlfn.TEXTSPLIT(S39," "),,1),"")</f>
        <v/>
      </c>
      <c r="AB39" s="35" t="str">
        <f>IF(NOT(AA39=""),_xlfn.XLOOKUP(AA39,'weapon masteries'!$A$20:$A$29,'weapon masteries'!$B$20:$B$29,"",0),"")</f>
        <v/>
      </c>
      <c r="AC39" s="36" t="str" cm="1">
        <f t="array" ref="AC39">IFERROR(INDEX(_xlfn.TEXTSPLIT(T39," "),,1),"")</f>
        <v/>
      </c>
      <c r="AD39" s="35" t="str">
        <f>IF(NOT(AC39=""),_xlfn.XLOOKUP(AC39,'weapon masteries'!$A$20:$A$29,'weapon masteries'!$B$20:$B$29,"",0),"")</f>
        <v/>
      </c>
    </row>
    <row r="40" spans="1:30" ht="13.5" customHeight="1" x14ac:dyDescent="0.3">
      <c r="A40" s="14" t="s">
        <v>8651</v>
      </c>
      <c r="B40" s="13" t="s">
        <v>9617</v>
      </c>
      <c r="C40" s="17" t="s">
        <v>9652</v>
      </c>
      <c r="D40" s="9" t="s">
        <v>9533</v>
      </c>
      <c r="E40" s="9" t="s">
        <v>8649</v>
      </c>
      <c r="F40" s="9" t="s">
        <v>8652</v>
      </c>
      <c r="G40" s="14" t="s">
        <v>9719</v>
      </c>
      <c r="H40" s="11" t="s">
        <v>9654</v>
      </c>
      <c r="I40" s="13"/>
      <c r="J40" s="13" t="str">
        <f t="shared" si="0"/>
        <v xml:space="preserve">Melee or Ranged Weapon Attack: [ATK_MOD] to hit, reach 5 ft or range 20/60 ft, one target. Hit: [DAMAGE] piercing damage. </v>
      </c>
      <c r="K40" s="13" t="str">
        <f>"Mastery: "&amp;H40&amp;". "&amp;_xlfn.XLOOKUP(H40,'weapon masteries'!A$2:A$9,'weapon masteries'!B$2:B$9,"",0)</f>
        <v>Mastery: Nick. When the [MON] makes the extra attack of the Light property, it can make it as part of the Attack action instead of as a Bonus Action. It can make this extra attack only once per turn.</v>
      </c>
      <c r="L40" s="8" t="str">
        <f t="shared" si="1"/>
        <v>Properties: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P40" s="35" t="str" cm="1">
        <f t="array" ref="P40:R40">IFERROR(_xlfn.TEXTSPLIT(G40,", ",,TRUE),"")</f>
        <v>Finesse</v>
      </c>
      <c r="Q40" s="35" t="str">
        <v>Light</v>
      </c>
      <c r="R40" s="35" t="str">
        <v>Thrown (Range 20/60)</v>
      </c>
      <c r="U40" s="36" t="str" cm="1">
        <f t="array" ref="U40">IFERROR(INDEX(_xlfn.TEXTSPLIT(P40," "),,1),"")</f>
        <v>Finesse</v>
      </c>
      <c r="V40" s="35" t="str">
        <f>IF(NOT(U40=""),_xlfn.XLOOKUP(U40,'weapon masteries'!$A$20:$A$29,'weapon masteries'!$B$20:$B$29,"",0),"")</f>
        <v>When making an attack with a Finesse weapon, use your choice of your Strength or Dexterity modifier for the attack and damage rolls. You must use the same modifier for both rolls.</v>
      </c>
      <c r="W40" s="36" t="str" cm="1">
        <f t="array" ref="W40">IFERROR(INDEX(_xlfn.TEXTSPLIT(Q40," "),,1),"")</f>
        <v>Light</v>
      </c>
      <c r="X40" s="35" t="str">
        <f>IF(NOT(W40=""),_xlfn.XLOOKUP(W40,'weapon masteries'!$A$20:$A$29,'weapon masteries'!$B$20:$B$29,"",0),"")</f>
        <v>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Y40" s="36" t="str" cm="1">
        <f t="array" ref="Y40">IFERROR(INDEX(_xlfn.TEXTSPLIT(R40," "),,1),"")</f>
        <v>Thrown</v>
      </c>
      <c r="Z40" s="35" t="str">
        <f>IF(NOT(Y40=""),_xlfn.XLOOKUP(Y40,'weapon masteries'!$A$20:$A$29,'weapon masteries'!$B$20:$B$29,"",0),"")</f>
        <v>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AA40" s="36" t="str" cm="1">
        <f t="array" ref="AA40">IFERROR(INDEX(_xlfn.TEXTSPLIT(S40," "),,1),"")</f>
        <v/>
      </c>
      <c r="AB40" s="35" t="str">
        <f>IF(NOT(AA40=""),_xlfn.XLOOKUP(AA40,'weapon masteries'!$A$20:$A$29,'weapon masteries'!$B$20:$B$29,"",0),"")</f>
        <v/>
      </c>
      <c r="AC40" s="36" t="str" cm="1">
        <f t="array" ref="AC40">IFERROR(INDEX(_xlfn.TEXTSPLIT(T40," "),,1),"")</f>
        <v/>
      </c>
      <c r="AD40" s="35" t="str">
        <f>IF(NOT(AC40=""),_xlfn.XLOOKUP(AC40,'weapon masteries'!$A$20:$A$29,'weapon masteries'!$B$20:$B$29,"",0),"")</f>
        <v/>
      </c>
    </row>
    <row r="41" spans="1:30" ht="13.5" customHeight="1" x14ac:dyDescent="0.3">
      <c r="A41" s="9" t="s">
        <v>8648</v>
      </c>
      <c r="B41" s="18" t="s">
        <v>9618</v>
      </c>
      <c r="C41" s="9" t="s">
        <v>350</v>
      </c>
      <c r="D41" s="9" t="s">
        <v>9536</v>
      </c>
      <c r="E41" s="9" t="s">
        <v>8653</v>
      </c>
      <c r="F41" s="9" t="s">
        <v>8650</v>
      </c>
      <c r="G41" s="14" t="s">
        <v>9689</v>
      </c>
      <c r="H41" s="11" t="s">
        <v>415</v>
      </c>
      <c r="I41" s="13"/>
      <c r="J41" s="13" t="str">
        <f t="shared" si="0"/>
        <v xml:space="preserve">Melee Weapon Attack: [ATK_MOD] to hit, reach 5 ft target, one target. Hit: [DAMAGE] bludgeoning damage. </v>
      </c>
      <c r="K41" s="13" t="str">
        <f>"Mastery: "&amp;H41&amp;". "&amp;_xlfn.XLOOKUP(H41,'weapon masteries'!A$2:A$9,'weapon masteries'!B$2:B$9,"",0)</f>
        <v>Mastery: Push. If the [MON] hits a creature with this weapon, it can push the creature up to 10 feet straight away from itself if it is Large or smaller.</v>
      </c>
      <c r="L41" s="8" t="str">
        <f t="shared" si="1"/>
        <v>Property: Two-Handed (A Two-Handed weapon requires two hands when you attack with it.)</v>
      </c>
      <c r="P41" s="35" t="str" cm="1">
        <f t="array" ref="P41">IFERROR(_xlfn.TEXTSPLIT(G41,", ",,TRUE),"")</f>
        <v>Two-Handed</v>
      </c>
      <c r="U41" s="36" t="str" cm="1">
        <f t="array" ref="U41">IFERROR(INDEX(_xlfn.TEXTSPLIT(P41," "),,1),"")</f>
        <v>Two-Handed</v>
      </c>
      <c r="V41" s="35" t="str">
        <f>IF(NOT(U41=""),_xlfn.XLOOKUP(U41,'weapon masteries'!$A$20:$A$29,'weapon masteries'!$B$20:$B$29,"",0),"")</f>
        <v>A Two-Handed weapon requires two hands when you attack with it.</v>
      </c>
      <c r="W41" s="36" t="str" cm="1">
        <f t="array" ref="W41">IFERROR(INDEX(_xlfn.TEXTSPLIT(Q41," "),,1),"")</f>
        <v/>
      </c>
      <c r="X41" s="35" t="str">
        <f>IF(NOT(W41=""),_xlfn.XLOOKUP(W41,'weapon masteries'!$A$20:$A$29,'weapon masteries'!$B$20:$B$29,"",0),"")</f>
        <v/>
      </c>
      <c r="Y41" s="36" t="str" cm="1">
        <f t="array" ref="Y41">IFERROR(INDEX(_xlfn.TEXTSPLIT(R41," "),,1),"")</f>
        <v/>
      </c>
      <c r="Z41" s="35" t="str">
        <f>IF(NOT(Y41=""),_xlfn.XLOOKUP(Y41,'weapon masteries'!$A$20:$A$29,'weapon masteries'!$B$20:$B$29,"",0),"")</f>
        <v/>
      </c>
      <c r="AA41" s="36" t="str" cm="1">
        <f t="array" ref="AA41">IFERROR(INDEX(_xlfn.TEXTSPLIT(S41," "),,1),"")</f>
        <v/>
      </c>
      <c r="AB41" s="35" t="str">
        <f>IF(NOT(AA41=""),_xlfn.XLOOKUP(AA41,'weapon masteries'!$A$20:$A$29,'weapon masteries'!$B$20:$B$29,"",0),"")</f>
        <v/>
      </c>
      <c r="AC41" s="36" t="str" cm="1">
        <f t="array" ref="AC41">IFERROR(INDEX(_xlfn.TEXTSPLIT(T41," "),,1),"")</f>
        <v/>
      </c>
      <c r="AD41" s="35" t="str">
        <f>IF(NOT(AC41=""),_xlfn.XLOOKUP(AC41,'weapon masteries'!$A$20:$A$29,'weapon masteries'!$B$20:$B$29,"",0),"")</f>
        <v/>
      </c>
    </row>
    <row r="42" spans="1:30" ht="13.5" customHeight="1" x14ac:dyDescent="0.3">
      <c r="A42" s="9" t="s">
        <v>8651</v>
      </c>
      <c r="B42" s="9" t="s">
        <v>9619</v>
      </c>
      <c r="C42" s="9" t="s">
        <v>9652</v>
      </c>
      <c r="D42" s="9" t="s">
        <v>9533</v>
      </c>
      <c r="E42" s="9" t="s">
        <v>8654</v>
      </c>
      <c r="F42" s="9" t="s">
        <v>8655</v>
      </c>
      <c r="G42" s="14" t="s">
        <v>9720</v>
      </c>
      <c r="H42" s="11" t="s">
        <v>9655</v>
      </c>
      <c r="I42" s="13"/>
      <c r="J42" s="13" t="str">
        <f t="shared" si="0"/>
        <v xml:space="preserve">Melee or Ranged Weapon Attack: [ATK_MOD] to hit, reach 5 ft or range 20/60 ft, one target. Hit: [DAMAGE] slashing damage. </v>
      </c>
      <c r="K42" s="13" t="str">
        <f>"Mastery: "&amp;H42&amp;". "&amp;_xlfn.XLOOKUP(H42,'weapon masteries'!A$2:A$9,'weapon masteries'!B$2:B$9,"",0)</f>
        <v>Mastery: Vex. If the [MON] hits a creature with this weapon and deals damage to the creature, it has Advantage on its next attack roll against that creature before the end of its next turn.</v>
      </c>
      <c r="L42" s="8" t="str">
        <f t="shared" si="1"/>
        <v>Properties: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P42" s="35" t="str" cm="1">
        <f t="array" ref="P42:Q42">IFERROR(_xlfn.TEXTSPLIT(G42,", ",,TRUE),"")</f>
        <v>Light</v>
      </c>
      <c r="Q42" s="35" t="str">
        <v>Thrown (Range 20/60)</v>
      </c>
      <c r="U42" s="36" t="str" cm="1">
        <f t="array" ref="U42">IFERROR(INDEX(_xlfn.TEXTSPLIT(P42," "),,1),"")</f>
        <v>Light</v>
      </c>
      <c r="V42" s="35" t="str">
        <f>IF(NOT(U42=""),_xlfn.XLOOKUP(U42,'weapon masteries'!$A$20:$A$29,'weapon masteries'!$B$20:$B$29,"",0),"")</f>
        <v>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W42" s="36" t="str" cm="1">
        <f t="array" ref="W42">IFERROR(INDEX(_xlfn.TEXTSPLIT(Q42," "),,1),"")</f>
        <v>Thrown</v>
      </c>
      <c r="X42" s="35" t="str">
        <f>IF(NOT(W42=""),_xlfn.XLOOKUP(W42,'weapon masteries'!$A$20:$A$29,'weapon masteries'!$B$20:$B$29,"",0),"")</f>
        <v>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Y42" s="36" t="str" cm="1">
        <f t="array" ref="Y42">IFERROR(INDEX(_xlfn.TEXTSPLIT(R42," "),,1),"")</f>
        <v/>
      </c>
      <c r="Z42" s="35" t="str">
        <f>IF(NOT(Y42=""),_xlfn.XLOOKUP(Y42,'weapon masteries'!$A$20:$A$29,'weapon masteries'!$B$20:$B$29,"",0),"")</f>
        <v/>
      </c>
      <c r="AA42" s="36" t="str" cm="1">
        <f t="array" ref="AA42">IFERROR(INDEX(_xlfn.TEXTSPLIT(S42," "),,1),"")</f>
        <v/>
      </c>
      <c r="AB42" s="35" t="str">
        <f>IF(NOT(AA42=""),_xlfn.XLOOKUP(AA42,'weapon masteries'!$A$20:$A$29,'weapon masteries'!$B$20:$B$29,"",0),"")</f>
        <v/>
      </c>
      <c r="AC42" s="36" t="str" cm="1">
        <f t="array" ref="AC42">IFERROR(INDEX(_xlfn.TEXTSPLIT(T42," "),,1),"")</f>
        <v/>
      </c>
      <c r="AD42" s="35" t="str">
        <f>IF(NOT(AC42=""),_xlfn.XLOOKUP(AC42,'weapon masteries'!$A$20:$A$29,'weapon masteries'!$B$20:$B$29,"",0),"")</f>
        <v/>
      </c>
    </row>
    <row r="43" spans="1:30" ht="13.5" customHeight="1" x14ac:dyDescent="0.3">
      <c r="A43" s="9" t="s">
        <v>8651</v>
      </c>
      <c r="B43" s="9" t="s">
        <v>9620</v>
      </c>
      <c r="C43" s="9" t="s">
        <v>350</v>
      </c>
      <c r="D43" s="9" t="s">
        <v>9534</v>
      </c>
      <c r="E43" s="9" t="s">
        <v>8654</v>
      </c>
      <c r="F43" s="9" t="s">
        <v>8652</v>
      </c>
      <c r="G43" s="14" t="s">
        <v>9721</v>
      </c>
      <c r="H43" s="11" t="s">
        <v>208</v>
      </c>
      <c r="I43" s="13"/>
      <c r="J43" s="13" t="str">
        <f t="shared" si="0"/>
        <v xml:space="preserve">Melee or Ranged Weapon Attack: [ATK_MOD] to hit, reach 5 ft or range 30/120 ft, one target. Hit: [DAMAGE] piercing damage. </v>
      </c>
      <c r="K43" s="13" t="str">
        <f>"Mastery: "&amp;H43&amp;". "&amp;_xlfn.XLOOKUP(H43,'weapon masteries'!A$2:A$9,'weapon masteries'!B$2:B$9,"",0)</f>
        <v>Mastery: Slow. If the [MON] hits a creature with this weapon and deals damage to it, it can reduce the target's speed by 10 feet until the start of the [MON]'s next turn. If the creature is hit more than once by weapons that have this property, the speed reduction doesn’t exceed 10 feet.</v>
      </c>
      <c r="L43" s="8" t="str">
        <f t="shared" si="1"/>
        <v>Property: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P43" s="35" t="str" cm="1">
        <f t="array" ref="P43">IFERROR(_xlfn.TEXTSPLIT(G43,", ",,TRUE),"")</f>
        <v>Thrown (Range 30/120)</v>
      </c>
      <c r="U43" s="36" t="str" cm="1">
        <f t="array" ref="U43">IFERROR(INDEX(_xlfn.TEXTSPLIT(P43," "),,1),"")</f>
        <v>Thrown</v>
      </c>
      <c r="V43" s="35" t="str">
        <f>IF(NOT(U43=""),_xlfn.XLOOKUP(U43,'weapon masteries'!$A$20:$A$29,'weapon masteries'!$B$20:$B$29,"",0),"")</f>
        <v>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W43" s="36" t="str" cm="1">
        <f t="array" ref="W43">IFERROR(INDEX(_xlfn.TEXTSPLIT(Q43," "),,1),"")</f>
        <v/>
      </c>
      <c r="X43" s="35" t="str">
        <f>IF(NOT(W43=""),_xlfn.XLOOKUP(W43,'weapon masteries'!$A$20:$A$29,'weapon masteries'!$B$20:$B$29,"",0),"")</f>
        <v/>
      </c>
      <c r="Y43" s="36" t="str" cm="1">
        <f t="array" ref="Y43">IFERROR(INDEX(_xlfn.TEXTSPLIT(R43," "),,1),"")</f>
        <v/>
      </c>
      <c r="Z43" s="35" t="str">
        <f>IF(NOT(Y43=""),_xlfn.XLOOKUP(Y43,'weapon masteries'!$A$20:$A$29,'weapon masteries'!$B$20:$B$29,"",0),"")</f>
        <v/>
      </c>
      <c r="AA43" s="36" t="str" cm="1">
        <f t="array" ref="AA43">IFERROR(INDEX(_xlfn.TEXTSPLIT(S43," "),,1),"")</f>
        <v/>
      </c>
      <c r="AB43" s="35" t="str">
        <f>IF(NOT(AA43=""),_xlfn.XLOOKUP(AA43,'weapon masteries'!$A$20:$A$29,'weapon masteries'!$B$20:$B$29,"",0),"")</f>
        <v/>
      </c>
      <c r="AC43" s="36" t="str" cm="1">
        <f t="array" ref="AC43">IFERROR(INDEX(_xlfn.TEXTSPLIT(T43," "),,1),"")</f>
        <v/>
      </c>
      <c r="AD43" s="35" t="str">
        <f>IF(NOT(AC43=""),_xlfn.XLOOKUP(AC43,'weapon masteries'!$A$20:$A$29,'weapon masteries'!$B$20:$B$29,"",0),"")</f>
        <v/>
      </c>
    </row>
    <row r="44" spans="1:30" ht="13.5" customHeight="1" x14ac:dyDescent="0.3">
      <c r="A44" s="9" t="s">
        <v>8651</v>
      </c>
      <c r="B44" s="9" t="s">
        <v>9621</v>
      </c>
      <c r="C44" s="9" t="s">
        <v>9652</v>
      </c>
      <c r="D44" s="9" t="s">
        <v>9533</v>
      </c>
      <c r="E44" s="9" t="s">
        <v>8649</v>
      </c>
      <c r="F44" s="9" t="s">
        <v>8650</v>
      </c>
      <c r="G44" s="14" t="s">
        <v>9720</v>
      </c>
      <c r="H44" s="11" t="s">
        <v>9654</v>
      </c>
      <c r="I44" s="13"/>
      <c r="J44" s="13" t="str">
        <f t="shared" si="0"/>
        <v xml:space="preserve">Melee or Ranged Weapon Attack: [ATK_MOD] to hit, reach 5 ft or range 20/60 ft, one target. Hit: [DAMAGE] bludgeoning damage. </v>
      </c>
      <c r="K44" s="13" t="str">
        <f>"Mastery: "&amp;H44&amp;". "&amp;_xlfn.XLOOKUP(H44,'weapon masteries'!A$2:A$9,'weapon masteries'!B$2:B$9,"",0)</f>
        <v>Mastery: Nick. When the [MON] makes the extra attack of the Light property, it can make it as part of the Attack action instead of as a Bonus Action. It can make this extra attack only once per turn.</v>
      </c>
      <c r="L44" s="8" t="str">
        <f t="shared" si="1"/>
        <v>Properties: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P44" s="35" t="str" cm="1">
        <f t="array" ref="P44:Q44">IFERROR(_xlfn.TEXTSPLIT(G44,", ",,TRUE),"")</f>
        <v>Light</v>
      </c>
      <c r="Q44" s="35" t="str">
        <v>Thrown (Range 20/60)</v>
      </c>
      <c r="U44" s="36" t="str" cm="1">
        <f t="array" ref="U44">IFERROR(INDEX(_xlfn.TEXTSPLIT(P44," "),,1),"")</f>
        <v>Light</v>
      </c>
      <c r="V44" s="35" t="str">
        <f>IF(NOT(U44=""),_xlfn.XLOOKUP(U44,'weapon masteries'!$A$20:$A$29,'weapon masteries'!$B$20:$B$29,"",0),"")</f>
        <v>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W44" s="36" t="str" cm="1">
        <f t="array" ref="W44">IFERROR(INDEX(_xlfn.TEXTSPLIT(Q44," "),,1),"")</f>
        <v>Thrown</v>
      </c>
      <c r="X44" s="35" t="str">
        <f>IF(NOT(W44=""),_xlfn.XLOOKUP(W44,'weapon masteries'!$A$20:$A$29,'weapon masteries'!$B$20:$B$29,"",0),"")</f>
        <v>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Y44" s="36" t="str" cm="1">
        <f t="array" ref="Y44">IFERROR(INDEX(_xlfn.TEXTSPLIT(R44," "),,1),"")</f>
        <v/>
      </c>
      <c r="Z44" s="35" t="str">
        <f>IF(NOT(Y44=""),_xlfn.XLOOKUP(Y44,'weapon masteries'!$A$20:$A$29,'weapon masteries'!$B$20:$B$29,"",0),"")</f>
        <v/>
      </c>
      <c r="AA44" s="36" t="str" cm="1">
        <f t="array" ref="AA44">IFERROR(INDEX(_xlfn.TEXTSPLIT(S44," "),,1),"")</f>
        <v/>
      </c>
      <c r="AB44" s="35" t="str">
        <f>IF(NOT(AA44=""),_xlfn.XLOOKUP(AA44,'weapon masteries'!$A$20:$A$29,'weapon masteries'!$B$20:$B$29,"",0),"")</f>
        <v/>
      </c>
      <c r="AC44" s="36" t="str" cm="1">
        <f t="array" ref="AC44">IFERROR(INDEX(_xlfn.TEXTSPLIT(T44," "),,1),"")</f>
        <v/>
      </c>
      <c r="AD44" s="35" t="str">
        <f>IF(NOT(AC44=""),_xlfn.XLOOKUP(AC44,'weapon masteries'!$A$20:$A$29,'weapon masteries'!$B$20:$B$29,"",0),"")</f>
        <v/>
      </c>
    </row>
    <row r="45" spans="1:30" ht="13.5" customHeight="1" x14ac:dyDescent="0.3">
      <c r="A45" s="9" t="s">
        <v>8648</v>
      </c>
      <c r="B45" s="9" t="s">
        <v>9622</v>
      </c>
      <c r="C45" s="9" t="s">
        <v>350</v>
      </c>
      <c r="D45" s="9" t="s">
        <v>9535</v>
      </c>
      <c r="E45" s="9" t="s">
        <v>8654</v>
      </c>
      <c r="F45" s="9" t="s">
        <v>8650</v>
      </c>
      <c r="G45" s="14"/>
      <c r="H45" s="11" t="s">
        <v>9656</v>
      </c>
      <c r="I45" s="13"/>
      <c r="J45" s="13" t="str">
        <f t="shared" si="0"/>
        <v xml:space="preserve">Melee Weapon Attack: [ATK_MOD] to hit, reach 5 ft, one target. Hit: [DAMAGE] bludgeoning damage. </v>
      </c>
      <c r="K45" s="13" t="str">
        <f>"Mastery: "&amp;H45&amp;". "&amp;_xlfn.XLOOKUP(H45,'weapon masteries'!A$2:A$9,'weapon masteries'!B$2:B$9,"",0)</f>
        <v>Mastery: Sap. If the [MON] hits a creature with this weapon, that creature has disadvantage on its next attack roll before the start of the [MON]'s next turn.</v>
      </c>
      <c r="L45" s="8" t="str">
        <f t="shared" si="1"/>
        <v/>
      </c>
      <c r="P45" s="35" t="str" cm="1">
        <f t="array" ref="P45">IFERROR(_xlfn.TEXTSPLIT(G45,", ",,TRUE),"")</f>
        <v/>
      </c>
      <c r="U45" s="36" t="str" cm="1">
        <f t="array" ref="U45">IFERROR(INDEX(_xlfn.TEXTSPLIT(P45," "),,1),"")</f>
        <v/>
      </c>
      <c r="V45" s="35" t="str">
        <f>IF(NOT(U45=""),_xlfn.XLOOKUP(U45,'weapon masteries'!$A$20:$A$29,'weapon masteries'!$B$20:$B$29,"",0),"")</f>
        <v/>
      </c>
      <c r="W45" s="36" t="str" cm="1">
        <f t="array" ref="W45">IFERROR(INDEX(_xlfn.TEXTSPLIT(Q45," "),,1),"")</f>
        <v/>
      </c>
      <c r="X45" s="35" t="str">
        <f>IF(NOT(W45=""),_xlfn.XLOOKUP(W45,'weapon masteries'!$A$20:$A$29,'weapon masteries'!$B$20:$B$29,"",0),"")</f>
        <v/>
      </c>
      <c r="Y45" s="36" t="str" cm="1">
        <f t="array" ref="Y45">IFERROR(INDEX(_xlfn.TEXTSPLIT(R45," "),,1),"")</f>
        <v/>
      </c>
      <c r="Z45" s="35" t="str">
        <f>IF(NOT(Y45=""),_xlfn.XLOOKUP(Y45,'weapon masteries'!$A$20:$A$29,'weapon masteries'!$B$20:$B$29,"",0),"")</f>
        <v/>
      </c>
      <c r="AA45" s="36" t="str" cm="1">
        <f t="array" ref="AA45">IFERROR(INDEX(_xlfn.TEXTSPLIT(S45," "),,1),"")</f>
        <v/>
      </c>
      <c r="AB45" s="35" t="str">
        <f>IF(NOT(AA45=""),_xlfn.XLOOKUP(AA45,'weapon masteries'!$A$20:$A$29,'weapon masteries'!$B$20:$B$29,"",0),"")</f>
        <v/>
      </c>
      <c r="AC45" s="36" t="str" cm="1">
        <f t="array" ref="AC45">IFERROR(INDEX(_xlfn.TEXTSPLIT(T45," "),,1),"")</f>
        <v/>
      </c>
      <c r="AD45" s="35" t="str">
        <f>IF(NOT(AC45=""),_xlfn.XLOOKUP(AC45,'weapon masteries'!$A$20:$A$29,'weapon masteries'!$B$20:$B$29,"",0),"")</f>
        <v/>
      </c>
    </row>
    <row r="46" spans="1:30" ht="13.5" customHeight="1" x14ac:dyDescent="0.3">
      <c r="A46" s="9" t="s">
        <v>8648</v>
      </c>
      <c r="B46" s="9" t="s">
        <v>9623</v>
      </c>
      <c r="C46" s="9" t="s">
        <v>350</v>
      </c>
      <c r="D46" s="9" t="s">
        <v>9535</v>
      </c>
      <c r="E46" s="9" t="s">
        <v>8654</v>
      </c>
      <c r="F46" s="9" t="s">
        <v>8650</v>
      </c>
      <c r="G46" s="14" t="s">
        <v>9722</v>
      </c>
      <c r="H46" s="11" t="s">
        <v>112</v>
      </c>
      <c r="I46" s="13"/>
      <c r="J46" s="13" t="str">
        <f t="shared" si="0"/>
        <v xml:space="preserve">Melee Weapon Attack: [ATK_MOD] to hit, reach 5 ft, one target. Hit: [DAMAGE] bludgeoning damage. </v>
      </c>
      <c r="K46" s="13" t="str">
        <f>"Mastery: "&amp;H46&amp;". "&amp;_xlfn.XLOOKUP(H46,'weapon masteries'!A$2:A$9,'weapon masteries'!B$2:B$9,"",0)</f>
        <v>Mastery: Topple. If the [MON] hits a creature with this weapon, it can force the creature to make a Constitution saving throw (DC 8 plus the ability modifier used to make the attack roll and your Proficiency Bonus). On a failed save, the creature has the Prone condition.</v>
      </c>
      <c r="L46" s="8" t="str">
        <f t="shared" si="1"/>
        <v>Property: Versatile (A Versatile weapon can be used with one or two hands. A damage value in parentheses appears with the property. The weapon deals that damage when used with two hands to make a melee attack.)</v>
      </c>
      <c r="P46" s="35" t="str" cm="1">
        <f t="array" ref="P46">IFERROR(_xlfn.TEXTSPLIT(G46,", ",,TRUE),"")</f>
        <v>Versatile (1d8)</v>
      </c>
      <c r="U46" s="36" t="str" cm="1">
        <f t="array" ref="U46">IFERROR(INDEX(_xlfn.TEXTSPLIT(P46," "),,1),"")</f>
        <v>Versatile</v>
      </c>
      <c r="V46" s="35" t="str">
        <f>IF(NOT(U46=""),_xlfn.XLOOKUP(U46,'weapon masteries'!$A$20:$A$29,'weapon masteries'!$B$20:$B$29,"",0),"")</f>
        <v>A Versatile weapon can be used with one or two hands. A damage value in parentheses appears with the property. The weapon deals that damage when used with two hands to make a melee attack.</v>
      </c>
      <c r="W46" s="36" t="str" cm="1">
        <f t="array" ref="W46">IFERROR(INDEX(_xlfn.TEXTSPLIT(Q46," "),,1),"")</f>
        <v/>
      </c>
      <c r="X46" s="35" t="str">
        <f>IF(NOT(W46=""),_xlfn.XLOOKUP(W46,'weapon masteries'!$A$20:$A$29,'weapon masteries'!$B$20:$B$29,"",0),"")</f>
        <v/>
      </c>
      <c r="Y46" s="36" t="str" cm="1">
        <f t="array" ref="Y46">IFERROR(INDEX(_xlfn.TEXTSPLIT(R46," "),,1),"")</f>
        <v/>
      </c>
      <c r="Z46" s="35" t="str">
        <f>IF(NOT(Y46=""),_xlfn.XLOOKUP(Y46,'weapon masteries'!$A$20:$A$29,'weapon masteries'!$B$20:$B$29,"",0),"")</f>
        <v/>
      </c>
      <c r="AA46" s="36" t="str" cm="1">
        <f t="array" ref="AA46">IFERROR(INDEX(_xlfn.TEXTSPLIT(S46," "),,1),"")</f>
        <v/>
      </c>
      <c r="AB46" s="35" t="str">
        <f>IF(NOT(AA46=""),_xlfn.XLOOKUP(AA46,'weapon masteries'!$A$20:$A$29,'weapon masteries'!$B$20:$B$29,"",0),"")</f>
        <v/>
      </c>
      <c r="AC46" s="36" t="str" cm="1">
        <f t="array" ref="AC46">IFERROR(INDEX(_xlfn.TEXTSPLIT(T46," "),,1),"")</f>
        <v/>
      </c>
      <c r="AD46" s="35" t="str">
        <f>IF(NOT(AC46=""),_xlfn.XLOOKUP(AC46,'weapon masteries'!$A$20:$A$29,'weapon masteries'!$B$20:$B$29,"",0),"")</f>
        <v/>
      </c>
    </row>
    <row r="47" spans="1:30" ht="13.5" customHeight="1" x14ac:dyDescent="0.3">
      <c r="A47" s="9" t="s">
        <v>8648</v>
      </c>
      <c r="B47" s="9" t="s">
        <v>9624</v>
      </c>
      <c r="C47" s="9" t="s">
        <v>9652</v>
      </c>
      <c r="D47" s="9" t="s">
        <v>9535</v>
      </c>
      <c r="E47" s="9" t="s">
        <v>8649</v>
      </c>
      <c r="F47" s="9" t="s">
        <v>8655</v>
      </c>
      <c r="G47" s="14" t="s">
        <v>544</v>
      </c>
      <c r="H47" s="11" t="s">
        <v>9654</v>
      </c>
      <c r="I47" s="13"/>
      <c r="J47" s="13" t="str">
        <f t="shared" si="0"/>
        <v xml:space="preserve">Melee Weapon Attack: [ATK_MOD] to hit, reach 5 ft, one target. Hit: [DAMAGE] slashing damage. </v>
      </c>
      <c r="K47" s="13" t="str">
        <f>"Mastery: "&amp;H47&amp;". "&amp;_xlfn.XLOOKUP(H47,'weapon masteries'!A$2:A$9,'weapon masteries'!B$2:B$9,"",0)</f>
        <v>Mastery: Nick. When the [MON] makes the extra attack of the Light property, it can make it as part of the Attack action instead of as a Bonus Action. It can make this extra attack only once per turn.</v>
      </c>
      <c r="L47" s="8" t="str">
        <f t="shared" si="1"/>
        <v>Property: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P47" s="35" t="str" cm="1">
        <f t="array" ref="P47">IFERROR(_xlfn.TEXTSPLIT(G47,", ",,TRUE),"")</f>
        <v>Light</v>
      </c>
      <c r="U47" s="36" t="str" cm="1">
        <f t="array" ref="U47">IFERROR(INDEX(_xlfn.TEXTSPLIT(P47," "),,1),"")</f>
        <v>Light</v>
      </c>
      <c r="V47" s="35" t="str">
        <f>IF(NOT(U47=""),_xlfn.XLOOKUP(U47,'weapon masteries'!$A$20:$A$29,'weapon masteries'!$B$20:$B$29,"",0),"")</f>
        <v>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W47" s="36" t="str" cm="1">
        <f t="array" ref="W47">IFERROR(INDEX(_xlfn.TEXTSPLIT(Q47," "),,1),"")</f>
        <v/>
      </c>
      <c r="X47" s="35" t="str">
        <f>IF(NOT(W47=""),_xlfn.XLOOKUP(W47,'weapon masteries'!$A$20:$A$29,'weapon masteries'!$B$20:$B$29,"",0),"")</f>
        <v/>
      </c>
      <c r="Y47" s="36" t="str" cm="1">
        <f t="array" ref="Y47">IFERROR(INDEX(_xlfn.TEXTSPLIT(R47," "),,1),"")</f>
        <v/>
      </c>
      <c r="Z47" s="35" t="str">
        <f>IF(NOT(Y47=""),_xlfn.XLOOKUP(Y47,'weapon masteries'!$A$20:$A$29,'weapon masteries'!$B$20:$B$29,"",0),"")</f>
        <v/>
      </c>
      <c r="AA47" s="36" t="str" cm="1">
        <f t="array" ref="AA47">IFERROR(INDEX(_xlfn.TEXTSPLIT(S47," "),,1),"")</f>
        <v/>
      </c>
      <c r="AB47" s="35" t="str">
        <f>IF(NOT(AA47=""),_xlfn.XLOOKUP(AA47,'weapon masteries'!$A$20:$A$29,'weapon masteries'!$B$20:$B$29,"",0),"")</f>
        <v/>
      </c>
      <c r="AC47" s="36" t="str" cm="1">
        <f t="array" ref="AC47">IFERROR(INDEX(_xlfn.TEXTSPLIT(T47," "),,1),"")</f>
        <v/>
      </c>
      <c r="AD47" s="35" t="str">
        <f>IF(NOT(AC47=""),_xlfn.XLOOKUP(AC47,'weapon masteries'!$A$20:$A$29,'weapon masteries'!$B$20:$B$29,"",0),"")</f>
        <v/>
      </c>
    </row>
    <row r="48" spans="1:30" ht="13.5" customHeight="1" x14ac:dyDescent="0.3">
      <c r="A48" s="9" t="s">
        <v>8651</v>
      </c>
      <c r="B48" s="9" t="s">
        <v>9625</v>
      </c>
      <c r="C48" s="9" t="s">
        <v>350</v>
      </c>
      <c r="D48" s="9" t="s">
        <v>9533</v>
      </c>
      <c r="E48" s="9" t="s">
        <v>8654</v>
      </c>
      <c r="F48" s="9" t="s">
        <v>8652</v>
      </c>
      <c r="G48" s="14" t="s">
        <v>9723</v>
      </c>
      <c r="H48" s="11" t="s">
        <v>9656</v>
      </c>
      <c r="I48" s="13"/>
      <c r="J48" s="13" t="str">
        <f t="shared" si="0"/>
        <v xml:space="preserve">Melee or Ranged Weapon Attack: [ATK_MOD] to hit, reach 5 ft or range 20/60 ft, one target. Hit: [DAMAGE] piercing damage. </v>
      </c>
      <c r="K48" s="13" t="str">
        <f>"Mastery: "&amp;H48&amp;". "&amp;_xlfn.XLOOKUP(H48,'weapon masteries'!A$2:A$9,'weapon masteries'!B$2:B$9,"",0)</f>
        <v>Mastery: Sap. If the [MON] hits a creature with this weapon, that creature has disadvantage on its next attack roll before the start of the [MON]'s next turn.</v>
      </c>
      <c r="L48" s="8" t="str">
        <f t="shared" si="1"/>
        <v>Properties: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v>
      </c>
      <c r="P48" s="35" t="str" cm="1">
        <f t="array" ref="P48:Q48">IFERROR(_xlfn.TEXTSPLIT(G48,", ",,TRUE),"")</f>
        <v>Thrown (Range 20/60)</v>
      </c>
      <c r="Q48" s="35" t="str">
        <v>Versatile (1d8)</v>
      </c>
      <c r="U48" s="36" t="str" cm="1">
        <f t="array" ref="U48">IFERROR(INDEX(_xlfn.TEXTSPLIT(P48," "),,1),"")</f>
        <v>Thrown</v>
      </c>
      <c r="V48" s="35" t="str">
        <f>IF(NOT(U48=""),_xlfn.XLOOKUP(U48,'weapon masteries'!$A$20:$A$29,'weapon masteries'!$B$20:$B$29,"",0),"")</f>
        <v>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W48" s="36" t="str" cm="1">
        <f t="array" ref="W48">IFERROR(INDEX(_xlfn.TEXTSPLIT(Q48," "),,1),"")</f>
        <v>Versatile</v>
      </c>
      <c r="X48" s="35" t="str">
        <f>IF(NOT(W48=""),_xlfn.XLOOKUP(W48,'weapon masteries'!$A$20:$A$29,'weapon masteries'!$B$20:$B$29,"",0),"")</f>
        <v>A Versatile weapon can be used with one or two hands. A damage value in parentheses appears with the property. The weapon deals that damage when used with two hands to make a melee attack.</v>
      </c>
      <c r="Y48" s="36" t="str" cm="1">
        <f t="array" ref="Y48">IFERROR(INDEX(_xlfn.TEXTSPLIT(R48," "),,1),"")</f>
        <v/>
      </c>
      <c r="Z48" s="35" t="str">
        <f>IF(NOT(Y48=""),_xlfn.XLOOKUP(Y48,'weapon masteries'!$A$20:$A$29,'weapon masteries'!$B$20:$B$29,"",0),"")</f>
        <v/>
      </c>
      <c r="AA48" s="36" t="str" cm="1">
        <f t="array" ref="AA48">IFERROR(INDEX(_xlfn.TEXTSPLIT(S48," "),,1),"")</f>
        <v/>
      </c>
      <c r="AB48" s="35" t="str">
        <f>IF(NOT(AA48=""),_xlfn.XLOOKUP(AA48,'weapon masteries'!$A$20:$A$29,'weapon masteries'!$B$20:$B$29,"",0),"")</f>
        <v/>
      </c>
      <c r="AC48" s="36" t="str" cm="1">
        <f t="array" ref="AC48">IFERROR(INDEX(_xlfn.TEXTSPLIT(T48," "),,1),"")</f>
        <v/>
      </c>
      <c r="AD48" s="35" t="str">
        <f>IF(NOT(AC48=""),_xlfn.XLOOKUP(AC48,'weapon masteries'!$A$20:$A$29,'weapon masteries'!$B$20:$B$29,"",0),"")</f>
        <v/>
      </c>
    </row>
    <row r="49" spans="1:30" ht="13.5" customHeight="1" x14ac:dyDescent="0.3">
      <c r="A49" s="9" t="s">
        <v>8656</v>
      </c>
      <c r="B49" s="9" t="s">
        <v>9626</v>
      </c>
      <c r="C49" s="9" t="s">
        <v>4117</v>
      </c>
      <c r="D49" s="9" t="s">
        <v>9537</v>
      </c>
      <c r="E49" s="9" t="s">
        <v>8653</v>
      </c>
      <c r="F49" s="9" t="s">
        <v>8652</v>
      </c>
      <c r="G49" s="14" t="s">
        <v>9716</v>
      </c>
      <c r="H49" s="11" t="s">
        <v>208</v>
      </c>
      <c r="I49" s="13"/>
      <c r="J49" s="13" t="str">
        <f t="shared" si="0"/>
        <v xml:space="preserve">Ranged Weapon Attack: [ATK_MOD] to hit, range 80/320 ft, one target. Hit: [DAMAGE] piercing damage. </v>
      </c>
      <c r="K49" s="13" t="str">
        <f>"Mastery: "&amp;H49&amp;". "&amp;_xlfn.XLOOKUP(H49,'weapon masteries'!A$2:A$9,'weapon masteries'!B$2:B$9,"",0)</f>
        <v>Mastery: Slow. If the [MON] hits a creature with this weapon and deals damage to it, it can reduce the target's speed by 10 feet until the start of the [MON]'s next turn. If the creature is hit more than once by weapons that have this property, the speed reduction doesn’t exceed 10 feet.</v>
      </c>
      <c r="L49" s="8" t="str">
        <f t="shared" si="1"/>
        <v>Properties: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Loading (You can fire only one piece of ammunition from a Loading weapon when you use an action, a Bonus Action, or a Reaction to fire it, regardless of the number of attacks you can normally make.), Two-Handed (A Two-Handed weapon requires two hands when you attack with it.)</v>
      </c>
      <c r="P49" s="35" t="str" cm="1">
        <f t="array" ref="P49:R49">IFERROR(_xlfn.TEXTSPLIT(G49,", ",,TRUE),"")</f>
        <v>Ammunition (Range 80/320; Bolt)</v>
      </c>
      <c r="Q49" s="35" t="str">
        <v>Loading</v>
      </c>
      <c r="R49" s="35" t="str">
        <v>Two-Handed</v>
      </c>
      <c r="U49" s="36" t="str" cm="1">
        <f t="array" ref="U49">IFERROR(INDEX(_xlfn.TEXTSPLIT(P49," "),,1),"")</f>
        <v>Ammunition</v>
      </c>
      <c r="V49" s="35" t="str">
        <f>IF(NOT(U49=""),_xlfn.XLOOKUP(U49,'weapon masteries'!$A$20:$A$29,'weapon masteries'!$B$20:$B$29,"",0),"")</f>
        <v>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W49" s="36" t="str" cm="1">
        <f t="array" ref="W49">IFERROR(INDEX(_xlfn.TEXTSPLIT(Q49," "),,1),"")</f>
        <v>Loading</v>
      </c>
      <c r="X49" s="35" t="str">
        <f>IF(NOT(W49=""),_xlfn.XLOOKUP(W49,'weapon masteries'!$A$20:$A$29,'weapon masteries'!$B$20:$B$29,"",0),"")</f>
        <v>You can fire only one piece of ammunition from a Loading weapon when you use an action, a Bonus Action, or a Reaction to fire it, regardless of the number of attacks you can normally make.</v>
      </c>
      <c r="Y49" s="36" t="str" cm="1">
        <f t="array" ref="Y49">IFERROR(INDEX(_xlfn.TEXTSPLIT(R49," "),,1),"")</f>
        <v>Two-Handed</v>
      </c>
      <c r="Z49" s="35" t="str">
        <f>IF(NOT(Y49=""),_xlfn.XLOOKUP(Y49,'weapon masteries'!$A$20:$A$29,'weapon masteries'!$B$20:$B$29,"",0),"")</f>
        <v>A Two-Handed weapon requires two hands when you attack with it.</v>
      </c>
      <c r="AA49" s="36" t="str" cm="1">
        <f t="array" ref="AA49">IFERROR(INDEX(_xlfn.TEXTSPLIT(S49," "),,1),"")</f>
        <v/>
      </c>
      <c r="AB49" s="35" t="str">
        <f>IF(NOT(AA49=""),_xlfn.XLOOKUP(AA49,'weapon masteries'!$A$20:$A$29,'weapon masteries'!$B$20:$B$29,"",0),"")</f>
        <v/>
      </c>
      <c r="AC49" s="36" t="str" cm="1">
        <f t="array" ref="AC49">IFERROR(INDEX(_xlfn.TEXTSPLIT(T49," "),,1),"")</f>
        <v/>
      </c>
      <c r="AD49" s="35" t="str">
        <f>IF(NOT(AC49=""),_xlfn.XLOOKUP(AC49,'weapon masteries'!$A$20:$A$29,'weapon masteries'!$B$20:$B$29,"",0),"")</f>
        <v/>
      </c>
    </row>
    <row r="50" spans="1:30" ht="13.5" customHeight="1" x14ac:dyDescent="0.3">
      <c r="A50" s="9" t="s">
        <v>8656</v>
      </c>
      <c r="B50" s="9" t="s">
        <v>9627</v>
      </c>
      <c r="C50" s="9" t="s">
        <v>4117</v>
      </c>
      <c r="D50" s="9" t="s">
        <v>9538</v>
      </c>
      <c r="E50" s="9" t="s">
        <v>8649</v>
      </c>
      <c r="F50" s="9" t="s">
        <v>8652</v>
      </c>
      <c r="G50" s="14" t="s">
        <v>9715</v>
      </c>
      <c r="H50" s="11" t="s">
        <v>9655</v>
      </c>
      <c r="I50" s="13"/>
      <c r="J50" s="13" t="str">
        <f t="shared" si="0"/>
        <v xml:space="preserve">Ranged Weapon Attack: [ATK_MOD] to hit, range 20/60 ft, one target. Hit: [DAMAGE] piercing damage. </v>
      </c>
      <c r="K50" s="13" t="str">
        <f>"Mastery: "&amp;H50&amp;". "&amp;_xlfn.XLOOKUP(H50,'weapon masteries'!A$2:A$9,'weapon masteries'!B$2:B$9,"",0)</f>
        <v>Mastery: Vex. If the [MON] hits a creature with this weapon and deals damage to the creature, it has Advantage on its next attack roll against that creature before the end of its next turn.</v>
      </c>
      <c r="L50" s="8" t="str">
        <f t="shared" si="1"/>
        <v>Properties: Finesse (When making an attack with a Finesse weapon, use your choice of your Strength or Dexterity modifier for the attack and damage rolls. You must use the same modifier for both rolls.),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P50" s="35" t="str" cm="1">
        <f t="array" ref="P50:Q50">IFERROR(_xlfn.TEXTSPLIT(G50,", ",,TRUE),"")</f>
        <v>Finesse</v>
      </c>
      <c r="Q50" s="35" t="str">
        <v>Thrown (Range 20/60)</v>
      </c>
      <c r="U50" s="36" t="str" cm="1">
        <f t="array" ref="U50">IFERROR(INDEX(_xlfn.TEXTSPLIT(P50," "),,1),"")</f>
        <v>Finesse</v>
      </c>
      <c r="V50" s="35" t="str">
        <f>IF(NOT(U50=""),_xlfn.XLOOKUP(U50,'weapon masteries'!$A$20:$A$29,'weapon masteries'!$B$20:$B$29,"",0),"")</f>
        <v>When making an attack with a Finesse weapon, use your choice of your Strength or Dexterity modifier for the attack and damage rolls. You must use the same modifier for both rolls.</v>
      </c>
      <c r="W50" s="36" t="str" cm="1">
        <f t="array" ref="W50">IFERROR(INDEX(_xlfn.TEXTSPLIT(Q50," "),,1),"")</f>
        <v>Thrown</v>
      </c>
      <c r="X50" s="35" t="str">
        <f>IF(NOT(W50=""),_xlfn.XLOOKUP(W50,'weapon masteries'!$A$20:$A$29,'weapon masteries'!$B$20:$B$29,"",0),"")</f>
        <v>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Y50" s="36" t="str" cm="1">
        <f t="array" ref="Y50">IFERROR(INDEX(_xlfn.TEXTSPLIT(R50," "),,1),"")</f>
        <v/>
      </c>
      <c r="Z50" s="35" t="str">
        <f>IF(NOT(Y50=""),_xlfn.XLOOKUP(Y50,'weapon masteries'!$A$20:$A$29,'weapon masteries'!$B$20:$B$29,"",0),"")</f>
        <v/>
      </c>
      <c r="AA50" s="36" t="str" cm="1">
        <f t="array" ref="AA50">IFERROR(INDEX(_xlfn.TEXTSPLIT(S50," "),,1),"")</f>
        <v/>
      </c>
      <c r="AB50" s="35" t="str">
        <f>IF(NOT(AA50=""),_xlfn.XLOOKUP(AA50,'weapon masteries'!$A$20:$A$29,'weapon masteries'!$B$20:$B$29,"",0),"")</f>
        <v/>
      </c>
      <c r="AC50" s="36" t="str" cm="1">
        <f t="array" ref="AC50">IFERROR(INDEX(_xlfn.TEXTSPLIT(T50," "),,1),"")</f>
        <v/>
      </c>
      <c r="AD50" s="35" t="str">
        <f>IF(NOT(AC50=""),_xlfn.XLOOKUP(AC50,'weapon masteries'!$A$20:$A$29,'weapon masteries'!$B$20:$B$29,"",0),"")</f>
        <v/>
      </c>
    </row>
    <row r="51" spans="1:30" ht="13.5" customHeight="1" x14ac:dyDescent="0.3">
      <c r="A51" s="9" t="s">
        <v>8656</v>
      </c>
      <c r="B51" s="9" t="s">
        <v>9628</v>
      </c>
      <c r="C51" s="9" t="s">
        <v>4117</v>
      </c>
      <c r="D51" s="9" t="s">
        <v>9537</v>
      </c>
      <c r="E51" s="9" t="s">
        <v>8654</v>
      </c>
      <c r="F51" s="9" t="s">
        <v>8652</v>
      </c>
      <c r="G51" s="14" t="s">
        <v>9717</v>
      </c>
      <c r="H51" s="11" t="s">
        <v>9655</v>
      </c>
      <c r="I51" s="13"/>
      <c r="J51" s="13" t="str">
        <f t="shared" si="0"/>
        <v xml:space="preserve">Ranged Weapon Attack: [ATK_MOD] to hit, range 80/320 ft, one target. Hit: [DAMAGE] piercing damage. </v>
      </c>
      <c r="K51" s="13" t="str">
        <f>"Mastery: "&amp;H51&amp;". "&amp;_xlfn.XLOOKUP(H51,'weapon masteries'!A$2:A$9,'weapon masteries'!B$2:B$9,"",0)</f>
        <v>Mastery: Vex. If the [MON] hits a creature with this weapon and deals damage to the creature, it has Advantage on its next attack roll against that creature before the end of its next turn.</v>
      </c>
      <c r="L51" s="8" t="str">
        <f t="shared" si="1"/>
        <v>Properties: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Two-Handed (A Two-Handed weapon requires two hands when you attack with it.)</v>
      </c>
      <c r="P51" s="35" t="str" cm="1">
        <f t="array" ref="P51:Q51">IFERROR(_xlfn.TEXTSPLIT(G51,", ",,TRUE),"")</f>
        <v>Ammunition (Range 80/320; Arrow)</v>
      </c>
      <c r="Q51" s="35" t="str">
        <v>Two-Handed</v>
      </c>
      <c r="U51" s="36" t="str" cm="1">
        <f t="array" ref="U51">IFERROR(INDEX(_xlfn.TEXTSPLIT(P51," "),,1),"")</f>
        <v>Ammunition</v>
      </c>
      <c r="V51" s="35" t="str">
        <f>IF(NOT(U51=""),_xlfn.XLOOKUP(U51,'weapon masteries'!$A$20:$A$29,'weapon masteries'!$B$20:$B$29,"",0),"")</f>
        <v>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W51" s="36" t="str" cm="1">
        <f t="array" ref="W51">IFERROR(INDEX(_xlfn.TEXTSPLIT(Q51," "),,1),"")</f>
        <v>Two-Handed</v>
      </c>
      <c r="X51" s="35" t="str">
        <f>IF(NOT(W51=""),_xlfn.XLOOKUP(W51,'weapon masteries'!$A$20:$A$29,'weapon masteries'!$B$20:$B$29,"",0),"")</f>
        <v>A Two-Handed weapon requires two hands when you attack with it.</v>
      </c>
      <c r="Y51" s="36" t="str" cm="1">
        <f t="array" ref="Y51">IFERROR(INDEX(_xlfn.TEXTSPLIT(R51," "),,1),"")</f>
        <v/>
      </c>
      <c r="Z51" s="35" t="str">
        <f>IF(NOT(Y51=""),_xlfn.XLOOKUP(Y51,'weapon masteries'!$A$20:$A$29,'weapon masteries'!$B$20:$B$29,"",0),"")</f>
        <v/>
      </c>
      <c r="AA51" s="36" t="str" cm="1">
        <f t="array" ref="AA51">IFERROR(INDEX(_xlfn.TEXTSPLIT(S51," "),,1),"")</f>
        <v/>
      </c>
      <c r="AB51" s="35" t="str">
        <f>IF(NOT(AA51=""),_xlfn.XLOOKUP(AA51,'weapon masteries'!$A$20:$A$29,'weapon masteries'!$B$20:$B$29,"",0),"")</f>
        <v/>
      </c>
      <c r="AC51" s="36" t="str" cm="1">
        <f t="array" ref="AC51">IFERROR(INDEX(_xlfn.TEXTSPLIT(T51," "),,1),"")</f>
        <v/>
      </c>
      <c r="AD51" s="35" t="str">
        <f>IF(NOT(AC51=""),_xlfn.XLOOKUP(AC51,'weapon masteries'!$A$20:$A$29,'weapon masteries'!$B$20:$B$29,"",0),"")</f>
        <v/>
      </c>
    </row>
    <row r="52" spans="1:30" ht="13.5" customHeight="1" x14ac:dyDescent="0.3">
      <c r="A52" s="9" t="s">
        <v>8656</v>
      </c>
      <c r="B52" s="9" t="s">
        <v>9629</v>
      </c>
      <c r="C52" s="9" t="s">
        <v>4117</v>
      </c>
      <c r="D52" s="9" t="s">
        <v>9539</v>
      </c>
      <c r="E52" s="9" t="s">
        <v>8649</v>
      </c>
      <c r="F52" s="9" t="s">
        <v>8650</v>
      </c>
      <c r="G52" s="14" t="s">
        <v>9718</v>
      </c>
      <c r="H52" s="11" t="s">
        <v>208</v>
      </c>
      <c r="I52" s="13"/>
      <c r="J52" s="13" t="str">
        <f t="shared" si="0"/>
        <v xml:space="preserve">Ranged Weapon Attack: [ATK_MOD] to hit, range 30/120 ft, one target. Hit: [DAMAGE] bludgeoning damage. </v>
      </c>
      <c r="K52" s="13" t="str">
        <f>"Mastery: "&amp;H52&amp;". "&amp;_xlfn.XLOOKUP(H52,'weapon masteries'!A$2:A$9,'weapon masteries'!B$2:B$9,"",0)</f>
        <v>Mastery: Slow. If the [MON] hits a creature with this weapon and deals damage to it, it can reduce the target's speed by 10 feet until the start of the [MON]'s next turn. If the creature is hit more than once by weapons that have this property, the speed reduction doesn’t exceed 10 feet.</v>
      </c>
      <c r="L52" s="8" t="str">
        <f t="shared" si="1"/>
        <v>Property: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P52" s="35" t="str" cm="1">
        <f t="array" ref="P52">IFERROR(_xlfn.TEXTSPLIT(G52,", ",,TRUE),"")</f>
        <v>Ammunition (Range 30/120; Bullet)</v>
      </c>
      <c r="U52" s="36" t="str" cm="1">
        <f t="array" ref="U52">IFERROR(INDEX(_xlfn.TEXTSPLIT(P52," "),,1),"")</f>
        <v>Ammunition</v>
      </c>
      <c r="V52" s="35" t="str">
        <f>IF(NOT(U52=""),_xlfn.XLOOKUP(U52,'weapon masteries'!$A$20:$A$29,'weapon masteries'!$B$20:$B$29,"",0),"")</f>
        <v>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W52" s="36" t="str" cm="1">
        <f t="array" ref="W52">IFERROR(INDEX(_xlfn.TEXTSPLIT(Q52," "),,1),"")</f>
        <v/>
      </c>
      <c r="X52" s="35" t="str">
        <f>IF(NOT(W52=""),_xlfn.XLOOKUP(W52,'weapon masteries'!$A$20:$A$29,'weapon masteries'!$B$20:$B$29,"",0),"")</f>
        <v/>
      </c>
      <c r="Y52" s="36" t="str" cm="1">
        <f t="array" ref="Y52">IFERROR(INDEX(_xlfn.TEXTSPLIT(R52," "),,1),"")</f>
        <v/>
      </c>
      <c r="Z52" s="35" t="str">
        <f>IF(NOT(Y52=""),_xlfn.XLOOKUP(Y52,'weapon masteries'!$A$20:$A$29,'weapon masteries'!$B$20:$B$29,"",0),"")</f>
        <v/>
      </c>
      <c r="AA52" s="36" t="str" cm="1">
        <f t="array" ref="AA52">IFERROR(INDEX(_xlfn.TEXTSPLIT(S52," "),,1),"")</f>
        <v/>
      </c>
      <c r="AB52" s="35" t="str">
        <f>IF(NOT(AA52=""),_xlfn.XLOOKUP(AA52,'weapon masteries'!$A$20:$A$29,'weapon masteries'!$B$20:$B$29,"",0),"")</f>
        <v/>
      </c>
      <c r="AC52" s="36" t="str" cm="1">
        <f t="array" ref="AC52">IFERROR(INDEX(_xlfn.TEXTSPLIT(T52," "),,1),"")</f>
        <v/>
      </c>
      <c r="AD52" s="35" t="str">
        <f>IF(NOT(AC52=""),_xlfn.XLOOKUP(AC52,'weapon masteries'!$A$20:$A$29,'weapon masteries'!$B$20:$B$29,"",0),"")</f>
        <v/>
      </c>
    </row>
    <row r="53" spans="1:30" ht="13.5" customHeight="1" x14ac:dyDescent="0.3">
      <c r="A53" s="9" t="s">
        <v>8648</v>
      </c>
      <c r="B53" s="9" t="s">
        <v>9630</v>
      </c>
      <c r="C53" s="9" t="s">
        <v>350</v>
      </c>
      <c r="D53" s="9" t="s">
        <v>9535</v>
      </c>
      <c r="E53" s="9" t="s">
        <v>8653</v>
      </c>
      <c r="F53" s="9" t="s">
        <v>8655</v>
      </c>
      <c r="G53" s="14" t="s">
        <v>9657</v>
      </c>
      <c r="H53" s="11" t="s">
        <v>112</v>
      </c>
      <c r="I53" s="13"/>
      <c r="J53" s="13" t="str">
        <f t="shared" si="0"/>
        <v xml:space="preserve">Melee Weapon Attack: [ATK_MOD] to hit, reach 5 ft, one target. Hit: [DAMAGE] slashing damage. </v>
      </c>
      <c r="K53" s="13" t="str">
        <f>"Mastery: "&amp;H53&amp;". "&amp;_xlfn.XLOOKUP(H53,'weapon masteries'!A$2:A$9,'weapon masteries'!B$2:B$9,"",0)</f>
        <v>Mastery: Topple. If the [MON] hits a creature with this weapon, it can force the creature to make a Constitution saving throw (DC 8 plus the ability modifier used to make the attack roll and your Proficiency Bonus). On a failed save, the creature has the Prone condition.</v>
      </c>
      <c r="L53" s="8" t="str">
        <f t="shared" si="1"/>
        <v>Property: Versatile (A Versatile weapon can be used with one or two hands. A damage value in parentheses appears with the property. The weapon deals that damage when used with two hands to make a melee attack.)</v>
      </c>
      <c r="P53" s="35" t="str" cm="1">
        <f t="array" ref="P53">IFERROR(_xlfn.TEXTSPLIT(G53,", ",,TRUE),"")</f>
        <v>Versatile (1d10)</v>
      </c>
      <c r="U53" s="36" t="str" cm="1">
        <f t="array" ref="U53">IFERROR(INDEX(_xlfn.TEXTSPLIT(P53," "),,1),"")</f>
        <v>Versatile</v>
      </c>
      <c r="V53" s="35" t="str">
        <f>IF(NOT(U53=""),_xlfn.XLOOKUP(U53,'weapon masteries'!$A$20:$A$29,'weapon masteries'!$B$20:$B$29,"",0),"")</f>
        <v>A Versatile weapon can be used with one or two hands. A damage value in parentheses appears with the property. The weapon deals that damage when used with two hands to make a melee attack.</v>
      </c>
      <c r="W53" s="36" t="str" cm="1">
        <f t="array" ref="W53">IFERROR(INDEX(_xlfn.TEXTSPLIT(Q53," "),,1),"")</f>
        <v/>
      </c>
      <c r="X53" s="35" t="str">
        <f>IF(NOT(W53=""),_xlfn.XLOOKUP(W53,'weapon masteries'!$A$20:$A$29,'weapon masteries'!$B$20:$B$29,"",0),"")</f>
        <v/>
      </c>
      <c r="Y53" s="36" t="str" cm="1">
        <f t="array" ref="Y53">IFERROR(INDEX(_xlfn.TEXTSPLIT(R53," "),,1),"")</f>
        <v/>
      </c>
      <c r="Z53" s="35" t="str">
        <f>IF(NOT(Y53=""),_xlfn.XLOOKUP(Y53,'weapon masteries'!$A$20:$A$29,'weapon masteries'!$B$20:$B$29,"",0),"")</f>
        <v/>
      </c>
      <c r="AA53" s="36" t="str" cm="1">
        <f t="array" ref="AA53">IFERROR(INDEX(_xlfn.TEXTSPLIT(S53," "),,1),"")</f>
        <v/>
      </c>
      <c r="AB53" s="35" t="str">
        <f>IF(NOT(AA53=""),_xlfn.XLOOKUP(AA53,'weapon masteries'!$A$20:$A$29,'weapon masteries'!$B$20:$B$29,"",0),"")</f>
        <v/>
      </c>
      <c r="AC53" s="36" t="str" cm="1">
        <f t="array" ref="AC53">IFERROR(INDEX(_xlfn.TEXTSPLIT(T53," "),,1),"")</f>
        <v/>
      </c>
      <c r="AD53" s="35" t="str">
        <f>IF(NOT(AC53=""),_xlfn.XLOOKUP(AC53,'weapon masteries'!$A$20:$A$29,'weapon masteries'!$B$20:$B$29,"",0),"")</f>
        <v/>
      </c>
    </row>
    <row r="54" spans="1:30" ht="13.5" customHeight="1" x14ac:dyDescent="0.3">
      <c r="A54" s="9" t="s">
        <v>8648</v>
      </c>
      <c r="B54" s="9" t="s">
        <v>9631</v>
      </c>
      <c r="C54" s="9" t="s">
        <v>350</v>
      </c>
      <c r="D54" s="9" t="s">
        <v>9535</v>
      </c>
      <c r="E54" s="9" t="s">
        <v>8653</v>
      </c>
      <c r="F54" s="9" t="s">
        <v>8650</v>
      </c>
      <c r="G54" s="14"/>
      <c r="H54" s="11" t="s">
        <v>9656</v>
      </c>
      <c r="I54" s="13"/>
      <c r="J54" s="13" t="str">
        <f t="shared" si="0"/>
        <v xml:space="preserve">Melee Weapon Attack: [ATK_MOD] to hit, reach 5 ft, one target. Hit: [DAMAGE] bludgeoning damage. </v>
      </c>
      <c r="K54" s="13" t="str">
        <f>"Mastery: "&amp;H54&amp;". "&amp;_xlfn.XLOOKUP(H54,'weapon masteries'!A$2:A$9,'weapon masteries'!B$2:B$9,"",0)</f>
        <v>Mastery: Sap. If the [MON] hits a creature with this weapon, that creature has disadvantage on its next attack roll before the start of the [MON]'s next turn.</v>
      </c>
      <c r="L54" s="8" t="str">
        <f t="shared" si="1"/>
        <v/>
      </c>
      <c r="P54" s="35" t="str" cm="1">
        <f t="array" ref="P54">IFERROR(_xlfn.TEXTSPLIT(G54,", ",,TRUE),"")</f>
        <v/>
      </c>
      <c r="U54" s="36" t="str" cm="1">
        <f t="array" ref="U54">IFERROR(INDEX(_xlfn.TEXTSPLIT(P54," "),,1),"")</f>
        <v/>
      </c>
      <c r="V54" s="35" t="str">
        <f>IF(NOT(U54=""),_xlfn.XLOOKUP(U54,'weapon masteries'!$A$20:$A$29,'weapon masteries'!$B$20:$B$29,"",0),"")</f>
        <v/>
      </c>
      <c r="W54" s="36" t="str" cm="1">
        <f t="array" ref="W54">IFERROR(INDEX(_xlfn.TEXTSPLIT(Q54," "),,1),"")</f>
        <v/>
      </c>
      <c r="X54" s="35" t="str">
        <f>IF(NOT(W54=""),_xlfn.XLOOKUP(W54,'weapon masteries'!$A$20:$A$29,'weapon masteries'!$B$20:$B$29,"",0),"")</f>
        <v/>
      </c>
      <c r="Y54" s="36" t="str" cm="1">
        <f t="array" ref="Y54">IFERROR(INDEX(_xlfn.TEXTSPLIT(R54," "),,1),"")</f>
        <v/>
      </c>
      <c r="Z54" s="35" t="str">
        <f>IF(NOT(Y54=""),_xlfn.XLOOKUP(Y54,'weapon masteries'!$A$20:$A$29,'weapon masteries'!$B$20:$B$29,"",0),"")</f>
        <v/>
      </c>
      <c r="AA54" s="36" t="str" cm="1">
        <f t="array" ref="AA54">IFERROR(INDEX(_xlfn.TEXTSPLIT(S54," "),,1),"")</f>
        <v/>
      </c>
      <c r="AB54" s="35" t="str">
        <f>IF(NOT(AA54=""),_xlfn.XLOOKUP(AA54,'weapon masteries'!$A$20:$A$29,'weapon masteries'!$B$20:$B$29,"",0),"")</f>
        <v/>
      </c>
      <c r="AC54" s="36" t="str" cm="1">
        <f t="array" ref="AC54">IFERROR(INDEX(_xlfn.TEXTSPLIT(T54," "),,1),"")</f>
        <v/>
      </c>
      <c r="AD54" s="35" t="str">
        <f>IF(NOT(AC54=""),_xlfn.XLOOKUP(AC54,'weapon masteries'!$A$20:$A$29,'weapon masteries'!$B$20:$B$29,"",0),"")</f>
        <v/>
      </c>
    </row>
    <row r="55" spans="1:30" ht="13.5" customHeight="1" x14ac:dyDescent="0.3">
      <c r="A55" s="9" t="s">
        <v>8648</v>
      </c>
      <c r="B55" s="9" t="s">
        <v>9632</v>
      </c>
      <c r="C55" s="9" t="s">
        <v>350</v>
      </c>
      <c r="D55" s="9" t="s">
        <v>9540</v>
      </c>
      <c r="E55" s="9" t="s">
        <v>8657</v>
      </c>
      <c r="F55" s="9" t="s">
        <v>8655</v>
      </c>
      <c r="G55" s="14" t="s">
        <v>9658</v>
      </c>
      <c r="H55" s="11" t="s">
        <v>9659</v>
      </c>
      <c r="I55" s="13"/>
      <c r="J55" s="13" t="str">
        <f t="shared" si="0"/>
        <v xml:space="preserve">Melee Weapon Attack: [ATK_MOD] to hit, reach 10 ft, one target. Hit: [DAMAGE] slashing damage. </v>
      </c>
      <c r="K55" s="13" t="str">
        <f>"Mastery: "&amp;H55&amp;". "&amp;_xlfn.XLOOKUP(H55,'weapon masteries'!A$2:A$9,'weapon masteries'!B$2:B$9,"",0)</f>
        <v>Mastery: Graze. If the [MON]'s attack roll with this weapon misses a creature, it can deal damage to that creature equal to the ability modifier it used to make the attack roll. This damage is the same type dealt by the weapon, and the damage can be increased only by increasing the ability modifier.</v>
      </c>
      <c r="L55" s="8" t="str">
        <f t="shared" si="1"/>
        <v>Properties: 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v>
      </c>
      <c r="P55" s="35" t="str" cm="1">
        <f t="array" ref="P55:R55">IFERROR(_xlfn.TEXTSPLIT(G55,", ",,TRUE),"")</f>
        <v>Heavy</v>
      </c>
      <c r="Q55" s="35" t="str">
        <v>Reach</v>
      </c>
      <c r="R55" s="35" t="str">
        <v>Two-Handed</v>
      </c>
      <c r="U55" s="36" t="str" cm="1">
        <f t="array" ref="U55">IFERROR(INDEX(_xlfn.TEXTSPLIT(P55," "),,1),"")</f>
        <v>Heavy</v>
      </c>
      <c r="V55" s="35" t="str">
        <f>IF(NOT(U55=""),_xlfn.XLOOKUP(U55,'weapon masteries'!$A$20:$A$29,'weapon masteries'!$B$20:$B$29,"",0),"")</f>
        <v>You have Disadvantage on attack rolls with a Heavy weapon if it's a Melee weapon and your Strength score isn't at least 13 or if it's a Ranged weapon and your Dexterity score isn't at least 13.</v>
      </c>
      <c r="W55" s="36" t="str" cm="1">
        <f t="array" ref="W55">IFERROR(INDEX(_xlfn.TEXTSPLIT(Q55," "),,1),"")</f>
        <v>Reach</v>
      </c>
      <c r="X55" s="35" t="str">
        <f>IF(NOT(W55=""),_xlfn.XLOOKUP(W55,'weapon masteries'!$A$20:$A$29,'weapon masteries'!$B$20:$B$29,"",0),"")</f>
        <v>A Reach weapon adds 5 feet to your reach when you attack with it, as well as when determining your reach for Opportunity Attacks with it.</v>
      </c>
      <c r="Y55" s="36" t="str" cm="1">
        <f t="array" ref="Y55">IFERROR(INDEX(_xlfn.TEXTSPLIT(R55," "),,1),"")</f>
        <v>Two-Handed</v>
      </c>
      <c r="Z55" s="35" t="str">
        <f>IF(NOT(Y55=""),_xlfn.XLOOKUP(Y55,'weapon masteries'!$A$20:$A$29,'weapon masteries'!$B$20:$B$29,"",0),"")</f>
        <v>A Two-Handed weapon requires two hands when you attack with it.</v>
      </c>
      <c r="AA55" s="36" t="str" cm="1">
        <f t="array" ref="AA55">IFERROR(INDEX(_xlfn.TEXTSPLIT(S55," "),,1),"")</f>
        <v/>
      </c>
      <c r="AB55" s="35" t="str">
        <f>IF(NOT(AA55=""),_xlfn.XLOOKUP(AA55,'weapon masteries'!$A$20:$A$29,'weapon masteries'!$B$20:$B$29,"",0),"")</f>
        <v/>
      </c>
      <c r="AC55" s="36" t="str" cm="1">
        <f t="array" ref="AC55">IFERROR(INDEX(_xlfn.TEXTSPLIT(T55," "),,1),"")</f>
        <v/>
      </c>
      <c r="AD55" s="35" t="str">
        <f>IF(NOT(AC55=""),_xlfn.XLOOKUP(AC55,'weapon masteries'!$A$20:$A$29,'weapon masteries'!$B$20:$B$29,"",0),"")</f>
        <v/>
      </c>
    </row>
    <row r="56" spans="1:30" ht="13.5" customHeight="1" x14ac:dyDescent="0.3">
      <c r="A56" s="9" t="s">
        <v>8648</v>
      </c>
      <c r="B56" s="9" t="s">
        <v>9633</v>
      </c>
      <c r="C56" s="9" t="s">
        <v>350</v>
      </c>
      <c r="D56" s="9" t="s">
        <v>9535</v>
      </c>
      <c r="E56" s="9" t="s">
        <v>8658</v>
      </c>
      <c r="F56" s="9" t="s">
        <v>8655</v>
      </c>
      <c r="G56" s="14" t="s">
        <v>9660</v>
      </c>
      <c r="H56" s="11" t="s">
        <v>9661</v>
      </c>
      <c r="I56" s="13"/>
      <c r="J56" s="13" t="str">
        <f t="shared" si="0"/>
        <v xml:space="preserve">Melee Weapon Attack: [ATK_MOD] to hit, reach 5 ft, one target. Hit: [DAMAGE] slashing damage. </v>
      </c>
      <c r="K56" s="13" t="str">
        <f>"Mastery: "&amp;H56&amp;". "&amp;_xlfn.XLOOKUP(H56,'weapon masteries'!A$2:A$9,'weapon masteries'!B$2:B$9,"",0)</f>
        <v>Mastery: Cleave. If the [MON] hits a creature with a melee attack roll using this weapon, it can make a melee attack roll with the weapon against a second creature within 5 feet of the first that is also within its reach. On a hit, the second creature takes the weapon’s damage, but don't add the [MON]'s ability modifier to that damage unless that modifier is negative. The [MON] can make this extra attack only once per turn.</v>
      </c>
      <c r="L56" s="8" t="str">
        <f t="shared" si="1"/>
        <v>Properties: Heavy (You have Disadvantage on attack rolls with a Heavy weapon if it's a Melee weapon and your Strength score isn't at least 13 or if it's a Ranged weapon and your Dexterity score isn't at least 13.), Two-Handed (A Two-Handed weapon requires two hands when you attack with it.)</v>
      </c>
      <c r="P56" s="35" t="str" cm="1">
        <f t="array" ref="P56:Q56">IFERROR(_xlfn.TEXTSPLIT(G56,", ",,TRUE),"")</f>
        <v>Heavy</v>
      </c>
      <c r="Q56" s="35" t="str">
        <v>Two-Handed</v>
      </c>
      <c r="U56" s="36" t="str" cm="1">
        <f t="array" ref="U56">IFERROR(INDEX(_xlfn.TEXTSPLIT(P56," "),,1),"")</f>
        <v>Heavy</v>
      </c>
      <c r="V56" s="35" t="str">
        <f>IF(NOT(U56=""),_xlfn.XLOOKUP(U56,'weapon masteries'!$A$20:$A$29,'weapon masteries'!$B$20:$B$29,"",0),"")</f>
        <v>You have Disadvantage on attack rolls with a Heavy weapon if it's a Melee weapon and your Strength score isn't at least 13 or if it's a Ranged weapon and your Dexterity score isn't at least 13.</v>
      </c>
      <c r="W56" s="36" t="str" cm="1">
        <f t="array" ref="W56">IFERROR(INDEX(_xlfn.TEXTSPLIT(Q56," "),,1),"")</f>
        <v>Two-Handed</v>
      </c>
      <c r="X56" s="35" t="str">
        <f>IF(NOT(W56=""),_xlfn.XLOOKUP(W56,'weapon masteries'!$A$20:$A$29,'weapon masteries'!$B$20:$B$29,"",0),"")</f>
        <v>A Two-Handed weapon requires two hands when you attack with it.</v>
      </c>
      <c r="Y56" s="36" t="str" cm="1">
        <f t="array" ref="Y56">IFERROR(INDEX(_xlfn.TEXTSPLIT(R56," "),,1),"")</f>
        <v/>
      </c>
      <c r="Z56" s="35" t="str">
        <f>IF(NOT(Y56=""),_xlfn.XLOOKUP(Y56,'weapon masteries'!$A$20:$A$29,'weapon masteries'!$B$20:$B$29,"",0),"")</f>
        <v/>
      </c>
      <c r="AA56" s="36" t="str" cm="1">
        <f t="array" ref="AA56">IFERROR(INDEX(_xlfn.TEXTSPLIT(S56," "),,1),"")</f>
        <v/>
      </c>
      <c r="AB56" s="35" t="str">
        <f>IF(NOT(AA56=""),_xlfn.XLOOKUP(AA56,'weapon masteries'!$A$20:$A$29,'weapon masteries'!$B$20:$B$29,"",0),"")</f>
        <v/>
      </c>
      <c r="AC56" s="36" t="str" cm="1">
        <f t="array" ref="AC56">IFERROR(INDEX(_xlfn.TEXTSPLIT(T56," "),,1),"")</f>
        <v/>
      </c>
      <c r="AD56" s="35" t="str">
        <f>IF(NOT(AC56=""),_xlfn.XLOOKUP(AC56,'weapon masteries'!$A$20:$A$29,'weapon masteries'!$B$20:$B$29,"",0),"")</f>
        <v/>
      </c>
    </row>
    <row r="57" spans="1:30" ht="13.5" customHeight="1" x14ac:dyDescent="0.3">
      <c r="A57" s="9" t="s">
        <v>8648</v>
      </c>
      <c r="B57" s="9" t="s">
        <v>9634</v>
      </c>
      <c r="C57" s="9" t="s">
        <v>350</v>
      </c>
      <c r="D57" s="9" t="s">
        <v>9535</v>
      </c>
      <c r="E57" s="9" t="s">
        <v>8659</v>
      </c>
      <c r="F57" s="9" t="s">
        <v>8655</v>
      </c>
      <c r="G57" s="14" t="s">
        <v>9660</v>
      </c>
      <c r="H57" s="11" t="s">
        <v>9659</v>
      </c>
      <c r="I57" s="13"/>
      <c r="J57" s="13" t="str">
        <f t="shared" si="0"/>
        <v xml:space="preserve">Melee Weapon Attack: [ATK_MOD] to hit, reach 5 ft, one target. Hit: [DAMAGE] slashing damage. </v>
      </c>
      <c r="K57" s="13" t="str">
        <f>"Mastery: "&amp;H57&amp;". "&amp;_xlfn.XLOOKUP(H57,'weapon masteries'!A$2:A$9,'weapon masteries'!B$2:B$9,"",0)</f>
        <v>Mastery: Graze. If the [MON]'s attack roll with this weapon misses a creature, it can deal damage to that creature equal to the ability modifier it used to make the attack roll. This damage is the same type dealt by the weapon, and the damage can be increased only by increasing the ability modifier.</v>
      </c>
      <c r="L57" s="8" t="str">
        <f t="shared" si="1"/>
        <v>Properties: Heavy (You have Disadvantage on attack rolls with a Heavy weapon if it's a Melee weapon and your Strength score isn't at least 13 or if it's a Ranged weapon and your Dexterity score isn't at least 13.), Two-Handed (A Two-Handed weapon requires two hands when you attack with it.)</v>
      </c>
      <c r="P57" s="35" t="str" cm="1">
        <f t="array" ref="P57:Q57">IFERROR(_xlfn.TEXTSPLIT(G57,", ",,TRUE),"")</f>
        <v>Heavy</v>
      </c>
      <c r="Q57" s="35" t="str">
        <v>Two-Handed</v>
      </c>
      <c r="U57" s="36" t="str" cm="1">
        <f t="array" ref="U57">IFERROR(INDEX(_xlfn.TEXTSPLIT(P57," "),,1),"")</f>
        <v>Heavy</v>
      </c>
      <c r="V57" s="35" t="str">
        <f>IF(NOT(U57=""),_xlfn.XLOOKUP(U57,'weapon masteries'!$A$20:$A$29,'weapon masteries'!$B$20:$B$29,"",0),"")</f>
        <v>You have Disadvantage on attack rolls with a Heavy weapon if it's a Melee weapon and your Strength score isn't at least 13 or if it's a Ranged weapon and your Dexterity score isn't at least 13.</v>
      </c>
      <c r="W57" s="36" t="str" cm="1">
        <f t="array" ref="W57">IFERROR(INDEX(_xlfn.TEXTSPLIT(Q57," "),,1),"")</f>
        <v>Two-Handed</v>
      </c>
      <c r="X57" s="35" t="str">
        <f>IF(NOT(W57=""),_xlfn.XLOOKUP(W57,'weapon masteries'!$A$20:$A$29,'weapon masteries'!$B$20:$B$29,"",0),"")</f>
        <v>A Two-Handed weapon requires two hands when you attack with it.</v>
      </c>
      <c r="Y57" s="36" t="str" cm="1">
        <f t="array" ref="Y57">IFERROR(INDEX(_xlfn.TEXTSPLIT(R57," "),,1),"")</f>
        <v/>
      </c>
      <c r="Z57" s="35" t="str">
        <f>IF(NOT(Y57=""),_xlfn.XLOOKUP(Y57,'weapon masteries'!$A$20:$A$29,'weapon masteries'!$B$20:$B$29,"",0),"")</f>
        <v/>
      </c>
      <c r="AA57" s="36" t="str" cm="1">
        <f t="array" ref="AA57">IFERROR(INDEX(_xlfn.TEXTSPLIT(S57," "),,1),"")</f>
        <v/>
      </c>
      <c r="AB57" s="35" t="str">
        <f>IF(NOT(AA57=""),_xlfn.XLOOKUP(AA57,'weapon masteries'!$A$20:$A$29,'weapon masteries'!$B$20:$B$29,"",0),"")</f>
        <v/>
      </c>
      <c r="AC57" s="36" t="str" cm="1">
        <f t="array" ref="AC57">IFERROR(INDEX(_xlfn.TEXTSPLIT(T57," "),,1),"")</f>
        <v/>
      </c>
      <c r="AD57" s="35" t="str">
        <f>IF(NOT(AC57=""),_xlfn.XLOOKUP(AC57,'weapon masteries'!$A$20:$A$29,'weapon masteries'!$B$20:$B$29,"",0),"")</f>
        <v/>
      </c>
    </row>
    <row r="58" spans="1:30" ht="13.5" customHeight="1" x14ac:dyDescent="0.3">
      <c r="A58" s="9" t="s">
        <v>8648</v>
      </c>
      <c r="B58" s="9" t="s">
        <v>9635</v>
      </c>
      <c r="C58" s="9" t="s">
        <v>350</v>
      </c>
      <c r="D58" s="9" t="s">
        <v>9540</v>
      </c>
      <c r="E58" s="9" t="s">
        <v>8657</v>
      </c>
      <c r="F58" s="9" t="s">
        <v>8655</v>
      </c>
      <c r="G58" s="14" t="s">
        <v>9658</v>
      </c>
      <c r="H58" s="11" t="s">
        <v>9661</v>
      </c>
      <c r="I58" s="13"/>
      <c r="J58" s="13" t="str">
        <f t="shared" si="0"/>
        <v xml:space="preserve">Melee Weapon Attack: [ATK_MOD] to hit, reach 10 ft, one target. Hit: [DAMAGE] slashing damage. </v>
      </c>
      <c r="K58" s="13" t="str">
        <f>"Mastery: "&amp;H58&amp;". "&amp;_xlfn.XLOOKUP(H58,'weapon masteries'!A$2:A$9,'weapon masteries'!B$2:B$9,"",0)</f>
        <v>Mastery: Cleave. If the [MON] hits a creature with a melee attack roll using this weapon, it can make a melee attack roll with the weapon against a second creature within 5 feet of the first that is also within its reach. On a hit, the second creature takes the weapon’s damage, but don't add the [MON]'s ability modifier to that damage unless that modifier is negative. The [MON] can make this extra attack only once per turn.</v>
      </c>
      <c r="L58" s="8" t="str">
        <f t="shared" si="1"/>
        <v>Properties: 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v>
      </c>
      <c r="P58" s="35" t="str" cm="1">
        <f t="array" ref="P58:R58">IFERROR(_xlfn.TEXTSPLIT(G58,", ",,TRUE),"")</f>
        <v>Heavy</v>
      </c>
      <c r="Q58" s="35" t="str">
        <v>Reach</v>
      </c>
      <c r="R58" s="35" t="str">
        <v>Two-Handed</v>
      </c>
      <c r="U58" s="36" t="str" cm="1">
        <f t="array" ref="U58">IFERROR(INDEX(_xlfn.TEXTSPLIT(P58," "),,1),"")</f>
        <v>Heavy</v>
      </c>
      <c r="V58" s="35" t="str">
        <f>IF(NOT(U58=""),_xlfn.XLOOKUP(U58,'weapon masteries'!$A$20:$A$29,'weapon masteries'!$B$20:$B$29,"",0),"")</f>
        <v>You have Disadvantage on attack rolls with a Heavy weapon if it's a Melee weapon and your Strength score isn't at least 13 or if it's a Ranged weapon and your Dexterity score isn't at least 13.</v>
      </c>
      <c r="W58" s="36" t="str" cm="1">
        <f t="array" ref="W58">IFERROR(INDEX(_xlfn.TEXTSPLIT(Q58," "),,1),"")</f>
        <v>Reach</v>
      </c>
      <c r="X58" s="35" t="str">
        <f>IF(NOT(W58=""),_xlfn.XLOOKUP(W58,'weapon masteries'!$A$20:$A$29,'weapon masteries'!$B$20:$B$29,"",0),"")</f>
        <v>A Reach weapon adds 5 feet to your reach when you attack with it, as well as when determining your reach for Opportunity Attacks with it.</v>
      </c>
      <c r="Y58" s="36" t="str" cm="1">
        <f t="array" ref="Y58">IFERROR(INDEX(_xlfn.TEXTSPLIT(R58," "),,1),"")</f>
        <v>Two-Handed</v>
      </c>
      <c r="Z58" s="35" t="str">
        <f>IF(NOT(Y58=""),_xlfn.XLOOKUP(Y58,'weapon masteries'!$A$20:$A$29,'weapon masteries'!$B$20:$B$29,"",0),"")</f>
        <v>A Two-Handed weapon requires two hands when you attack with it.</v>
      </c>
      <c r="AA58" s="36" t="str" cm="1">
        <f t="array" ref="AA58">IFERROR(INDEX(_xlfn.TEXTSPLIT(S58," "),,1),"")</f>
        <v/>
      </c>
      <c r="AB58" s="35" t="str">
        <f>IF(NOT(AA58=""),_xlfn.XLOOKUP(AA58,'weapon masteries'!$A$20:$A$29,'weapon masteries'!$B$20:$B$29,"",0),"")</f>
        <v/>
      </c>
      <c r="AC58" s="36" t="str" cm="1">
        <f t="array" ref="AC58">IFERROR(INDEX(_xlfn.TEXTSPLIT(T58," "),,1),"")</f>
        <v/>
      </c>
      <c r="AD58" s="35" t="str">
        <f>IF(NOT(AC58=""),_xlfn.XLOOKUP(AC58,'weapon masteries'!$A$20:$A$29,'weapon masteries'!$B$20:$B$29,"",0),"")</f>
        <v/>
      </c>
    </row>
    <row r="59" spans="1:30" ht="13.5" customHeight="1" x14ac:dyDescent="0.3">
      <c r="A59" s="9" t="s">
        <v>8648</v>
      </c>
      <c r="B59" s="9" t="s">
        <v>9636</v>
      </c>
      <c r="C59" s="9" t="s">
        <v>350</v>
      </c>
      <c r="D59" s="9" t="s">
        <v>9540</v>
      </c>
      <c r="E59" s="9" t="s">
        <v>8658</v>
      </c>
      <c r="F59" s="9" t="s">
        <v>8652</v>
      </c>
      <c r="G59" s="14" t="s">
        <v>9662</v>
      </c>
      <c r="H59" s="11" t="s">
        <v>112</v>
      </c>
      <c r="I59" s="13"/>
      <c r="J59" s="13" t="str">
        <f t="shared" si="0"/>
        <v xml:space="preserve">Melee Weapon Attack: [ATK_MOD] to hit, reach 10 ft, one target. Hit: [DAMAGE] piercing damage. </v>
      </c>
      <c r="K59" s="13" t="str">
        <f>"Mastery: "&amp;H59&amp;". "&amp;_xlfn.XLOOKUP(H59,'weapon masteries'!A$2:A$9,'weapon masteries'!B$2:B$9,"",0)</f>
        <v>Mastery: Topple. If the [MON] hits a creature with this weapon, it can force the creature to make a Constitution saving throw (DC 8 plus the ability modifier used to make the attack roll and your Proficiency Bonus). On a failed save, the creature has the Prone condition.</v>
      </c>
      <c r="L59" s="8" t="str">
        <f t="shared" si="1"/>
        <v>Properties: 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v>
      </c>
      <c r="P59" s="35" t="str" cm="1">
        <f t="array" ref="P59:R59">IFERROR(_xlfn.TEXTSPLIT(G59,", ",,TRUE),"")</f>
        <v>Heavy</v>
      </c>
      <c r="Q59" s="35" t="str">
        <v>Reach</v>
      </c>
      <c r="R59" s="35" t="str">
        <v>Two-Handed (unless mounted)</v>
      </c>
      <c r="U59" s="36" t="str" cm="1">
        <f t="array" ref="U59">IFERROR(INDEX(_xlfn.TEXTSPLIT(P59," "),,1),"")</f>
        <v>Heavy</v>
      </c>
      <c r="V59" s="35" t="str">
        <f>IF(NOT(U59=""),_xlfn.XLOOKUP(U59,'weapon masteries'!$A$20:$A$29,'weapon masteries'!$B$20:$B$29,"",0),"")</f>
        <v>You have Disadvantage on attack rolls with a Heavy weapon if it's a Melee weapon and your Strength score isn't at least 13 or if it's a Ranged weapon and your Dexterity score isn't at least 13.</v>
      </c>
      <c r="W59" s="36" t="str" cm="1">
        <f t="array" ref="W59">IFERROR(INDEX(_xlfn.TEXTSPLIT(Q59," "),,1),"")</f>
        <v>Reach</v>
      </c>
      <c r="X59" s="35" t="str">
        <f>IF(NOT(W59=""),_xlfn.XLOOKUP(W59,'weapon masteries'!$A$20:$A$29,'weapon masteries'!$B$20:$B$29,"",0),"")</f>
        <v>A Reach weapon adds 5 feet to your reach when you attack with it, as well as when determining your reach for Opportunity Attacks with it.</v>
      </c>
      <c r="Y59" s="36" t="str" cm="1">
        <f t="array" ref="Y59">IFERROR(INDEX(_xlfn.TEXTSPLIT(R59," "),,1),"")</f>
        <v>Two-Handed</v>
      </c>
      <c r="Z59" s="35" t="str">
        <f>IF(NOT(Y59=""),_xlfn.XLOOKUP(Y59,'weapon masteries'!$A$20:$A$29,'weapon masteries'!$B$20:$B$29,"",0),"")</f>
        <v>A Two-Handed weapon requires two hands when you attack with it.</v>
      </c>
      <c r="AA59" s="36" t="str" cm="1">
        <f t="array" ref="AA59">IFERROR(INDEX(_xlfn.TEXTSPLIT(S59," "),,1),"")</f>
        <v/>
      </c>
      <c r="AB59" s="35" t="str">
        <f>IF(NOT(AA59=""),_xlfn.XLOOKUP(AA59,'weapon masteries'!$A$20:$A$29,'weapon masteries'!$B$20:$B$29,"",0),"")</f>
        <v/>
      </c>
      <c r="AC59" s="36" t="str" cm="1">
        <f t="array" ref="AC59">IFERROR(INDEX(_xlfn.TEXTSPLIT(T59," "),,1),"")</f>
        <v/>
      </c>
      <c r="AD59" s="35" t="str">
        <f>IF(NOT(AC59=""),_xlfn.XLOOKUP(AC59,'weapon masteries'!$A$20:$A$29,'weapon masteries'!$B$20:$B$29,"",0),"")</f>
        <v/>
      </c>
    </row>
    <row r="60" spans="1:30" ht="13.5" customHeight="1" x14ac:dyDescent="0.3">
      <c r="A60" s="9" t="s">
        <v>8648</v>
      </c>
      <c r="B60" s="9" t="s">
        <v>9637</v>
      </c>
      <c r="C60" s="9" t="s">
        <v>350</v>
      </c>
      <c r="D60" s="9" t="s">
        <v>9535</v>
      </c>
      <c r="E60" s="9" t="s">
        <v>8653</v>
      </c>
      <c r="F60" s="9" t="s">
        <v>8655</v>
      </c>
      <c r="G60" s="14" t="s">
        <v>9657</v>
      </c>
      <c r="H60" s="11" t="s">
        <v>9656</v>
      </c>
      <c r="I60" s="13"/>
      <c r="J60" s="13" t="str">
        <f t="shared" si="0"/>
        <v xml:space="preserve">Melee Weapon Attack: [ATK_MOD] to hit, reach 5 ft, one target. Hit: [DAMAGE] slashing damage. </v>
      </c>
      <c r="K60" s="13" t="str">
        <f>"Mastery: "&amp;H60&amp;". "&amp;_xlfn.XLOOKUP(H60,'weapon masteries'!A$2:A$9,'weapon masteries'!B$2:B$9,"",0)</f>
        <v>Mastery: Sap. If the [MON] hits a creature with this weapon, that creature has disadvantage on its next attack roll before the start of the [MON]'s next turn.</v>
      </c>
      <c r="L60" s="8" t="str">
        <f t="shared" si="1"/>
        <v>Property: Versatile (A Versatile weapon can be used with one or two hands. A damage value in parentheses appears with the property. The weapon deals that damage when used with two hands to make a melee attack.)</v>
      </c>
      <c r="P60" s="35" t="str" cm="1">
        <f t="array" ref="P60">IFERROR(_xlfn.TEXTSPLIT(G60,", ",,TRUE),"")</f>
        <v>Versatile (1d10)</v>
      </c>
      <c r="U60" s="36" t="str" cm="1">
        <f t="array" ref="U60">IFERROR(INDEX(_xlfn.TEXTSPLIT(P60," "),,1),"")</f>
        <v>Versatile</v>
      </c>
      <c r="V60" s="35" t="str">
        <f>IF(NOT(U60=""),_xlfn.XLOOKUP(U60,'weapon masteries'!$A$20:$A$29,'weapon masteries'!$B$20:$B$29,"",0),"")</f>
        <v>A Versatile weapon can be used with one or two hands. A damage value in parentheses appears with the property. The weapon deals that damage when used with two hands to make a melee attack.</v>
      </c>
      <c r="W60" s="36" t="str" cm="1">
        <f t="array" ref="W60">IFERROR(INDEX(_xlfn.TEXTSPLIT(Q60," "),,1),"")</f>
        <v/>
      </c>
      <c r="X60" s="35" t="str">
        <f>IF(NOT(W60=""),_xlfn.XLOOKUP(W60,'weapon masteries'!$A$20:$A$29,'weapon masteries'!$B$20:$B$29,"",0),"")</f>
        <v/>
      </c>
      <c r="Y60" s="36" t="str" cm="1">
        <f t="array" ref="Y60">IFERROR(INDEX(_xlfn.TEXTSPLIT(R60," "),,1),"")</f>
        <v/>
      </c>
      <c r="Z60" s="35" t="str">
        <f>IF(NOT(Y60=""),_xlfn.XLOOKUP(Y60,'weapon masteries'!$A$20:$A$29,'weapon masteries'!$B$20:$B$29,"",0),"")</f>
        <v/>
      </c>
      <c r="AA60" s="36" t="str" cm="1">
        <f t="array" ref="AA60">IFERROR(INDEX(_xlfn.TEXTSPLIT(S60," "),,1),"")</f>
        <v/>
      </c>
      <c r="AB60" s="35" t="str">
        <f>IF(NOT(AA60=""),_xlfn.XLOOKUP(AA60,'weapon masteries'!$A$20:$A$29,'weapon masteries'!$B$20:$B$29,"",0),"")</f>
        <v/>
      </c>
      <c r="AC60" s="36" t="str" cm="1">
        <f t="array" ref="AC60">IFERROR(INDEX(_xlfn.TEXTSPLIT(T60," "),,1),"")</f>
        <v/>
      </c>
      <c r="AD60" s="35" t="str">
        <f>IF(NOT(AC60=""),_xlfn.XLOOKUP(AC60,'weapon masteries'!$A$20:$A$29,'weapon masteries'!$B$20:$B$29,"",0),"")</f>
        <v/>
      </c>
    </row>
    <row r="61" spans="1:30" ht="13.5" customHeight="1" x14ac:dyDescent="0.3">
      <c r="A61" s="9" t="s">
        <v>8648</v>
      </c>
      <c r="B61" s="9" t="s">
        <v>9638</v>
      </c>
      <c r="C61" s="9" t="s">
        <v>350</v>
      </c>
      <c r="D61" s="9" t="s">
        <v>9535</v>
      </c>
      <c r="E61" s="9" t="s">
        <v>8659</v>
      </c>
      <c r="F61" s="9" t="s">
        <v>8650</v>
      </c>
      <c r="G61" s="14" t="s">
        <v>9660</v>
      </c>
      <c r="H61" s="11" t="s">
        <v>112</v>
      </c>
      <c r="I61" s="13"/>
      <c r="J61" s="13" t="str">
        <f t="shared" si="0"/>
        <v xml:space="preserve">Melee Weapon Attack: [ATK_MOD] to hit, reach 5 ft, one target. Hit: [DAMAGE] bludgeoning damage. </v>
      </c>
      <c r="K61" s="13" t="str">
        <f>"Mastery: "&amp;H61&amp;". "&amp;_xlfn.XLOOKUP(H61,'weapon masteries'!A$2:A$9,'weapon masteries'!B$2:B$9,"",0)</f>
        <v>Mastery: Topple. If the [MON] hits a creature with this weapon, it can force the creature to make a Constitution saving throw (DC 8 plus the ability modifier used to make the attack roll and your Proficiency Bonus). On a failed save, the creature has the Prone condition.</v>
      </c>
      <c r="L61" s="8" t="str">
        <f t="shared" si="1"/>
        <v>Properties: Heavy (You have Disadvantage on attack rolls with a Heavy weapon if it's a Melee weapon and your Strength score isn't at least 13 or if it's a Ranged weapon and your Dexterity score isn't at least 13.), Two-Handed (A Two-Handed weapon requires two hands when you attack with it.)</v>
      </c>
      <c r="P61" s="35" t="str" cm="1">
        <f t="array" ref="P61:Q61">IFERROR(_xlfn.TEXTSPLIT(G61,", ",,TRUE),"")</f>
        <v>Heavy</v>
      </c>
      <c r="Q61" s="35" t="str">
        <v>Two-Handed</v>
      </c>
      <c r="U61" s="36" t="str" cm="1">
        <f t="array" ref="U61">IFERROR(INDEX(_xlfn.TEXTSPLIT(P61," "),,1),"")</f>
        <v>Heavy</v>
      </c>
      <c r="V61" s="35" t="str">
        <f>IF(NOT(U61=""),_xlfn.XLOOKUP(U61,'weapon masteries'!$A$20:$A$29,'weapon masteries'!$B$20:$B$29,"",0),"")</f>
        <v>You have Disadvantage on attack rolls with a Heavy weapon if it's a Melee weapon and your Strength score isn't at least 13 or if it's a Ranged weapon and your Dexterity score isn't at least 13.</v>
      </c>
      <c r="W61" s="36" t="str" cm="1">
        <f t="array" ref="W61">IFERROR(INDEX(_xlfn.TEXTSPLIT(Q61," "),,1),"")</f>
        <v>Two-Handed</v>
      </c>
      <c r="X61" s="35" t="str">
        <f>IF(NOT(W61=""),_xlfn.XLOOKUP(W61,'weapon masteries'!$A$20:$A$29,'weapon masteries'!$B$20:$B$29,"",0),"")</f>
        <v>A Two-Handed weapon requires two hands when you attack with it.</v>
      </c>
      <c r="Y61" s="36" t="str" cm="1">
        <f t="array" ref="Y61">IFERROR(INDEX(_xlfn.TEXTSPLIT(R61," "),,1),"")</f>
        <v/>
      </c>
      <c r="Z61" s="35" t="str">
        <f>IF(NOT(Y61=""),_xlfn.XLOOKUP(Y61,'weapon masteries'!$A$20:$A$29,'weapon masteries'!$B$20:$B$29,"",0),"")</f>
        <v/>
      </c>
      <c r="AA61" s="36" t="str" cm="1">
        <f t="array" ref="AA61">IFERROR(INDEX(_xlfn.TEXTSPLIT(S61," "),,1),"")</f>
        <v/>
      </c>
      <c r="AB61" s="35" t="str">
        <f>IF(NOT(AA61=""),_xlfn.XLOOKUP(AA61,'weapon masteries'!$A$20:$A$29,'weapon masteries'!$B$20:$B$29,"",0),"")</f>
        <v/>
      </c>
      <c r="AC61" s="36" t="str" cm="1">
        <f t="array" ref="AC61">IFERROR(INDEX(_xlfn.TEXTSPLIT(T61," "),,1),"")</f>
        <v/>
      </c>
      <c r="AD61" s="35" t="str">
        <f>IF(NOT(AC61=""),_xlfn.XLOOKUP(AC61,'weapon masteries'!$A$20:$A$29,'weapon masteries'!$B$20:$B$29,"",0),"")</f>
        <v/>
      </c>
    </row>
    <row r="62" spans="1:30" ht="13.5" customHeight="1" x14ac:dyDescent="0.3">
      <c r="A62" s="9" t="s">
        <v>8648</v>
      </c>
      <c r="B62" s="9" t="s">
        <v>9639</v>
      </c>
      <c r="C62" s="9" t="s">
        <v>350</v>
      </c>
      <c r="D62" s="9" t="s">
        <v>9535</v>
      </c>
      <c r="E62" s="9" t="s">
        <v>8653</v>
      </c>
      <c r="F62" s="9" t="s">
        <v>8652</v>
      </c>
      <c r="G62" s="14"/>
      <c r="H62" s="11" t="s">
        <v>9656</v>
      </c>
      <c r="I62" s="13"/>
      <c r="J62" s="13" t="str">
        <f t="shared" si="0"/>
        <v xml:space="preserve">Melee Weapon Attack: [ATK_MOD] to hit, reach 5 ft, one target. Hit: [DAMAGE] piercing damage. </v>
      </c>
      <c r="K62" s="13" t="str">
        <f>"Mastery: "&amp;H62&amp;". "&amp;_xlfn.XLOOKUP(H62,'weapon masteries'!A$2:A$9,'weapon masteries'!B$2:B$9,"",0)</f>
        <v>Mastery: Sap. If the [MON] hits a creature with this weapon, that creature has disadvantage on its next attack roll before the start of the [MON]'s next turn.</v>
      </c>
      <c r="L62" s="8" t="str">
        <f t="shared" si="1"/>
        <v/>
      </c>
      <c r="P62" s="35" t="str" cm="1">
        <f t="array" ref="P62">IFERROR(_xlfn.TEXTSPLIT(G62,", ",,TRUE),"")</f>
        <v/>
      </c>
      <c r="U62" s="36" t="str" cm="1">
        <f t="array" ref="U62">IFERROR(INDEX(_xlfn.TEXTSPLIT(P62," "),,1),"")</f>
        <v/>
      </c>
      <c r="V62" s="35" t="str">
        <f>IF(NOT(U62=""),_xlfn.XLOOKUP(U62,'weapon masteries'!$A$20:$A$29,'weapon masteries'!$B$20:$B$29,"",0),"")</f>
        <v/>
      </c>
      <c r="W62" s="36" t="str" cm="1">
        <f t="array" ref="W62">IFERROR(INDEX(_xlfn.TEXTSPLIT(Q62," "),,1),"")</f>
        <v/>
      </c>
      <c r="X62" s="35" t="str">
        <f>IF(NOT(W62=""),_xlfn.XLOOKUP(W62,'weapon masteries'!$A$20:$A$29,'weapon masteries'!$B$20:$B$29,"",0),"")</f>
        <v/>
      </c>
      <c r="Y62" s="36" t="str" cm="1">
        <f t="array" ref="Y62">IFERROR(INDEX(_xlfn.TEXTSPLIT(R62," "),,1),"")</f>
        <v/>
      </c>
      <c r="Z62" s="35" t="str">
        <f>IF(NOT(Y62=""),_xlfn.XLOOKUP(Y62,'weapon masteries'!$A$20:$A$29,'weapon masteries'!$B$20:$B$29,"",0),"")</f>
        <v/>
      </c>
      <c r="AA62" s="36" t="str" cm="1">
        <f t="array" ref="AA62">IFERROR(INDEX(_xlfn.TEXTSPLIT(S62," "),,1),"")</f>
        <v/>
      </c>
      <c r="AB62" s="35" t="str">
        <f>IF(NOT(AA62=""),_xlfn.XLOOKUP(AA62,'weapon masteries'!$A$20:$A$29,'weapon masteries'!$B$20:$B$29,"",0),"")</f>
        <v/>
      </c>
      <c r="AC62" s="36" t="str" cm="1">
        <f t="array" ref="AC62">IFERROR(INDEX(_xlfn.TEXTSPLIT(T62," "),,1),"")</f>
        <v/>
      </c>
      <c r="AD62" s="35" t="str">
        <f>IF(NOT(AC62=""),_xlfn.XLOOKUP(AC62,'weapon masteries'!$A$20:$A$29,'weapon masteries'!$B$20:$B$29,"",0),"")</f>
        <v/>
      </c>
    </row>
    <row r="63" spans="1:30" ht="13.5" customHeight="1" x14ac:dyDescent="0.3">
      <c r="A63" s="9" t="s">
        <v>8648</v>
      </c>
      <c r="B63" s="9" t="s">
        <v>9640</v>
      </c>
      <c r="C63" s="9" t="s">
        <v>350</v>
      </c>
      <c r="D63" s="9" t="s">
        <v>9540</v>
      </c>
      <c r="E63" s="9" t="s">
        <v>8657</v>
      </c>
      <c r="F63" s="9" t="s">
        <v>8652</v>
      </c>
      <c r="G63" s="14" t="s">
        <v>9658</v>
      </c>
      <c r="H63" s="11" t="s">
        <v>415</v>
      </c>
      <c r="I63" s="13"/>
      <c r="J63" s="13" t="str">
        <f t="shared" si="0"/>
        <v xml:space="preserve">Melee Weapon Attack: [ATK_MOD] to hit, reach 10 ft, one target. Hit: [DAMAGE] piercing damage. </v>
      </c>
      <c r="K63" s="13" t="str">
        <f>"Mastery: "&amp;H63&amp;". "&amp;_xlfn.XLOOKUP(H63,'weapon masteries'!A$2:A$9,'weapon masteries'!B$2:B$9,"",0)</f>
        <v>Mastery: Push. If the [MON] hits a creature with this weapon, it can push the creature up to 10 feet straight away from itself if it is Large or smaller.</v>
      </c>
      <c r="L63" s="8" t="str">
        <f t="shared" si="1"/>
        <v>Properties: Heavy (You have Disadvantage on attack rolls with a Heavy weapon if it's a Melee weapon and your Strength score isn't at least 13 or if it's a Ranged weapon and your Dexterity score isn't at least 13.), Reach (A Reach weapon adds 5 feet to your reach when you attack with it, as well as when determining your reach for Opportunity Attacks with it.), Two-Handed (A Two-Handed weapon requires two hands when you attack with it.)</v>
      </c>
      <c r="P63" s="35" t="str" cm="1">
        <f t="array" ref="P63:R63">IFERROR(_xlfn.TEXTSPLIT(G63,", ",,TRUE),"")</f>
        <v>Heavy</v>
      </c>
      <c r="Q63" s="35" t="str">
        <v>Reach</v>
      </c>
      <c r="R63" s="35" t="str">
        <v>Two-Handed</v>
      </c>
      <c r="U63" s="36" t="str" cm="1">
        <f t="array" ref="U63">IFERROR(INDEX(_xlfn.TEXTSPLIT(P63," "),,1),"")</f>
        <v>Heavy</v>
      </c>
      <c r="V63" s="35" t="str">
        <f>IF(NOT(U63=""),_xlfn.XLOOKUP(U63,'weapon masteries'!$A$20:$A$29,'weapon masteries'!$B$20:$B$29,"",0),"")</f>
        <v>You have Disadvantage on attack rolls with a Heavy weapon if it's a Melee weapon and your Strength score isn't at least 13 or if it's a Ranged weapon and your Dexterity score isn't at least 13.</v>
      </c>
      <c r="W63" s="36" t="str" cm="1">
        <f t="array" ref="W63">IFERROR(INDEX(_xlfn.TEXTSPLIT(Q63," "),,1),"")</f>
        <v>Reach</v>
      </c>
      <c r="X63" s="35" t="str">
        <f>IF(NOT(W63=""),_xlfn.XLOOKUP(W63,'weapon masteries'!$A$20:$A$29,'weapon masteries'!$B$20:$B$29,"",0),"")</f>
        <v>A Reach weapon adds 5 feet to your reach when you attack with it, as well as when determining your reach for Opportunity Attacks with it.</v>
      </c>
      <c r="Y63" s="36" t="str" cm="1">
        <f t="array" ref="Y63">IFERROR(INDEX(_xlfn.TEXTSPLIT(R63," "),,1),"")</f>
        <v>Two-Handed</v>
      </c>
      <c r="Z63" s="35" t="str">
        <f>IF(NOT(Y63=""),_xlfn.XLOOKUP(Y63,'weapon masteries'!$A$20:$A$29,'weapon masteries'!$B$20:$B$29,"",0),"")</f>
        <v>A Two-Handed weapon requires two hands when you attack with it.</v>
      </c>
      <c r="AA63" s="36" t="str" cm="1">
        <f t="array" ref="AA63">IFERROR(INDEX(_xlfn.TEXTSPLIT(S63," "),,1),"")</f>
        <v/>
      </c>
      <c r="AB63" s="35" t="str">
        <f>IF(NOT(AA63=""),_xlfn.XLOOKUP(AA63,'weapon masteries'!$A$20:$A$29,'weapon masteries'!$B$20:$B$29,"",0),"")</f>
        <v/>
      </c>
      <c r="AC63" s="36" t="str" cm="1">
        <f t="array" ref="AC63">IFERROR(INDEX(_xlfn.TEXTSPLIT(T63," "),,1),"")</f>
        <v/>
      </c>
      <c r="AD63" s="35" t="str">
        <f>IF(NOT(AC63=""),_xlfn.XLOOKUP(AC63,'weapon masteries'!$A$20:$A$29,'weapon masteries'!$B$20:$B$29,"",0),"")</f>
        <v/>
      </c>
    </row>
    <row r="64" spans="1:30" ht="13.5" customHeight="1" x14ac:dyDescent="0.3">
      <c r="A64" s="9" t="s">
        <v>8648</v>
      </c>
      <c r="B64" s="9" t="s">
        <v>9641</v>
      </c>
      <c r="C64" s="9" t="s">
        <v>9652</v>
      </c>
      <c r="D64" s="9" t="s">
        <v>9535</v>
      </c>
      <c r="E64" s="9" t="s">
        <v>8653</v>
      </c>
      <c r="F64" s="9" t="s">
        <v>8652</v>
      </c>
      <c r="G64" s="14" t="s">
        <v>9663</v>
      </c>
      <c r="H64" s="11" t="s">
        <v>9655</v>
      </c>
      <c r="I64" s="13"/>
      <c r="J64" s="13" t="str">
        <f t="shared" si="0"/>
        <v xml:space="preserve">Melee Weapon Attack: [ATK_MOD] to hit, reach 5 ft, one target. Hit: [DAMAGE] piercing damage. </v>
      </c>
      <c r="K64" s="13" t="str">
        <f>"Mastery: "&amp;H64&amp;". "&amp;_xlfn.XLOOKUP(H64,'weapon masteries'!A$2:A$9,'weapon masteries'!B$2:B$9,"",0)</f>
        <v>Mastery: Vex. If the [MON] hits a creature with this weapon and deals damage to the creature, it has Advantage on its next attack roll against that creature before the end of its next turn.</v>
      </c>
      <c r="L64" s="8" t="str">
        <f t="shared" si="1"/>
        <v>Property: Finesse (When making an attack with a Finesse weapon, use your choice of your Strength or Dexterity modifier for the attack and damage rolls. You must use the same modifier for both rolls.)</v>
      </c>
      <c r="P64" s="35" t="str" cm="1">
        <f t="array" ref="P64">IFERROR(_xlfn.TEXTSPLIT(G64,", ",,TRUE),"")</f>
        <v>Finesse</v>
      </c>
      <c r="U64" s="36" t="str" cm="1">
        <f t="array" ref="U64">IFERROR(INDEX(_xlfn.TEXTSPLIT(P64," "),,1),"")</f>
        <v>Finesse</v>
      </c>
      <c r="V64" s="35" t="str">
        <f>IF(NOT(U64=""),_xlfn.XLOOKUP(U64,'weapon masteries'!$A$20:$A$29,'weapon masteries'!$B$20:$B$29,"",0),"")</f>
        <v>When making an attack with a Finesse weapon, use your choice of your Strength or Dexterity modifier for the attack and damage rolls. You must use the same modifier for both rolls.</v>
      </c>
      <c r="W64" s="36" t="str" cm="1">
        <f t="array" ref="W64">IFERROR(INDEX(_xlfn.TEXTSPLIT(Q64," "),,1),"")</f>
        <v/>
      </c>
      <c r="X64" s="35" t="str">
        <f>IF(NOT(W64=""),_xlfn.XLOOKUP(W64,'weapon masteries'!$A$20:$A$29,'weapon masteries'!$B$20:$B$29,"",0),"")</f>
        <v/>
      </c>
      <c r="Y64" s="36" t="str" cm="1">
        <f t="array" ref="Y64">IFERROR(INDEX(_xlfn.TEXTSPLIT(R64," "),,1),"")</f>
        <v/>
      </c>
      <c r="Z64" s="35" t="str">
        <f>IF(NOT(Y64=""),_xlfn.XLOOKUP(Y64,'weapon masteries'!$A$20:$A$29,'weapon masteries'!$B$20:$B$29,"",0),"")</f>
        <v/>
      </c>
      <c r="AA64" s="36" t="str" cm="1">
        <f t="array" ref="AA64">IFERROR(INDEX(_xlfn.TEXTSPLIT(S64," "),,1),"")</f>
        <v/>
      </c>
      <c r="AB64" s="35" t="str">
        <f>IF(NOT(AA64=""),_xlfn.XLOOKUP(AA64,'weapon masteries'!$A$20:$A$29,'weapon masteries'!$B$20:$B$29,"",0),"")</f>
        <v/>
      </c>
      <c r="AC64" s="36" t="str" cm="1">
        <f t="array" ref="AC64">IFERROR(INDEX(_xlfn.TEXTSPLIT(T64," "),,1),"")</f>
        <v/>
      </c>
      <c r="AD64" s="35" t="str">
        <f>IF(NOT(AC64=""),_xlfn.XLOOKUP(AC64,'weapon masteries'!$A$20:$A$29,'weapon masteries'!$B$20:$B$29,"",0),"")</f>
        <v/>
      </c>
    </row>
    <row r="65" spans="1:30" ht="13.5" customHeight="1" x14ac:dyDescent="0.3">
      <c r="A65" s="9" t="s">
        <v>8648</v>
      </c>
      <c r="B65" s="9" t="s">
        <v>9642</v>
      </c>
      <c r="C65" s="9" t="s">
        <v>9652</v>
      </c>
      <c r="D65" s="9" t="s">
        <v>9535</v>
      </c>
      <c r="E65" s="9" t="s">
        <v>8654</v>
      </c>
      <c r="F65" s="9" t="s">
        <v>8655</v>
      </c>
      <c r="G65" s="14" t="s">
        <v>9664</v>
      </c>
      <c r="H65" s="11" t="s">
        <v>9654</v>
      </c>
      <c r="I65" s="13"/>
      <c r="J65" s="13" t="str">
        <f t="shared" si="0"/>
        <v xml:space="preserve">Melee Weapon Attack: [ATK_MOD] to hit, reach 5 ft, one target. Hit: [DAMAGE] slashing damage. </v>
      </c>
      <c r="K65" s="13" t="str">
        <f>"Mastery: "&amp;H65&amp;". "&amp;_xlfn.XLOOKUP(H65,'weapon masteries'!A$2:A$9,'weapon masteries'!B$2:B$9,"",0)</f>
        <v>Mastery: Nick. When the [MON] makes the extra attack of the Light property, it can make it as part of the Attack action instead of as a Bonus Action. It can make this extra attack only once per turn.</v>
      </c>
      <c r="L65" s="8" t="str">
        <f t="shared" si="1"/>
        <v>Properties: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P65" s="35" t="str" cm="1">
        <f t="array" ref="P65:Q65">IFERROR(_xlfn.TEXTSPLIT(G65,", ",,TRUE),"")</f>
        <v>Finesse</v>
      </c>
      <c r="Q65" s="35" t="str">
        <v>Light</v>
      </c>
      <c r="U65" s="36" t="str" cm="1">
        <f t="array" ref="U65">IFERROR(INDEX(_xlfn.TEXTSPLIT(P65," "),,1),"")</f>
        <v>Finesse</v>
      </c>
      <c r="V65" s="35" t="str">
        <f>IF(NOT(U65=""),_xlfn.XLOOKUP(U65,'weapon masteries'!$A$20:$A$29,'weapon masteries'!$B$20:$B$29,"",0),"")</f>
        <v>When making an attack with a Finesse weapon, use your choice of your Strength or Dexterity modifier for the attack and damage rolls. You must use the same modifier for both rolls.</v>
      </c>
      <c r="W65" s="36" t="str" cm="1">
        <f t="array" ref="W65">IFERROR(INDEX(_xlfn.TEXTSPLIT(Q65," "),,1),"")</f>
        <v>Light</v>
      </c>
      <c r="X65" s="35" t="str">
        <f>IF(NOT(W65=""),_xlfn.XLOOKUP(W65,'weapon masteries'!$A$20:$A$29,'weapon masteries'!$B$20:$B$29,"",0),"")</f>
        <v>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Y65" s="36" t="str" cm="1">
        <f t="array" ref="Y65">IFERROR(INDEX(_xlfn.TEXTSPLIT(R65," "),,1),"")</f>
        <v/>
      </c>
      <c r="Z65" s="35" t="str">
        <f>IF(NOT(Y65=""),_xlfn.XLOOKUP(Y65,'weapon masteries'!$A$20:$A$29,'weapon masteries'!$B$20:$B$29,"",0),"")</f>
        <v/>
      </c>
      <c r="AA65" s="36" t="str" cm="1">
        <f t="array" ref="AA65">IFERROR(INDEX(_xlfn.TEXTSPLIT(S65," "),,1),"")</f>
        <v/>
      </c>
      <c r="AB65" s="35" t="str">
        <f>IF(NOT(AA65=""),_xlfn.XLOOKUP(AA65,'weapon masteries'!$A$20:$A$29,'weapon masteries'!$B$20:$B$29,"",0),"")</f>
        <v/>
      </c>
      <c r="AC65" s="36" t="str" cm="1">
        <f t="array" ref="AC65">IFERROR(INDEX(_xlfn.TEXTSPLIT(T65," "),,1),"")</f>
        <v/>
      </c>
      <c r="AD65" s="35" t="str">
        <f>IF(NOT(AC65=""),_xlfn.XLOOKUP(AC65,'weapon masteries'!$A$20:$A$29,'weapon masteries'!$B$20:$B$29,"",0),"")</f>
        <v/>
      </c>
    </row>
    <row r="66" spans="1:30" ht="13.5" customHeight="1" x14ac:dyDescent="0.3">
      <c r="A66" s="9" t="s">
        <v>8648</v>
      </c>
      <c r="B66" s="9" t="s">
        <v>9643</v>
      </c>
      <c r="C66" s="9" t="s">
        <v>9652</v>
      </c>
      <c r="D66" s="9" t="s">
        <v>9535</v>
      </c>
      <c r="E66" s="9" t="s">
        <v>8654</v>
      </c>
      <c r="F66" s="9" t="s">
        <v>8652</v>
      </c>
      <c r="G66" s="14" t="s">
        <v>9664</v>
      </c>
      <c r="H66" s="11" t="s">
        <v>9655</v>
      </c>
      <c r="I66" s="13"/>
      <c r="J66" s="13" t="str">
        <f t="shared" si="0"/>
        <v xml:space="preserve">Melee Weapon Attack: [ATK_MOD] to hit, reach 5 ft, one target. Hit: [DAMAGE] piercing damage. </v>
      </c>
      <c r="K66" s="13" t="str">
        <f>"Mastery: "&amp;H66&amp;". "&amp;_xlfn.XLOOKUP(H66,'weapon masteries'!A$2:A$9,'weapon masteries'!B$2:B$9,"",0)</f>
        <v>Mastery: Vex. If the [MON] hits a creature with this weapon and deals damage to the creature, it has Advantage on its next attack roll against that creature before the end of its next turn.</v>
      </c>
      <c r="L66" s="8" t="str">
        <f t="shared" si="1"/>
        <v>Properties: Finesse (When making an attack with a Finesse weapon, use your choice of your Strength or Dexterity modifier for the attack and damage rolls. You must use the same modifier for both rolls.),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P66" s="35" t="str" cm="1">
        <f t="array" ref="P66:Q66">IFERROR(_xlfn.TEXTSPLIT(G66,", ",,TRUE),"")</f>
        <v>Finesse</v>
      </c>
      <c r="Q66" s="35" t="str">
        <v>Light</v>
      </c>
      <c r="U66" s="36" t="str" cm="1">
        <f t="array" ref="U66">IFERROR(INDEX(_xlfn.TEXTSPLIT(P66," "),,1),"")</f>
        <v>Finesse</v>
      </c>
      <c r="V66" s="35" t="str">
        <f>IF(NOT(U66=""),_xlfn.XLOOKUP(U66,'weapon masteries'!$A$20:$A$29,'weapon masteries'!$B$20:$B$29,"",0),"")</f>
        <v>When making an attack with a Finesse weapon, use your choice of your Strength or Dexterity modifier for the attack and damage rolls. You must use the same modifier for both rolls.</v>
      </c>
      <c r="W66" s="36" t="str" cm="1">
        <f t="array" ref="W66">IFERROR(INDEX(_xlfn.TEXTSPLIT(Q66," "),,1),"")</f>
        <v>Light</v>
      </c>
      <c r="X66" s="35" t="str">
        <f>IF(NOT(W66=""),_xlfn.XLOOKUP(W66,'weapon masteries'!$A$20:$A$29,'weapon masteries'!$B$20:$B$29,"",0),"")</f>
        <v>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Y66" s="36" t="str" cm="1">
        <f t="array" ref="Y66">IFERROR(INDEX(_xlfn.TEXTSPLIT(R66," "),,1),"")</f>
        <v/>
      </c>
      <c r="Z66" s="35" t="str">
        <f>IF(NOT(Y66=""),_xlfn.XLOOKUP(Y66,'weapon masteries'!$A$20:$A$29,'weapon masteries'!$B$20:$B$29,"",0),"")</f>
        <v/>
      </c>
      <c r="AA66" s="36" t="str" cm="1">
        <f t="array" ref="AA66">IFERROR(INDEX(_xlfn.TEXTSPLIT(S66," "),,1),"")</f>
        <v/>
      </c>
      <c r="AB66" s="35" t="str">
        <f>IF(NOT(AA66=""),_xlfn.XLOOKUP(AA66,'weapon masteries'!$A$20:$A$29,'weapon masteries'!$B$20:$B$29,"",0),"")</f>
        <v/>
      </c>
      <c r="AC66" s="36" t="str" cm="1">
        <f t="array" ref="AC66">IFERROR(INDEX(_xlfn.TEXTSPLIT(T66," "),,1),"")</f>
        <v/>
      </c>
      <c r="AD66" s="35" t="str">
        <f>IF(NOT(AC66=""),_xlfn.XLOOKUP(AC66,'weapon masteries'!$A$20:$A$29,'weapon masteries'!$B$20:$B$29,"",0),"")</f>
        <v/>
      </c>
    </row>
    <row r="67" spans="1:30" ht="13.5" customHeight="1" x14ac:dyDescent="0.3">
      <c r="A67" s="9" t="s">
        <v>8651</v>
      </c>
      <c r="B67" s="9" t="s">
        <v>9644</v>
      </c>
      <c r="C67" s="9" t="s">
        <v>350</v>
      </c>
      <c r="D67" s="9" t="s">
        <v>9533</v>
      </c>
      <c r="E67" s="9" t="s">
        <v>8654</v>
      </c>
      <c r="F67" s="9" t="s">
        <v>8652</v>
      </c>
      <c r="G67" s="14" t="s">
        <v>9665</v>
      </c>
      <c r="H67" s="11" t="s">
        <v>112</v>
      </c>
      <c r="I67" s="13"/>
      <c r="J67" s="13" t="str">
        <f t="shared" ref="J67:J76" si="2">A67&amp;": [ATK_MOD] to hit, "&amp;D67&amp;", one target. Hit: [DAMAGE] "&amp;F67&amp;" damage. "&amp;I67</f>
        <v xml:space="preserve">Melee or Ranged Weapon Attack: [ATK_MOD] to hit, reach 5 ft or range 20/60 ft, one target. Hit: [DAMAGE] piercing damage. </v>
      </c>
      <c r="K67" s="13" t="str">
        <f>"Mastery: "&amp;H67&amp;". "&amp;_xlfn.XLOOKUP(H67,'weapon masteries'!A$2:A$9,'weapon masteries'!B$2:B$9,"",0)</f>
        <v>Mastery: Topple. If the [MON] hits a creature with this weapon, it can force the creature to make a Constitution saving throw (DC 8 plus the ability modifier used to make the attack roll and your Proficiency Bonus). On a failed save, the creature has the Prone condition.</v>
      </c>
      <c r="L67" s="8" t="str">
        <f t="shared" ref="L67:L76" si="3">IF(NOT(G67=""),IF(COUNTA(P67:T67)&gt;1,"Properties: ","Property: ")&amp;U67&amp;" ("&amp;V67&amp;")"&amp;IF(NOT(W67=""),", "&amp;W67&amp;" ("&amp;X67&amp;")"&amp;IF(NOT(Y67=""),", "&amp;Y67&amp;" ("&amp;Z67&amp;")"&amp;IF(NOT(AA67=""),", "&amp;AB67&amp;" ("&amp;AC67&amp;")",""),""),""),"")</f>
        <v>Properties: Thrown (If a weapon has the Thrown property, you can throw the weapon to make a ranged attack, and you can draw that weapon as part of the attack. If the weapon is a Melee weapon, use the same ability modifier for the attack and damage rolls that you use for a melee attack with that weapon.), Versatile (A Versatile weapon can be used with one or two hands. A damage value in parentheses appears with the property. The weapon deals that damage when used with two hands to make a melee attack.)</v>
      </c>
      <c r="P67" s="35" t="str" cm="1">
        <f t="array" ref="P67:Q67">IFERROR(_xlfn.TEXTSPLIT(G67,", ",,TRUE),"")</f>
        <v>Thrown (Range 20/60)</v>
      </c>
      <c r="Q67" s="35" t="str">
        <v>Versatile (1d10)</v>
      </c>
      <c r="U67" s="36" t="str" cm="1">
        <f t="array" ref="U67">IFERROR(INDEX(_xlfn.TEXTSPLIT(P67," "),,1),"")</f>
        <v>Thrown</v>
      </c>
      <c r="V67" s="35" t="str">
        <f>IF(NOT(U67=""),_xlfn.XLOOKUP(U67,'weapon masteries'!$A$20:$A$29,'weapon masteries'!$B$20:$B$29,"",0),"")</f>
        <v>If a weapon has the Thrown property, you can throw the weapon to make a ranged attack, and you can draw that weapon as part of the attack. If the weapon is a Melee weapon, use the same ability modifier for the attack and damage rolls that you use for a melee attack with that weapon.</v>
      </c>
      <c r="W67" s="36" t="str" cm="1">
        <f t="array" ref="W67">IFERROR(INDEX(_xlfn.TEXTSPLIT(Q67," "),,1),"")</f>
        <v>Versatile</v>
      </c>
      <c r="X67" s="35" t="str">
        <f>IF(NOT(W67=""),_xlfn.XLOOKUP(W67,'weapon masteries'!$A$20:$A$29,'weapon masteries'!$B$20:$B$29,"",0),"")</f>
        <v>A Versatile weapon can be used with one or two hands. A damage value in parentheses appears with the property. The weapon deals that damage when used with two hands to make a melee attack.</v>
      </c>
      <c r="Y67" s="36" t="str" cm="1">
        <f t="array" ref="Y67">IFERROR(INDEX(_xlfn.TEXTSPLIT(R67," "),,1),"")</f>
        <v/>
      </c>
      <c r="Z67" s="35" t="str">
        <f>IF(NOT(Y67=""),_xlfn.XLOOKUP(Y67,'weapon masteries'!$A$20:$A$29,'weapon masteries'!$B$20:$B$29,"",0),"")</f>
        <v/>
      </c>
      <c r="AA67" s="36" t="str" cm="1">
        <f t="array" ref="AA67">IFERROR(INDEX(_xlfn.TEXTSPLIT(S67," "),,1),"")</f>
        <v/>
      </c>
      <c r="AB67" s="35" t="str">
        <f>IF(NOT(AA67=""),_xlfn.XLOOKUP(AA67,'weapon masteries'!$A$20:$A$29,'weapon masteries'!$B$20:$B$29,"",0),"")</f>
        <v/>
      </c>
      <c r="AC67" s="36" t="str" cm="1">
        <f t="array" ref="AC67">IFERROR(INDEX(_xlfn.TEXTSPLIT(T67," "),,1),"")</f>
        <v/>
      </c>
      <c r="AD67" s="35" t="str">
        <f>IF(NOT(AC67=""),_xlfn.XLOOKUP(AC67,'weapon masteries'!$A$20:$A$29,'weapon masteries'!$B$20:$B$29,"",0),"")</f>
        <v/>
      </c>
    </row>
    <row r="68" spans="1:30" ht="13.5" customHeight="1" x14ac:dyDescent="0.3">
      <c r="A68" s="9" t="s">
        <v>8648</v>
      </c>
      <c r="B68" s="9" t="s">
        <v>9645</v>
      </c>
      <c r="C68" s="9" t="s">
        <v>350</v>
      </c>
      <c r="D68" s="9" t="s">
        <v>9535</v>
      </c>
      <c r="E68" s="9" t="s">
        <v>8653</v>
      </c>
      <c r="F68" s="9" t="s">
        <v>8652</v>
      </c>
      <c r="G68" s="14" t="s">
        <v>9657</v>
      </c>
      <c r="H68" s="11" t="s">
        <v>415</v>
      </c>
      <c r="I68" s="13"/>
      <c r="J68" s="13" t="str">
        <f t="shared" si="2"/>
        <v xml:space="preserve">Melee Weapon Attack: [ATK_MOD] to hit, reach 5 ft, one target. Hit: [DAMAGE] piercing damage. </v>
      </c>
      <c r="K68" s="13" t="str">
        <f>"Mastery: "&amp;H68&amp;". "&amp;_xlfn.XLOOKUP(H68,'weapon masteries'!A$2:A$9,'weapon masteries'!B$2:B$9,"",0)</f>
        <v>Mastery: Push. If the [MON] hits a creature with this weapon, it can push the creature up to 10 feet straight away from itself if it is Large or smaller.</v>
      </c>
      <c r="L68" s="8" t="str">
        <f t="shared" si="3"/>
        <v>Property: Versatile (A Versatile weapon can be used with one or two hands. A damage value in parentheses appears with the property. The weapon deals that damage when used with two hands to make a melee attack.)</v>
      </c>
      <c r="P68" s="35" t="str" cm="1">
        <f t="array" ref="P68">IFERROR(_xlfn.TEXTSPLIT(G68,", ",,TRUE),"")</f>
        <v>Versatile (1d10)</v>
      </c>
      <c r="U68" s="36" t="str" cm="1">
        <f t="array" ref="U68">IFERROR(INDEX(_xlfn.TEXTSPLIT(P68," "),,1),"")</f>
        <v>Versatile</v>
      </c>
      <c r="V68" s="35" t="str">
        <f>IF(NOT(U68=""),_xlfn.XLOOKUP(U68,'weapon masteries'!$A$20:$A$29,'weapon masteries'!$B$20:$B$29,"",0),"")</f>
        <v>A Versatile weapon can be used with one or two hands. A damage value in parentheses appears with the property. The weapon deals that damage when used with two hands to make a melee attack.</v>
      </c>
      <c r="W68" s="36" t="str" cm="1">
        <f t="array" ref="W68">IFERROR(INDEX(_xlfn.TEXTSPLIT(Q68," "),,1),"")</f>
        <v/>
      </c>
      <c r="X68" s="35" t="str">
        <f>IF(NOT(W68=""),_xlfn.XLOOKUP(W68,'weapon masteries'!$A$20:$A$29,'weapon masteries'!$B$20:$B$29,"",0),"")</f>
        <v/>
      </c>
      <c r="Y68" s="36" t="str" cm="1">
        <f t="array" ref="Y68">IFERROR(INDEX(_xlfn.TEXTSPLIT(R68," "),,1),"")</f>
        <v/>
      </c>
      <c r="Z68" s="35" t="str">
        <f>IF(NOT(Y68=""),_xlfn.XLOOKUP(Y68,'weapon masteries'!$A$20:$A$29,'weapon masteries'!$B$20:$B$29,"",0),"")</f>
        <v/>
      </c>
      <c r="AA68" s="36" t="str" cm="1">
        <f t="array" ref="AA68">IFERROR(INDEX(_xlfn.TEXTSPLIT(S68," "),,1),"")</f>
        <v/>
      </c>
      <c r="AB68" s="35" t="str">
        <f>IF(NOT(AA68=""),_xlfn.XLOOKUP(AA68,'weapon masteries'!$A$20:$A$29,'weapon masteries'!$B$20:$B$29,"",0),"")</f>
        <v/>
      </c>
      <c r="AC68" s="36" t="str" cm="1">
        <f t="array" ref="AC68">IFERROR(INDEX(_xlfn.TEXTSPLIT(T68," "),,1),"")</f>
        <v/>
      </c>
      <c r="AD68" s="35" t="str">
        <f>IF(NOT(AC68=""),_xlfn.XLOOKUP(AC68,'weapon masteries'!$A$20:$A$29,'weapon masteries'!$B$20:$B$29,"",0),"")</f>
        <v/>
      </c>
    </row>
    <row r="69" spans="1:30" ht="13.5" customHeight="1" x14ac:dyDescent="0.3">
      <c r="A69" s="9" t="s">
        <v>8648</v>
      </c>
      <c r="B69" s="9" t="s">
        <v>9646</v>
      </c>
      <c r="C69" s="9" t="s">
        <v>350</v>
      </c>
      <c r="D69" s="9" t="s">
        <v>9535</v>
      </c>
      <c r="E69" s="9" t="s">
        <v>8653</v>
      </c>
      <c r="F69" s="9" t="s">
        <v>8650</v>
      </c>
      <c r="G69" s="14" t="s">
        <v>9657</v>
      </c>
      <c r="H69" s="11" t="s">
        <v>9656</v>
      </c>
      <c r="I69" s="13"/>
      <c r="J69" s="13" t="str">
        <f t="shared" si="2"/>
        <v xml:space="preserve">Melee Weapon Attack: [ATK_MOD] to hit, reach 5 ft, one target. Hit: [DAMAGE] bludgeoning damage. </v>
      </c>
      <c r="K69" s="13" t="str">
        <f>"Mastery: "&amp;H69&amp;". "&amp;_xlfn.XLOOKUP(H69,'weapon masteries'!A$2:A$9,'weapon masteries'!B$2:B$9,"",0)</f>
        <v>Mastery: Sap. If the [MON] hits a creature with this weapon, that creature has disadvantage on its next attack roll before the start of the [MON]'s next turn.</v>
      </c>
      <c r="L69" s="8" t="str">
        <f t="shared" si="3"/>
        <v>Property: Versatile (A Versatile weapon can be used with one or two hands. A damage value in parentheses appears with the property. The weapon deals that damage when used with two hands to make a melee attack.)</v>
      </c>
      <c r="P69" s="35" t="str" cm="1">
        <f t="array" ref="P69">IFERROR(_xlfn.TEXTSPLIT(G69,", ",,TRUE),"")</f>
        <v>Versatile (1d10)</v>
      </c>
      <c r="U69" s="36" t="str" cm="1">
        <f t="array" ref="U69">IFERROR(INDEX(_xlfn.TEXTSPLIT(P69," "),,1),"")</f>
        <v>Versatile</v>
      </c>
      <c r="V69" s="35" t="str">
        <f>IF(NOT(U69=""),_xlfn.XLOOKUP(U69,'weapon masteries'!$A$20:$A$29,'weapon masteries'!$B$20:$B$29,"",0),"")</f>
        <v>A Versatile weapon can be used with one or two hands. A damage value in parentheses appears with the property. The weapon deals that damage when used with two hands to make a melee attack.</v>
      </c>
      <c r="W69" s="36" t="str" cm="1">
        <f t="array" ref="W69">IFERROR(INDEX(_xlfn.TEXTSPLIT(Q69," "),,1),"")</f>
        <v/>
      </c>
      <c r="X69" s="35" t="str">
        <f>IF(NOT(W69=""),_xlfn.XLOOKUP(W69,'weapon masteries'!$A$20:$A$29,'weapon masteries'!$B$20:$B$29,"",0),"")</f>
        <v/>
      </c>
      <c r="Y69" s="36" t="str" cm="1">
        <f t="array" ref="Y69">IFERROR(INDEX(_xlfn.TEXTSPLIT(R69," "),,1),"")</f>
        <v/>
      </c>
      <c r="Z69" s="35" t="str">
        <f>IF(NOT(Y69=""),_xlfn.XLOOKUP(Y69,'weapon masteries'!$A$20:$A$29,'weapon masteries'!$B$20:$B$29,"",0),"")</f>
        <v/>
      </c>
      <c r="AA69" s="36" t="str" cm="1">
        <f t="array" ref="AA69">IFERROR(INDEX(_xlfn.TEXTSPLIT(S69," "),,1),"")</f>
        <v/>
      </c>
      <c r="AB69" s="35" t="str">
        <f>IF(NOT(AA69=""),_xlfn.XLOOKUP(AA69,'weapon masteries'!$A$20:$A$29,'weapon masteries'!$B$20:$B$29,"",0),"")</f>
        <v/>
      </c>
      <c r="AC69" s="36" t="str" cm="1">
        <f t="array" ref="AC69">IFERROR(INDEX(_xlfn.TEXTSPLIT(T69," "),,1),"")</f>
        <v/>
      </c>
      <c r="AD69" s="35" t="str">
        <f>IF(NOT(AC69=""),_xlfn.XLOOKUP(AC69,'weapon masteries'!$A$20:$A$29,'weapon masteries'!$B$20:$B$29,"",0),"")</f>
        <v/>
      </c>
    </row>
    <row r="70" spans="1:30" ht="13.5" customHeight="1" x14ac:dyDescent="0.3">
      <c r="A70" s="9" t="s">
        <v>8648</v>
      </c>
      <c r="B70" s="9" t="s">
        <v>9647</v>
      </c>
      <c r="C70" s="9" t="s">
        <v>9652</v>
      </c>
      <c r="D70" s="9" t="s">
        <v>9535</v>
      </c>
      <c r="E70" s="9" t="s">
        <v>8649</v>
      </c>
      <c r="F70" s="9" t="s">
        <v>8655</v>
      </c>
      <c r="G70" s="14" t="s">
        <v>9666</v>
      </c>
      <c r="H70" s="11" t="s">
        <v>208</v>
      </c>
      <c r="I70" s="13"/>
      <c r="J70" s="13" t="str">
        <f t="shared" si="2"/>
        <v xml:space="preserve">Melee Weapon Attack: [ATK_MOD] to hit, reach 5 ft, one target. Hit: [DAMAGE] slashing damage. </v>
      </c>
      <c r="K70" s="13" t="str">
        <f>"Mastery: "&amp;H70&amp;". "&amp;_xlfn.XLOOKUP(H70,'weapon masteries'!A$2:A$9,'weapon masteries'!B$2:B$9,"",0)</f>
        <v>Mastery: Slow. If the [MON] hits a creature with this weapon and deals damage to it, it can reduce the target's speed by 10 feet until the start of the [MON]'s next turn. If the creature is hit more than once by weapons that have this property, the speed reduction doesn’t exceed 10 feet.</v>
      </c>
      <c r="L70" s="8" t="str">
        <f t="shared" si="3"/>
        <v>Properties: Finesse (When making an attack with a Finesse weapon, use your choice of your Strength or Dexterity modifier for the attack and damage rolls. You must use the same modifier for both rolls.), Reach (A Reach weapon adds 5 feet to your reach when you attack with it, as well as when determining your reach for Opportunity Attacks with it.)</v>
      </c>
      <c r="P70" s="35" t="str" cm="1">
        <f t="array" ref="P70:Q70">IFERROR(_xlfn.TEXTSPLIT(G70,", ",,TRUE),"")</f>
        <v>Finesse</v>
      </c>
      <c r="Q70" s="35" t="str">
        <v>Reach</v>
      </c>
      <c r="U70" s="36" t="str" cm="1">
        <f t="array" ref="U70">IFERROR(INDEX(_xlfn.TEXTSPLIT(P70," "),,1),"")</f>
        <v>Finesse</v>
      </c>
      <c r="V70" s="35" t="str">
        <f>IF(NOT(U70=""),_xlfn.XLOOKUP(U70,'weapon masteries'!$A$20:$A$29,'weapon masteries'!$B$20:$B$29,"",0),"")</f>
        <v>When making an attack with a Finesse weapon, use your choice of your Strength or Dexterity modifier for the attack and damage rolls. You must use the same modifier for both rolls.</v>
      </c>
      <c r="W70" s="36" t="str" cm="1">
        <f t="array" ref="W70">IFERROR(INDEX(_xlfn.TEXTSPLIT(Q70," "),,1),"")</f>
        <v>Reach</v>
      </c>
      <c r="X70" s="35" t="str">
        <f>IF(NOT(W70=""),_xlfn.XLOOKUP(W70,'weapon masteries'!$A$20:$A$29,'weapon masteries'!$B$20:$B$29,"",0),"")</f>
        <v>A Reach weapon adds 5 feet to your reach when you attack with it, as well as when determining your reach for Opportunity Attacks with it.</v>
      </c>
      <c r="Y70" s="36" t="str" cm="1">
        <f t="array" ref="Y70">IFERROR(INDEX(_xlfn.TEXTSPLIT(R70," "),,1),"")</f>
        <v/>
      </c>
      <c r="Z70" s="35" t="str">
        <f>IF(NOT(Y70=""),_xlfn.XLOOKUP(Y70,'weapon masteries'!$A$20:$A$29,'weapon masteries'!$B$20:$B$29,"",0),"")</f>
        <v/>
      </c>
      <c r="AA70" s="36" t="str" cm="1">
        <f t="array" ref="AA70">IFERROR(INDEX(_xlfn.TEXTSPLIT(S70," "),,1),"")</f>
        <v/>
      </c>
      <c r="AB70" s="35" t="str">
        <f>IF(NOT(AA70=""),_xlfn.XLOOKUP(AA70,'weapon masteries'!$A$20:$A$29,'weapon masteries'!$B$20:$B$29,"",0),"")</f>
        <v/>
      </c>
      <c r="AC70" s="36" t="str" cm="1">
        <f t="array" ref="AC70">IFERROR(INDEX(_xlfn.TEXTSPLIT(T70," "),,1),"")</f>
        <v/>
      </c>
      <c r="AD70" s="35" t="str">
        <f>IF(NOT(AC70=""),_xlfn.XLOOKUP(AC70,'weapon masteries'!$A$20:$A$29,'weapon masteries'!$B$20:$B$29,"",0),"")</f>
        <v/>
      </c>
    </row>
    <row r="71" spans="1:30" ht="13.5" customHeight="1" x14ac:dyDescent="0.3">
      <c r="A71" s="9" t="s">
        <v>8656</v>
      </c>
      <c r="B71" s="9" t="s">
        <v>9648</v>
      </c>
      <c r="C71" s="9" t="s">
        <v>4117</v>
      </c>
      <c r="D71" s="9" t="s">
        <v>9541</v>
      </c>
      <c r="E71" s="9">
        <v>1</v>
      </c>
      <c r="F71" s="9" t="s">
        <v>8652</v>
      </c>
      <c r="G71" s="14" t="s">
        <v>9711</v>
      </c>
      <c r="H71" s="11" t="s">
        <v>9655</v>
      </c>
      <c r="I71" s="13"/>
      <c r="J71" s="13" t="str">
        <f t="shared" si="2"/>
        <v xml:space="preserve">Ranged Weapon Attack: [ATK_MOD] to hit, range 25/100 ft, one target. Hit: [DAMAGE] piercing damage. </v>
      </c>
      <c r="K71" s="13" t="str">
        <f>"Mastery: "&amp;H71&amp;". "&amp;_xlfn.XLOOKUP(H71,'weapon masteries'!A$2:A$9,'weapon masteries'!B$2:B$9,"",0)</f>
        <v>Mastery: Vex. If the [MON] hits a creature with this weapon and deals damage to the creature, it has Advantage on its next attack roll against that creature before the end of its next turn.</v>
      </c>
      <c r="L71" s="8" t="str">
        <f t="shared" si="3"/>
        <v>Properties: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Loading (You can fire only one piece of ammunition from a Loading weapon when you use an action, a Bonus Action, or a Reaction to fire it, regardless of the number of attacks you can normally make.)</v>
      </c>
      <c r="P71" s="35" t="str" cm="1">
        <f t="array" ref="P71:Q71">IFERROR(_xlfn.TEXTSPLIT(G71,", ",,TRUE),"")</f>
        <v>Ammunition (Range 25/100; Needle)</v>
      </c>
      <c r="Q71" s="35" t="str">
        <v>Loading</v>
      </c>
      <c r="U71" s="36" t="str" cm="1">
        <f t="array" ref="U71">IFERROR(INDEX(_xlfn.TEXTSPLIT(P71," "),,1),"")</f>
        <v>Ammunition</v>
      </c>
      <c r="V71" s="35" t="str">
        <f>IF(NOT(U71=""),_xlfn.XLOOKUP(U71,'weapon masteries'!$A$20:$A$29,'weapon masteries'!$B$20:$B$29,"",0),"")</f>
        <v>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W71" s="36" t="str" cm="1">
        <f t="array" ref="W71">IFERROR(INDEX(_xlfn.TEXTSPLIT(Q71," "),,1),"")</f>
        <v>Loading</v>
      </c>
      <c r="X71" s="35" t="str">
        <f>IF(NOT(W71=""),_xlfn.XLOOKUP(W71,'weapon masteries'!$A$20:$A$29,'weapon masteries'!$B$20:$B$29,"",0),"")</f>
        <v>You can fire only one piece of ammunition from a Loading weapon when you use an action, a Bonus Action, or a Reaction to fire it, regardless of the number of attacks you can normally make.</v>
      </c>
      <c r="Y71" s="36" t="str" cm="1">
        <f t="array" ref="Y71">IFERROR(INDEX(_xlfn.TEXTSPLIT(R71," "),,1),"")</f>
        <v/>
      </c>
      <c r="Z71" s="35" t="str">
        <f>IF(NOT(Y71=""),_xlfn.XLOOKUP(Y71,'weapon masteries'!$A$20:$A$29,'weapon masteries'!$B$20:$B$29,"",0),"")</f>
        <v/>
      </c>
      <c r="AA71" s="36" t="str" cm="1">
        <f t="array" ref="AA71">IFERROR(INDEX(_xlfn.TEXTSPLIT(S71," "),,1),"")</f>
        <v/>
      </c>
      <c r="AB71" s="35" t="str">
        <f>IF(NOT(AA71=""),_xlfn.XLOOKUP(AA71,'weapon masteries'!$A$20:$A$29,'weapon masteries'!$B$20:$B$29,"",0),"")</f>
        <v/>
      </c>
      <c r="AC71" s="36" t="str" cm="1">
        <f t="array" ref="AC71">IFERROR(INDEX(_xlfn.TEXTSPLIT(T71," "),,1),"")</f>
        <v/>
      </c>
      <c r="AD71" s="35" t="str">
        <f>IF(NOT(AC71=""),_xlfn.XLOOKUP(AC71,'weapon masteries'!$A$20:$A$29,'weapon masteries'!$B$20:$B$29,"",0),"")</f>
        <v/>
      </c>
    </row>
    <row r="72" spans="1:30" ht="13.5" customHeight="1" x14ac:dyDescent="0.3">
      <c r="A72" s="9" t="s">
        <v>8656</v>
      </c>
      <c r="B72" s="9" t="s">
        <v>9649</v>
      </c>
      <c r="C72" s="9" t="s">
        <v>4117</v>
      </c>
      <c r="D72" s="9" t="s">
        <v>9539</v>
      </c>
      <c r="E72" s="9" t="s">
        <v>8654</v>
      </c>
      <c r="F72" s="9" t="s">
        <v>8652</v>
      </c>
      <c r="G72" s="14" t="s">
        <v>9712</v>
      </c>
      <c r="H72" s="11" t="s">
        <v>9655</v>
      </c>
      <c r="I72" s="13"/>
      <c r="J72" s="13" t="str">
        <f t="shared" si="2"/>
        <v xml:space="preserve">Ranged Weapon Attack: [ATK_MOD] to hit, range 30/120 ft, one target. Hit: [DAMAGE] piercing damage. </v>
      </c>
      <c r="K72" s="13" t="str">
        <f>"Mastery: "&amp;H72&amp;". "&amp;_xlfn.XLOOKUP(H72,'weapon masteries'!A$2:A$9,'weapon masteries'!B$2:B$9,"",0)</f>
        <v>Mastery: Vex. If the [MON] hits a creature with this weapon and deals damage to the creature, it has Advantage on its next attack roll against that creature before the end of its next turn.</v>
      </c>
      <c r="L72" s="8" t="str">
        <f t="shared" si="3"/>
        <v>Properties: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Light (When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 Loading (You can fire only one piece of ammunition from a Loading weapon when you use an action, a Bonus Action, or a Reaction to fire it, regardless of the number of attacks you can normally make.)</v>
      </c>
      <c r="P72" s="35" t="str" cm="1">
        <f t="array" ref="P72:R72">IFERROR(_xlfn.TEXTSPLIT(G72,", ",,TRUE),"")</f>
        <v>Ammunition (Range 30/120; Bolt)</v>
      </c>
      <c r="Q72" s="35" t="str">
        <v>Light</v>
      </c>
      <c r="R72" s="35" t="str">
        <v>Loading</v>
      </c>
      <c r="U72" s="36" t="str" cm="1">
        <f t="array" ref="U72">IFERROR(INDEX(_xlfn.TEXTSPLIT(P72," "),,1),"")</f>
        <v>Ammunition</v>
      </c>
      <c r="V72" s="35" t="str">
        <f>IF(NOT(U72=""),_xlfn.XLOOKUP(U72,'weapon masteries'!$A$20:$A$29,'weapon masteries'!$B$20:$B$29,"",0),"")</f>
        <v>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W72" s="36" t="str" cm="1">
        <f t="array" ref="W72">IFERROR(INDEX(_xlfn.TEXTSPLIT(Q72," "),,1),"")</f>
        <v>Light</v>
      </c>
      <c r="X72" s="35" t="str">
        <f>IF(NOT(W72=""),_xlfn.XLOOKUP(W72,'weapon masteries'!$A$20:$A$29,'weapon masteries'!$B$20:$B$29,"",0),"")</f>
        <v>When you take the Attack action on your turn and attack with a Light weapon, you can make one extra attack as a Bonus Action later on the same turn. That extra attack must be made with a different Light weapon, and you don’t add your ability modifier to the extra attack’s damage unless that modifier is negative. For example, you can attack with a Shortsword in one hand and a Dagger in the other using the Attack action and a Bonus Action, but you don't add your Strength or Dexterity modifier to the damage roll of the Bonus Action unless that modifier is negative.</v>
      </c>
      <c r="Y72" s="36" t="str" cm="1">
        <f t="array" ref="Y72">IFERROR(INDEX(_xlfn.TEXTSPLIT(R72," "),,1),"")</f>
        <v>Loading</v>
      </c>
      <c r="Z72" s="35" t="str">
        <f>IF(NOT(Y72=""),_xlfn.XLOOKUP(Y72,'weapon masteries'!$A$20:$A$29,'weapon masteries'!$B$20:$B$29,"",0),"")</f>
        <v>You can fire only one piece of ammunition from a Loading weapon when you use an action, a Bonus Action, or a Reaction to fire it, regardless of the number of attacks you can normally make.</v>
      </c>
      <c r="AA72" s="36" t="str" cm="1">
        <f t="array" ref="AA72">IFERROR(INDEX(_xlfn.TEXTSPLIT(S72," "),,1),"")</f>
        <v/>
      </c>
      <c r="AB72" s="35" t="str">
        <f>IF(NOT(AA72=""),_xlfn.XLOOKUP(AA72,'weapon masteries'!$A$20:$A$29,'weapon masteries'!$B$20:$B$29,"",0),"")</f>
        <v/>
      </c>
      <c r="AC72" s="36" t="str" cm="1">
        <f t="array" ref="AC72">IFERROR(INDEX(_xlfn.TEXTSPLIT(T72," "),,1),"")</f>
        <v/>
      </c>
      <c r="AD72" s="35" t="str">
        <f>IF(NOT(AC72=""),_xlfn.XLOOKUP(AC72,'weapon masteries'!$A$20:$A$29,'weapon masteries'!$B$20:$B$29,"",0),"")</f>
        <v/>
      </c>
    </row>
    <row r="73" spans="1:30" ht="13.5" customHeight="1" x14ac:dyDescent="0.3">
      <c r="A73" s="9" t="s">
        <v>8656</v>
      </c>
      <c r="B73" s="9" t="s">
        <v>9650</v>
      </c>
      <c r="C73" s="9" t="s">
        <v>4117</v>
      </c>
      <c r="D73" s="9" t="s">
        <v>9542</v>
      </c>
      <c r="E73" s="9" t="s">
        <v>8657</v>
      </c>
      <c r="F73" s="9" t="s">
        <v>8652</v>
      </c>
      <c r="G73" s="14" t="s">
        <v>9713</v>
      </c>
      <c r="H73" s="11" t="s">
        <v>415</v>
      </c>
      <c r="I73" s="13"/>
      <c r="J73" s="13" t="str">
        <f t="shared" si="2"/>
        <v xml:space="preserve">Ranged Weapon Attack: [ATK_MOD] to hit, range 100/400 ft, one target. Hit: [DAMAGE] piercing damage. </v>
      </c>
      <c r="K73" s="13" t="str">
        <f>"Mastery: "&amp;H73&amp;". "&amp;_xlfn.XLOOKUP(H73,'weapon masteries'!A$2:A$9,'weapon masteries'!B$2:B$9,"",0)</f>
        <v>Mastery: Push. If the [MON] hits a creature with this weapon, it can push the creature up to 10 feet straight away from itself if it is Large or smaller.</v>
      </c>
      <c r="L73" s="8" t="str">
        <f t="shared" si="3"/>
        <v>Properties: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Heavy (You have Disadvantage on attack rolls with a Heavy weapon if it's a Melee weapon and your Strength score isn't at least 13 or if it's a Ranged weapon and your Dexterity score isn't at least 13.), Loading (You can fire only one piece of ammunition from a Loading weapon when you use an action, a Bonus Action, or a Reaction to fire it, regardless of the number of attacks you can normally make.), A Two-Handed weapon requires two hands when you attack with it. ()</v>
      </c>
      <c r="P73" s="35" t="str" cm="1">
        <f t="array" ref="P73:S73">IFERROR(_xlfn.TEXTSPLIT(G73,", ",,TRUE),"")</f>
        <v>Ammunition (Range 100/400; Bolt)</v>
      </c>
      <c r="Q73" s="35" t="str">
        <v>Heavy</v>
      </c>
      <c r="R73" s="35" t="str">
        <v>Loading</v>
      </c>
      <c r="S73" s="35" t="str">
        <v>Two-Handed</v>
      </c>
      <c r="U73" s="36" t="str" cm="1">
        <f t="array" ref="U73">IFERROR(INDEX(_xlfn.TEXTSPLIT(P73," "),,1),"")</f>
        <v>Ammunition</v>
      </c>
      <c r="V73" s="35" t="str">
        <f>IF(NOT(U73=""),_xlfn.XLOOKUP(U73,'weapon masteries'!$A$20:$A$29,'weapon masteries'!$B$20:$B$29,"",0),"")</f>
        <v>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W73" s="36" t="str" cm="1">
        <f t="array" ref="W73">IFERROR(INDEX(_xlfn.TEXTSPLIT(Q73," "),,1),"")</f>
        <v>Heavy</v>
      </c>
      <c r="X73" s="35" t="str">
        <f>IF(NOT(W73=""),_xlfn.XLOOKUP(W73,'weapon masteries'!$A$20:$A$29,'weapon masteries'!$B$20:$B$29,"",0),"")</f>
        <v>You have Disadvantage on attack rolls with a Heavy weapon if it's a Melee weapon and your Strength score isn't at least 13 or if it's a Ranged weapon and your Dexterity score isn't at least 13.</v>
      </c>
      <c r="Y73" s="36" t="str" cm="1">
        <f t="array" ref="Y73">IFERROR(INDEX(_xlfn.TEXTSPLIT(R73," "),,1),"")</f>
        <v>Loading</v>
      </c>
      <c r="Z73" s="35" t="str">
        <f>IF(NOT(Y73=""),_xlfn.XLOOKUP(Y73,'weapon masteries'!$A$20:$A$29,'weapon masteries'!$B$20:$B$29,"",0),"")</f>
        <v>You can fire only one piece of ammunition from a Loading weapon when you use an action, a Bonus Action, or a Reaction to fire it, regardless of the number of attacks you can normally make.</v>
      </c>
      <c r="AA73" s="36" t="str" cm="1">
        <f t="array" ref="AA73">IFERROR(INDEX(_xlfn.TEXTSPLIT(S73," "),,1),"")</f>
        <v>Two-Handed</v>
      </c>
      <c r="AB73" s="35" t="str">
        <f>IF(NOT(AA73=""),_xlfn.XLOOKUP(AA73,'weapon masteries'!$A$20:$A$29,'weapon masteries'!$B$20:$B$29,"",0),"")</f>
        <v>A Two-Handed weapon requires two hands when you attack with it.</v>
      </c>
      <c r="AC73" s="36" t="str" cm="1">
        <f t="array" ref="AC73">IFERROR(INDEX(_xlfn.TEXTSPLIT(T73," "),,1),"")</f>
        <v/>
      </c>
      <c r="AD73" s="35" t="str">
        <f>IF(NOT(AC73=""),_xlfn.XLOOKUP(AC73,'weapon masteries'!$A$20:$A$29,'weapon masteries'!$B$20:$B$29,"",0),"")</f>
        <v/>
      </c>
    </row>
    <row r="74" spans="1:30" ht="13.5" customHeight="1" x14ac:dyDescent="0.3">
      <c r="A74" s="10" t="s">
        <v>8656</v>
      </c>
      <c r="B74" s="10" t="s">
        <v>9651</v>
      </c>
      <c r="C74" s="10" t="s">
        <v>4117</v>
      </c>
      <c r="D74" s="10" t="s">
        <v>9543</v>
      </c>
      <c r="E74" s="10" t="s">
        <v>8653</v>
      </c>
      <c r="F74" s="10" t="s">
        <v>8652</v>
      </c>
      <c r="G74" s="15" t="s">
        <v>9714</v>
      </c>
      <c r="H74" s="11" t="s">
        <v>208</v>
      </c>
      <c r="I74" s="13"/>
      <c r="J74" s="13" t="str">
        <f t="shared" si="2"/>
        <v xml:space="preserve">Ranged Weapon Attack: [ATK_MOD] to hit, range 150/600 ft, one target. Hit: [DAMAGE] piercing damage. </v>
      </c>
      <c r="K74" s="13" t="str">
        <f>"Mastery: "&amp;H74&amp;". "&amp;_xlfn.XLOOKUP(H74,'weapon masteries'!A$2:A$9,'weapon masteries'!B$2:B$9,"",0)</f>
        <v>Mastery: Slow. If the [MON] hits a creature with this weapon and deals damage to it, it can reduce the target's speed by 10 feet until the start of the [MON]'s next turn. If the creature is hit more than once by weapons that have this property, the speed reduction doesn’t exceed 10 feet.</v>
      </c>
      <c r="L74" s="8" t="str">
        <f t="shared" si="3"/>
        <v>Properties: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Heavy (You have Disadvantage on attack rolls with a Heavy weapon if it's a Melee weapon and your Strength score isn't at least 13 or if it's a Ranged weapon and your Dexterity score isn't at least 13.), Two-Handed (A Two-Handed weapon requires two hands when you attack with it.)</v>
      </c>
      <c r="P74" s="35" t="str" cm="1">
        <f t="array" ref="P74:R74">IFERROR(_xlfn.TEXTSPLIT(G74,", ",,TRUE),"")</f>
        <v>Ammunition (Range 150/600; Arrow)</v>
      </c>
      <c r="Q74" s="35" t="str">
        <v>Heavy</v>
      </c>
      <c r="R74" s="35" t="str">
        <v>Two-Handed</v>
      </c>
      <c r="U74" s="36" t="str" cm="1">
        <f t="array" ref="U74">IFERROR(INDEX(_xlfn.TEXTSPLIT(P74," "),,1),"")</f>
        <v>Ammunition</v>
      </c>
      <c r="V74" s="35" t="str">
        <f>IF(NOT(U74=""),_xlfn.XLOOKUP(U74,'weapon masteries'!$A$20:$A$29,'weapon masteries'!$B$20:$B$29,"",0),"")</f>
        <v>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W74" s="36" t="str" cm="1">
        <f t="array" ref="W74">IFERROR(INDEX(_xlfn.TEXTSPLIT(Q74," "),,1),"")</f>
        <v>Heavy</v>
      </c>
      <c r="X74" s="35" t="str">
        <f>IF(NOT(W74=""),_xlfn.XLOOKUP(W74,'weapon masteries'!$A$20:$A$29,'weapon masteries'!$B$20:$B$29,"",0),"")</f>
        <v>You have Disadvantage on attack rolls with a Heavy weapon if it's a Melee weapon and your Strength score isn't at least 13 or if it's a Ranged weapon and your Dexterity score isn't at least 13.</v>
      </c>
      <c r="Y74" s="36" t="str" cm="1">
        <f t="array" ref="Y74">IFERROR(INDEX(_xlfn.TEXTSPLIT(R74," "),,1),"")</f>
        <v>Two-Handed</v>
      </c>
      <c r="Z74" s="35" t="str">
        <f>IF(NOT(Y74=""),_xlfn.XLOOKUP(Y74,'weapon masteries'!$A$20:$A$29,'weapon masteries'!$B$20:$B$29,"",0),"")</f>
        <v>A Two-Handed weapon requires two hands when you attack with it.</v>
      </c>
      <c r="AA74" s="36" t="str" cm="1">
        <f t="array" ref="AA74">IFERROR(INDEX(_xlfn.TEXTSPLIT(S74," "),,1),"")</f>
        <v/>
      </c>
      <c r="AB74" s="35" t="str">
        <f>IF(NOT(AA74=""),_xlfn.XLOOKUP(AA74,'weapon masteries'!$A$20:$A$29,'weapon masteries'!$B$20:$B$29,"",0),"")</f>
        <v/>
      </c>
      <c r="AC74" s="36" t="str" cm="1">
        <f t="array" ref="AC74">IFERROR(INDEX(_xlfn.TEXTSPLIT(T74," "),,1),"")</f>
        <v/>
      </c>
      <c r="AD74" s="35" t="str">
        <f>IF(NOT(AC74=""),_xlfn.XLOOKUP(AC74,'weapon masteries'!$A$20:$A$29,'weapon masteries'!$B$20:$B$29,"",0),"")</f>
        <v/>
      </c>
    </row>
    <row r="75" spans="1:30" ht="13.5" customHeight="1" x14ac:dyDescent="0.3">
      <c r="A75" s="11" t="s">
        <v>8656</v>
      </c>
      <c r="B75" s="13" t="s">
        <v>9667</v>
      </c>
      <c r="C75" s="13" t="s">
        <v>4117</v>
      </c>
      <c r="D75" s="13" t="s">
        <v>9671</v>
      </c>
      <c r="E75" s="13" t="s">
        <v>8658</v>
      </c>
      <c r="F75" s="13" t="s">
        <v>8652</v>
      </c>
      <c r="G75" s="13" t="s">
        <v>9668</v>
      </c>
      <c r="H75" s="16" t="s">
        <v>208</v>
      </c>
      <c r="I75" s="13"/>
      <c r="J75" s="13" t="str">
        <f t="shared" si="2"/>
        <v xml:space="preserve">Ranged Weapon Attack: [ATK_MOD] to hit, range 40/120 ft, one target. Hit: [DAMAGE] piercing damage. </v>
      </c>
      <c r="K75" s="13" t="str">
        <f>"Mastery: "&amp;H75&amp;". "&amp;_xlfn.XLOOKUP(H75,'weapon masteries'!A$2:A$9,'weapon masteries'!B$2:B$9,"",0)</f>
        <v>Mastery: Slow. If the [MON] hits a creature with this weapon and deals damage to it, it can reduce the target's speed by 10 feet until the start of the [MON]'s next turn. If the creature is hit more than once by weapons that have this property, the speed reduction doesn’t exceed 10 feet.</v>
      </c>
      <c r="L75" s="8" t="str">
        <f t="shared" si="3"/>
        <v>Properties: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Loading (You can fire only one piece of ammunition from a Loading weapon when you use an action, a Bonus Action, or a Reaction to fire it, regardless of the number of attacks you can normally make.), Two-Handed (A Two-Handed weapon requires two hands when you attack with it.)</v>
      </c>
      <c r="P75" s="35" t="str" cm="1">
        <f t="array" ref="P75:R75">IFERROR(_xlfn.TEXTSPLIT(G75,", ",,TRUE),"")</f>
        <v>Ammunition (Range 40/120; Bullet)</v>
      </c>
      <c r="Q75" s="35" t="str">
        <v>Loading</v>
      </c>
      <c r="R75" s="35" t="str">
        <v>Two-Handed</v>
      </c>
      <c r="U75" s="36" t="str" cm="1">
        <f t="array" ref="U75">IFERROR(INDEX(_xlfn.TEXTSPLIT(P75," "),,1),"")</f>
        <v>Ammunition</v>
      </c>
      <c r="V75" s="35" t="str">
        <f>IF(NOT(U75=""),_xlfn.XLOOKUP(U75,'weapon masteries'!$A$20:$A$29,'weapon masteries'!$B$20:$B$29,"",0),"")</f>
        <v>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W75" s="36" t="str" cm="1">
        <f t="array" ref="W75">IFERROR(INDEX(_xlfn.TEXTSPLIT(Q75," "),,1),"")</f>
        <v>Loading</v>
      </c>
      <c r="X75" s="35" t="str">
        <f>IF(NOT(W75=""),_xlfn.XLOOKUP(W75,'weapon masteries'!$A$20:$A$29,'weapon masteries'!$B$20:$B$29,"",0),"")</f>
        <v>You can fire only one piece of ammunition from a Loading weapon when you use an action, a Bonus Action, or a Reaction to fire it, regardless of the number of attacks you can normally make.</v>
      </c>
      <c r="Y75" s="36" t="str" cm="1">
        <f t="array" ref="Y75">IFERROR(INDEX(_xlfn.TEXTSPLIT(R75," "),,1),"")</f>
        <v>Two-Handed</v>
      </c>
      <c r="Z75" s="35" t="str">
        <f>IF(NOT(Y75=""),_xlfn.XLOOKUP(Y75,'weapon masteries'!$A$20:$A$29,'weapon masteries'!$B$20:$B$29,"",0),"")</f>
        <v>A Two-Handed weapon requires two hands when you attack with it.</v>
      </c>
      <c r="AA75" s="36" t="str" cm="1">
        <f t="array" ref="AA75">IFERROR(INDEX(_xlfn.TEXTSPLIT(S75," "),,1),"")</f>
        <v/>
      </c>
      <c r="AB75" s="35" t="str">
        <f>IF(NOT(AA75=""),_xlfn.XLOOKUP(AA75,'weapon masteries'!$A$20:$A$29,'weapon masteries'!$B$20:$B$29,"",0),"")</f>
        <v/>
      </c>
      <c r="AC75" s="36" t="str" cm="1">
        <f t="array" ref="AC75">IFERROR(INDEX(_xlfn.TEXTSPLIT(T75," "),,1),"")</f>
        <v/>
      </c>
      <c r="AD75" s="35" t="str">
        <f>IF(NOT(AC75=""),_xlfn.XLOOKUP(AC75,'weapon masteries'!$A$20:$A$29,'weapon masteries'!$B$20:$B$29,"",0),"")</f>
        <v/>
      </c>
    </row>
    <row r="76" spans="1:30" ht="13.5" customHeight="1" x14ac:dyDescent="0.3">
      <c r="A76" s="11" t="s">
        <v>8656</v>
      </c>
      <c r="B76" s="13" t="s">
        <v>9669</v>
      </c>
      <c r="C76" s="13" t="s">
        <v>4117</v>
      </c>
      <c r="D76" s="13" t="s">
        <v>9672</v>
      </c>
      <c r="E76" s="13" t="s">
        <v>8657</v>
      </c>
      <c r="F76" s="13" t="s">
        <v>8652</v>
      </c>
      <c r="G76" s="13" t="s">
        <v>9670</v>
      </c>
      <c r="H76" s="13" t="s">
        <v>9655</v>
      </c>
      <c r="I76" s="13"/>
      <c r="J76" s="13" t="str">
        <f t="shared" si="2"/>
        <v xml:space="preserve">Ranged Weapon Attack: [ATK_MOD] to hit, range 30/90 ft, one target. Hit: [DAMAGE] piercing damage. </v>
      </c>
      <c r="K76" s="13" t="str">
        <f>"Mastery: "&amp;H76&amp;". "&amp;_xlfn.XLOOKUP(H76,'weapon masteries'!A$2:A$9,'weapon masteries'!B$2:B$9,"",0)</f>
        <v>Mastery: Vex. If the [MON] hits a creature with this weapon and deals damage to the creature, it has Advantage on its next attack roll against that creature before the end of its next turn.</v>
      </c>
      <c r="L76" s="8" t="str">
        <f t="shared" si="3"/>
        <v>Properties: Ammunition (You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 Loading (You can fire only one piece of ammunition from a Loading weapon when you use an action, a Bonus Action, or a Reaction to fire it, regardless of the number of attacks you can normally make.)</v>
      </c>
      <c r="P76" s="35" t="str" cm="1">
        <f t="array" ref="P76:Q76">IFERROR(_xlfn.TEXTSPLIT(G76,", ",,TRUE),"")</f>
        <v>Ammunition (Range 30/90; Bullet)</v>
      </c>
      <c r="Q76" s="35" t="str">
        <v>Loading</v>
      </c>
      <c r="U76" s="36" t="str" cm="1">
        <f t="array" ref="U76">IFERROR(INDEX(_xlfn.TEXTSPLIT(P76," "),,1),"")</f>
        <v>Ammunition</v>
      </c>
      <c r="V76" s="35" t="str">
        <f>IF(NOT(U76=""),_xlfn.XLOOKUP(U76,'weapon masteries'!$A$20:$A$29,'weapon masteries'!$B$20:$B$29,"",0),"")</f>
        <v>You can use a weapon that has the Ammunition property to make a ranged attack only if you have ammunition to fire from it. The type of ammunition required is specified with the weapon's range. Each attack expends one piece of ammunition. Drawing the ammunition is part of the attack (you need a free hand to load a one-handed weapon). After a fight, you can spend 1 minute to recover half the ammunition (round down) you used in the fight; the rest is lost.</v>
      </c>
      <c r="W76" s="36" t="str" cm="1">
        <f t="array" ref="W76">IFERROR(INDEX(_xlfn.TEXTSPLIT(Q76," "),,1),"")</f>
        <v>Loading</v>
      </c>
      <c r="X76" s="35" t="str">
        <f>IF(NOT(W76=""),_xlfn.XLOOKUP(W76,'weapon masteries'!$A$20:$A$29,'weapon masteries'!$B$20:$B$29,"",0),"")</f>
        <v>You can fire only one piece of ammunition from a Loading weapon when you use an action, a Bonus Action, or a Reaction to fire it, regardless of the number of attacks you can normally make.</v>
      </c>
      <c r="Y76" s="36" t="str" cm="1">
        <f t="array" ref="Y76">IFERROR(INDEX(_xlfn.TEXTSPLIT(R76," "),,1),"")</f>
        <v/>
      </c>
      <c r="Z76" s="35" t="str">
        <f>IF(NOT(Y76=""),_xlfn.XLOOKUP(Y76,'weapon masteries'!$A$20:$A$29,'weapon masteries'!$B$20:$B$29,"",0),"")</f>
        <v/>
      </c>
      <c r="AA76" s="36" t="str" cm="1">
        <f t="array" ref="AA76">IFERROR(INDEX(_xlfn.TEXTSPLIT(S76," "),,1),"")</f>
        <v/>
      </c>
      <c r="AB76" s="35" t="str">
        <f>IF(NOT(AA76=""),_xlfn.XLOOKUP(AA76,'weapon masteries'!$A$20:$A$29,'weapon masteries'!$B$20:$B$29,"",0),"")</f>
        <v/>
      </c>
      <c r="AC76" s="36" t="str" cm="1">
        <f t="array" ref="AC76">IFERROR(INDEX(_xlfn.TEXTSPLIT(T76," "),,1),"")</f>
        <v/>
      </c>
      <c r="AD76" s="35" t="str">
        <f>IF(NOT(AC76=""),_xlfn.XLOOKUP(AC76,'weapon masteries'!$A$20:$A$29,'weapon masteries'!$B$20:$B$29,"",0),"")</f>
        <v/>
      </c>
    </row>
    <row r="77" spans="1:30" ht="13.5" customHeight="1" x14ac:dyDescent="0.3"/>
    <row r="78" spans="1:30" ht="13.5" customHeight="1" x14ac:dyDescent="0.3"/>
    <row r="79" spans="1:30" ht="13.5" customHeight="1" x14ac:dyDescent="0.3"/>
    <row r="80" spans="1:30" ht="13.5" customHeight="1" x14ac:dyDescent="0.3"/>
    <row r="81" ht="13.5" customHeight="1" x14ac:dyDescent="0.3"/>
    <row r="82" ht="13.5" customHeight="1" x14ac:dyDescent="0.3"/>
    <row r="83" ht="13.5" customHeight="1" x14ac:dyDescent="0.3"/>
    <row r="84" ht="13.5" customHeight="1" x14ac:dyDescent="0.3"/>
    <row r="85" ht="13.5" customHeight="1" x14ac:dyDescent="0.3"/>
    <row r="86" ht="13.5" customHeight="1" x14ac:dyDescent="0.3"/>
    <row r="87" ht="13.5" customHeight="1" x14ac:dyDescent="0.3"/>
    <row r="88" ht="13.5" customHeight="1" x14ac:dyDescent="0.3"/>
    <row r="89" ht="13.5" customHeight="1" x14ac:dyDescent="0.3"/>
    <row r="90" ht="13.5" customHeight="1" x14ac:dyDescent="0.3"/>
    <row r="91" ht="13.5" customHeight="1" x14ac:dyDescent="0.3"/>
    <row r="92" ht="13.5" customHeight="1" x14ac:dyDescent="0.3"/>
    <row r="93" ht="13.5" customHeight="1" x14ac:dyDescent="0.3"/>
    <row r="94" ht="13.5" customHeight="1" x14ac:dyDescent="0.3"/>
    <row r="95" ht="13.5" customHeight="1" x14ac:dyDescent="0.3"/>
    <row r="96" ht="13.5" customHeight="1" x14ac:dyDescent="0.3"/>
    <row r="97" ht="13.5" customHeight="1" x14ac:dyDescent="0.3"/>
    <row r="98" ht="13.5" customHeight="1" x14ac:dyDescent="0.3"/>
    <row r="99" ht="13.5" customHeight="1" x14ac:dyDescent="0.3"/>
    <row r="100" ht="13.5" customHeight="1" x14ac:dyDescent="0.3"/>
    <row r="101" ht="13.5" customHeight="1" x14ac:dyDescent="0.3"/>
    <row r="102" ht="13.5" customHeight="1" x14ac:dyDescent="0.3"/>
    <row r="103" ht="13.5" customHeight="1" x14ac:dyDescent="0.3"/>
    <row r="104" ht="13.5" customHeight="1" x14ac:dyDescent="0.3"/>
    <row r="105" ht="13.5" customHeight="1" x14ac:dyDescent="0.3"/>
    <row r="106" ht="13.5" customHeight="1" x14ac:dyDescent="0.3"/>
    <row r="107" ht="13.5" customHeight="1" x14ac:dyDescent="0.3"/>
    <row r="108" ht="13.5" customHeight="1" x14ac:dyDescent="0.3"/>
    <row r="109" ht="13.5" customHeight="1" x14ac:dyDescent="0.3"/>
    <row r="110" ht="13.5" customHeight="1" x14ac:dyDescent="0.3"/>
    <row r="111" ht="13.5" customHeight="1" x14ac:dyDescent="0.3"/>
    <row r="112" ht="13.5" customHeight="1" x14ac:dyDescent="0.3"/>
    <row r="113" ht="13.5" customHeight="1" x14ac:dyDescent="0.3"/>
    <row r="114" ht="13.5" customHeight="1" x14ac:dyDescent="0.3"/>
    <row r="115" ht="13.5" customHeight="1" x14ac:dyDescent="0.3"/>
    <row r="116" ht="13.5" customHeight="1" x14ac:dyDescent="0.3"/>
    <row r="117" ht="13.5" customHeight="1" x14ac:dyDescent="0.3"/>
    <row r="118" ht="13.5" customHeight="1" x14ac:dyDescent="0.3"/>
    <row r="119" ht="13.5" customHeight="1" x14ac:dyDescent="0.3"/>
    <row r="120" ht="13.5" customHeight="1" x14ac:dyDescent="0.3"/>
    <row r="121" ht="13.5" customHeight="1" x14ac:dyDescent="0.3"/>
    <row r="122" ht="13.5" customHeight="1" x14ac:dyDescent="0.3"/>
    <row r="123" ht="13.5" customHeight="1" x14ac:dyDescent="0.3"/>
    <row r="124" ht="13.5" customHeight="1" x14ac:dyDescent="0.3"/>
    <row r="125" ht="13.5" customHeight="1" x14ac:dyDescent="0.3"/>
    <row r="126" ht="13.5" customHeight="1" x14ac:dyDescent="0.3"/>
    <row r="127" ht="13.5" customHeight="1" x14ac:dyDescent="0.3"/>
    <row r="128" ht="13.5" customHeight="1" x14ac:dyDescent="0.3"/>
    <row r="129" ht="13.5" customHeight="1" x14ac:dyDescent="0.3"/>
    <row r="130" ht="13.5" customHeight="1" x14ac:dyDescent="0.3"/>
    <row r="131" ht="13.5" customHeight="1" x14ac:dyDescent="0.3"/>
    <row r="132" ht="13.5" customHeight="1" x14ac:dyDescent="0.3"/>
    <row r="133" ht="13.5" customHeight="1" x14ac:dyDescent="0.3"/>
    <row r="134" ht="13.5" customHeight="1" x14ac:dyDescent="0.3"/>
    <row r="135" ht="13.5" customHeight="1" x14ac:dyDescent="0.3"/>
    <row r="136" ht="13.5" customHeight="1" x14ac:dyDescent="0.3"/>
    <row r="137" ht="13.5" customHeight="1" x14ac:dyDescent="0.3"/>
    <row r="138" ht="13.5" customHeight="1" x14ac:dyDescent="0.3"/>
    <row r="139" ht="13.5" customHeight="1" x14ac:dyDescent="0.3"/>
    <row r="140" ht="13.5" customHeight="1" x14ac:dyDescent="0.3"/>
    <row r="141" ht="13.5" customHeight="1" x14ac:dyDescent="0.3"/>
    <row r="142" ht="13.5" customHeight="1" x14ac:dyDescent="0.3"/>
    <row r="143" ht="13.5" customHeight="1" x14ac:dyDescent="0.3"/>
    <row r="144" ht="13.5" customHeight="1" x14ac:dyDescent="0.3"/>
    <row r="145" ht="13.5" customHeight="1" x14ac:dyDescent="0.3"/>
    <row r="146" ht="13.5" customHeight="1" x14ac:dyDescent="0.3"/>
    <row r="147" ht="13.5" customHeight="1" x14ac:dyDescent="0.3"/>
    <row r="148" ht="13.5" customHeight="1" x14ac:dyDescent="0.3"/>
    <row r="149" ht="13.5" customHeight="1" x14ac:dyDescent="0.3"/>
    <row r="150" ht="13.5" customHeight="1" x14ac:dyDescent="0.3"/>
    <row r="151" ht="13.5" customHeight="1" x14ac:dyDescent="0.3"/>
    <row r="152" ht="13.5" customHeight="1" x14ac:dyDescent="0.3"/>
    <row r="153" ht="13.5" customHeight="1" x14ac:dyDescent="0.3"/>
    <row r="154" ht="13.5" customHeight="1" x14ac:dyDescent="0.3"/>
    <row r="155" ht="13.5" customHeight="1" x14ac:dyDescent="0.3"/>
    <row r="156" ht="13.5" customHeight="1" x14ac:dyDescent="0.3"/>
    <row r="157" ht="13.5" customHeight="1" x14ac:dyDescent="0.3"/>
    <row r="158" ht="13.5" customHeight="1" x14ac:dyDescent="0.3"/>
    <row r="159" ht="13.5" customHeight="1" x14ac:dyDescent="0.3"/>
    <row r="160" ht="13.5" customHeight="1" x14ac:dyDescent="0.3"/>
    <row r="161" ht="13.5" customHeight="1" x14ac:dyDescent="0.3"/>
    <row r="162" ht="13.5" customHeight="1" x14ac:dyDescent="0.3"/>
    <row r="163" ht="13.5" customHeight="1" x14ac:dyDescent="0.3"/>
    <row r="164" ht="13.5" customHeight="1" x14ac:dyDescent="0.3"/>
    <row r="165" ht="13.5" customHeight="1" x14ac:dyDescent="0.3"/>
    <row r="166" ht="13.5" customHeight="1" x14ac:dyDescent="0.3"/>
    <row r="167" ht="13.5" customHeight="1" x14ac:dyDescent="0.3"/>
    <row r="168" ht="13.5" customHeight="1" x14ac:dyDescent="0.3"/>
    <row r="169" ht="13.5" customHeight="1" x14ac:dyDescent="0.3"/>
    <row r="170" ht="13.5" customHeight="1" x14ac:dyDescent="0.3"/>
    <row r="171" ht="13.5" customHeight="1" x14ac:dyDescent="0.3"/>
    <row r="172" ht="13.5" customHeight="1" x14ac:dyDescent="0.3"/>
    <row r="173" ht="13.5" customHeight="1" x14ac:dyDescent="0.3"/>
    <row r="174" ht="13.5" customHeight="1" x14ac:dyDescent="0.3"/>
    <row r="175" ht="13.5" customHeight="1" x14ac:dyDescent="0.3"/>
    <row r="176" ht="13.5" customHeight="1" x14ac:dyDescent="0.3"/>
    <row r="177" ht="13.5" customHeight="1" x14ac:dyDescent="0.3"/>
    <row r="178" ht="13.5" customHeight="1" x14ac:dyDescent="0.3"/>
    <row r="179" ht="13.5" customHeight="1" x14ac:dyDescent="0.3"/>
    <row r="180" ht="13.5" customHeight="1" x14ac:dyDescent="0.3"/>
    <row r="181" ht="13.5" customHeight="1" x14ac:dyDescent="0.3"/>
    <row r="182" ht="13.5" customHeight="1" x14ac:dyDescent="0.3"/>
    <row r="183" ht="13.5" customHeight="1" x14ac:dyDescent="0.3"/>
    <row r="184" ht="13.5" customHeight="1" x14ac:dyDescent="0.3"/>
    <row r="185" ht="13.5" customHeight="1" x14ac:dyDescent="0.3"/>
    <row r="186" ht="13.5" customHeight="1" x14ac:dyDescent="0.3"/>
    <row r="187" ht="13.5" customHeight="1" x14ac:dyDescent="0.3"/>
    <row r="188" ht="13.5" customHeight="1" x14ac:dyDescent="0.3"/>
    <row r="189" ht="13.5" customHeight="1" x14ac:dyDescent="0.3"/>
    <row r="190" ht="13.5" customHeight="1" x14ac:dyDescent="0.3"/>
    <row r="191" ht="13.5" customHeight="1" x14ac:dyDescent="0.3"/>
    <row r="192" ht="13.5" customHeight="1" x14ac:dyDescent="0.3"/>
    <row r="193" ht="13.5" customHeight="1" x14ac:dyDescent="0.3"/>
    <row r="194" ht="13.5" customHeight="1" x14ac:dyDescent="0.3"/>
    <row r="195" ht="13.5" customHeight="1" x14ac:dyDescent="0.3"/>
    <row r="196" ht="13.5" customHeight="1" x14ac:dyDescent="0.3"/>
    <row r="197" ht="13.5" customHeight="1" x14ac:dyDescent="0.3"/>
    <row r="198" ht="13.5" customHeight="1" x14ac:dyDescent="0.3"/>
    <row r="199" ht="13.5" customHeight="1" x14ac:dyDescent="0.3"/>
    <row r="200" ht="13.5" customHeight="1" x14ac:dyDescent="0.3"/>
    <row r="201" ht="13.5" customHeight="1" x14ac:dyDescent="0.3"/>
    <row r="202" ht="13.5" customHeight="1" x14ac:dyDescent="0.3"/>
    <row r="203" ht="13.5" customHeight="1" x14ac:dyDescent="0.3"/>
    <row r="204" ht="13.5" customHeight="1" x14ac:dyDescent="0.3"/>
    <row r="205" ht="13.5" customHeight="1" x14ac:dyDescent="0.3"/>
    <row r="206" ht="13.5" customHeight="1" x14ac:dyDescent="0.3"/>
    <row r="207" ht="13.5" customHeight="1" x14ac:dyDescent="0.3"/>
    <row r="208" ht="13.5" customHeight="1" x14ac:dyDescent="0.3"/>
    <row r="209" ht="13.5" customHeight="1" x14ac:dyDescent="0.3"/>
    <row r="210" ht="13.5" customHeight="1" x14ac:dyDescent="0.3"/>
    <row r="211" ht="13.5" customHeight="1" x14ac:dyDescent="0.3"/>
    <row r="212" ht="13.5" customHeight="1" x14ac:dyDescent="0.3"/>
    <row r="213" ht="13.5" customHeight="1" x14ac:dyDescent="0.3"/>
    <row r="214" ht="13.5" customHeight="1" x14ac:dyDescent="0.3"/>
    <row r="215" ht="13.5" customHeight="1" x14ac:dyDescent="0.3"/>
    <row r="216" ht="13.5" customHeight="1" x14ac:dyDescent="0.3"/>
    <row r="217" ht="13.5" customHeight="1" x14ac:dyDescent="0.3"/>
    <row r="218" ht="13.5" customHeight="1" x14ac:dyDescent="0.3"/>
    <row r="219" ht="13.5" customHeight="1" x14ac:dyDescent="0.3"/>
    <row r="220" ht="13.5" customHeight="1" x14ac:dyDescent="0.3"/>
    <row r="221" ht="13.5" customHeight="1" x14ac:dyDescent="0.3"/>
    <row r="222" ht="13.5" customHeight="1" x14ac:dyDescent="0.3"/>
    <row r="223" ht="13.5" customHeight="1" x14ac:dyDescent="0.3"/>
    <row r="224" ht="13.5" customHeight="1" x14ac:dyDescent="0.3"/>
    <row r="225" ht="13.5" customHeight="1" x14ac:dyDescent="0.3"/>
    <row r="226" ht="13.5" customHeight="1" x14ac:dyDescent="0.3"/>
    <row r="227" ht="13.5" customHeight="1" x14ac:dyDescent="0.3"/>
    <row r="228" ht="13.5" customHeight="1" x14ac:dyDescent="0.3"/>
    <row r="229" ht="13.5" customHeight="1" x14ac:dyDescent="0.3"/>
    <row r="230" ht="13.5" customHeight="1" x14ac:dyDescent="0.3"/>
    <row r="231" ht="13.5" customHeight="1" x14ac:dyDescent="0.3"/>
    <row r="232" ht="13.5" customHeight="1" x14ac:dyDescent="0.3"/>
    <row r="233" ht="13.5" customHeight="1" x14ac:dyDescent="0.3"/>
    <row r="234" ht="13.5" customHeight="1" x14ac:dyDescent="0.3"/>
    <row r="235" ht="13.5" customHeight="1" x14ac:dyDescent="0.3"/>
    <row r="236" ht="13.5" customHeight="1" x14ac:dyDescent="0.3"/>
    <row r="237" ht="13.5" customHeight="1" x14ac:dyDescent="0.3"/>
    <row r="238" ht="13.5" customHeight="1" x14ac:dyDescent="0.3"/>
    <row r="239" ht="13.5" customHeight="1" x14ac:dyDescent="0.3"/>
    <row r="240" ht="13.5" customHeight="1" x14ac:dyDescent="0.3"/>
    <row r="241" ht="13.5" customHeight="1" x14ac:dyDescent="0.3"/>
    <row r="242" ht="13.5" customHeight="1" x14ac:dyDescent="0.3"/>
    <row r="243" ht="13.5" customHeight="1" x14ac:dyDescent="0.3"/>
    <row r="244" ht="13.5" customHeight="1" x14ac:dyDescent="0.3"/>
    <row r="245" ht="13.5" customHeight="1" x14ac:dyDescent="0.3"/>
    <row r="246" ht="13.5" customHeight="1" x14ac:dyDescent="0.3"/>
    <row r="247" ht="13.5" customHeight="1" x14ac:dyDescent="0.3"/>
    <row r="248" ht="13.5" customHeight="1" x14ac:dyDescent="0.3"/>
    <row r="249" ht="13.5" customHeight="1" x14ac:dyDescent="0.3"/>
    <row r="250" ht="13.5" customHeight="1" x14ac:dyDescent="0.3"/>
    <row r="251" ht="13.5" customHeight="1" x14ac:dyDescent="0.3"/>
    <row r="252" ht="13.5" customHeight="1" x14ac:dyDescent="0.3"/>
    <row r="253" ht="13.5" customHeight="1" x14ac:dyDescent="0.3"/>
    <row r="254" ht="13.5" customHeight="1" x14ac:dyDescent="0.3"/>
    <row r="255" ht="13.5" customHeight="1" x14ac:dyDescent="0.3"/>
    <row r="256" ht="13.5" customHeight="1" x14ac:dyDescent="0.3"/>
    <row r="257" ht="13.5" customHeight="1" x14ac:dyDescent="0.3"/>
    <row r="258" ht="13.5" customHeight="1" x14ac:dyDescent="0.3"/>
    <row r="259" ht="13.5" customHeight="1" x14ac:dyDescent="0.3"/>
    <row r="260" ht="13.5" customHeight="1" x14ac:dyDescent="0.3"/>
    <row r="261" ht="13.5" customHeight="1" x14ac:dyDescent="0.3"/>
    <row r="262" ht="13.5" customHeight="1" x14ac:dyDescent="0.3"/>
    <row r="263" ht="13.5" customHeight="1" x14ac:dyDescent="0.3"/>
    <row r="264" ht="13.5" customHeight="1" x14ac:dyDescent="0.3"/>
    <row r="265" ht="13.5" customHeight="1" x14ac:dyDescent="0.3"/>
    <row r="266" ht="13.5" customHeight="1" x14ac:dyDescent="0.3"/>
    <row r="267" ht="13.5" customHeight="1" x14ac:dyDescent="0.3"/>
    <row r="268" ht="13.5" customHeight="1" x14ac:dyDescent="0.3"/>
    <row r="269" ht="13.5" customHeight="1" x14ac:dyDescent="0.3"/>
    <row r="270" ht="13.5" customHeight="1" x14ac:dyDescent="0.3"/>
    <row r="271" ht="13.5" customHeight="1" x14ac:dyDescent="0.3"/>
    <row r="272" ht="13.5" customHeight="1" x14ac:dyDescent="0.3"/>
    <row r="273" ht="13.5" customHeight="1" x14ac:dyDescent="0.3"/>
    <row r="274" ht="13.5" customHeight="1" x14ac:dyDescent="0.3"/>
    <row r="275" ht="13.5" customHeight="1" x14ac:dyDescent="0.3"/>
    <row r="276" ht="13.5" customHeight="1" x14ac:dyDescent="0.3"/>
    <row r="277" ht="13.5" customHeight="1" x14ac:dyDescent="0.3"/>
    <row r="278" ht="13.5" customHeight="1" x14ac:dyDescent="0.3"/>
    <row r="279" ht="13.5" customHeight="1" x14ac:dyDescent="0.3"/>
    <row r="280" ht="13.5" customHeight="1" x14ac:dyDescent="0.3"/>
    <row r="281" ht="13.5" customHeight="1" x14ac:dyDescent="0.3"/>
    <row r="282" ht="13.5" customHeight="1" x14ac:dyDescent="0.3"/>
    <row r="283" ht="13.5" customHeight="1" x14ac:dyDescent="0.3"/>
    <row r="284" ht="13.5" customHeight="1" x14ac:dyDescent="0.3"/>
    <row r="285" ht="13.5" customHeight="1" x14ac:dyDescent="0.3"/>
    <row r="286" ht="13.5" customHeight="1" x14ac:dyDescent="0.3"/>
    <row r="287" ht="13.5" customHeight="1" x14ac:dyDescent="0.3"/>
    <row r="288" ht="13.5" customHeight="1" x14ac:dyDescent="0.3"/>
    <row r="289" ht="13.5" customHeight="1" x14ac:dyDescent="0.3"/>
    <row r="290" ht="13.5" customHeight="1" x14ac:dyDescent="0.3"/>
    <row r="291" ht="13.5" customHeight="1" x14ac:dyDescent="0.3"/>
    <row r="292" ht="13.5" customHeight="1" x14ac:dyDescent="0.3"/>
    <row r="293" ht="13.5" customHeight="1" x14ac:dyDescent="0.3"/>
    <row r="294" ht="13.5" customHeight="1" x14ac:dyDescent="0.3"/>
    <row r="295" ht="13.5" customHeight="1" x14ac:dyDescent="0.3"/>
    <row r="296" ht="13.5" customHeight="1" x14ac:dyDescent="0.3"/>
    <row r="297" ht="13.5" customHeight="1" x14ac:dyDescent="0.3"/>
    <row r="298" ht="13.5" customHeight="1" x14ac:dyDescent="0.3"/>
    <row r="299" ht="13.5" customHeight="1" x14ac:dyDescent="0.3"/>
    <row r="300" ht="13.5" customHeight="1" x14ac:dyDescent="0.3"/>
    <row r="301" ht="13.5" customHeight="1" x14ac:dyDescent="0.3"/>
    <row r="302" ht="13.5" customHeight="1" x14ac:dyDescent="0.3"/>
    <row r="303" ht="13.5" customHeight="1" x14ac:dyDescent="0.3"/>
    <row r="304" ht="13.5" customHeight="1" x14ac:dyDescent="0.3"/>
    <row r="305" ht="13.5" customHeight="1" x14ac:dyDescent="0.3"/>
    <row r="306" ht="13.5" customHeight="1" x14ac:dyDescent="0.3"/>
    <row r="307" ht="13.5" customHeight="1" x14ac:dyDescent="0.3"/>
    <row r="308" ht="13.5" customHeight="1" x14ac:dyDescent="0.3"/>
    <row r="309" ht="13.5" customHeight="1" x14ac:dyDescent="0.3"/>
    <row r="310" ht="13.5" customHeight="1" x14ac:dyDescent="0.3"/>
    <row r="311" ht="13.5" customHeight="1" x14ac:dyDescent="0.3"/>
    <row r="312" ht="13.5" customHeight="1" x14ac:dyDescent="0.3"/>
    <row r="313" ht="13.5" customHeight="1" x14ac:dyDescent="0.3"/>
    <row r="314" ht="13.5" customHeight="1" x14ac:dyDescent="0.3"/>
    <row r="315" ht="13.5" customHeight="1" x14ac:dyDescent="0.3"/>
    <row r="316" ht="13.5" customHeight="1" x14ac:dyDescent="0.3"/>
    <row r="317" ht="13.5" customHeight="1" x14ac:dyDescent="0.3"/>
    <row r="318" ht="13.5" customHeight="1" x14ac:dyDescent="0.3"/>
    <row r="319" ht="13.5" customHeight="1" x14ac:dyDescent="0.3"/>
    <row r="320" ht="13.5" customHeight="1" x14ac:dyDescent="0.3"/>
    <row r="321" ht="13.5" customHeight="1" x14ac:dyDescent="0.3"/>
    <row r="322" ht="13.5" customHeight="1" x14ac:dyDescent="0.3"/>
    <row r="323" ht="13.5" customHeight="1" x14ac:dyDescent="0.3"/>
    <row r="324" ht="13.5" customHeight="1" x14ac:dyDescent="0.3"/>
    <row r="325" ht="13.5" customHeight="1" x14ac:dyDescent="0.3"/>
    <row r="326" ht="13.5" customHeight="1" x14ac:dyDescent="0.3"/>
    <row r="327" ht="13.5" customHeight="1" x14ac:dyDescent="0.3"/>
    <row r="328" ht="13.5" customHeight="1" x14ac:dyDescent="0.3"/>
    <row r="329" ht="13.5" customHeight="1" x14ac:dyDescent="0.3"/>
    <row r="330" ht="13.5" customHeight="1" x14ac:dyDescent="0.3"/>
    <row r="331" ht="13.5" customHeight="1" x14ac:dyDescent="0.3"/>
    <row r="332" ht="13.5" customHeight="1" x14ac:dyDescent="0.3"/>
    <row r="333" ht="13.5" customHeight="1" x14ac:dyDescent="0.3"/>
    <row r="334" ht="13.5" customHeight="1" x14ac:dyDescent="0.3"/>
    <row r="335" ht="13.5" customHeight="1" x14ac:dyDescent="0.3"/>
    <row r="336" ht="13.5" customHeight="1" x14ac:dyDescent="0.3"/>
    <row r="337" ht="13.5" customHeight="1" x14ac:dyDescent="0.3"/>
    <row r="338" ht="13.5" customHeight="1" x14ac:dyDescent="0.3"/>
    <row r="339" ht="13.5" customHeight="1" x14ac:dyDescent="0.3"/>
    <row r="340" ht="13.5" customHeight="1" x14ac:dyDescent="0.3"/>
    <row r="341" ht="13.5" customHeight="1" x14ac:dyDescent="0.3"/>
    <row r="342" ht="13.5" customHeight="1" x14ac:dyDescent="0.3"/>
    <row r="343" ht="13.5" customHeight="1" x14ac:dyDescent="0.3"/>
    <row r="344" ht="13.5" customHeight="1" x14ac:dyDescent="0.3"/>
    <row r="345" ht="13.5" customHeight="1" x14ac:dyDescent="0.3"/>
    <row r="346" ht="13.5" customHeight="1" x14ac:dyDescent="0.3"/>
    <row r="347" ht="13.5" customHeight="1" x14ac:dyDescent="0.3"/>
    <row r="348" ht="13.5" customHeight="1" x14ac:dyDescent="0.3"/>
    <row r="349" ht="13.5" customHeight="1" x14ac:dyDescent="0.3"/>
    <row r="350" ht="13.5" customHeight="1" x14ac:dyDescent="0.3"/>
    <row r="351" ht="13.5" customHeight="1" x14ac:dyDescent="0.3"/>
    <row r="352" ht="13.5" customHeight="1" x14ac:dyDescent="0.3"/>
    <row r="353" ht="13.5" customHeight="1" x14ac:dyDescent="0.3"/>
    <row r="354" ht="13.5" customHeight="1" x14ac:dyDescent="0.3"/>
    <row r="355" ht="13.5" customHeight="1" x14ac:dyDescent="0.3"/>
    <row r="356" ht="13.5" customHeight="1" x14ac:dyDescent="0.3"/>
    <row r="357" ht="13.5" customHeight="1" x14ac:dyDescent="0.3"/>
    <row r="358" ht="13.5" customHeight="1" x14ac:dyDescent="0.3"/>
    <row r="359" ht="13.5" customHeight="1" x14ac:dyDescent="0.3"/>
    <row r="360" ht="13.5" customHeight="1" x14ac:dyDescent="0.3"/>
    <row r="361" ht="13.5" customHeight="1" x14ac:dyDescent="0.3"/>
    <row r="362" ht="13.5" customHeight="1" x14ac:dyDescent="0.3"/>
    <row r="363" ht="13.5" customHeight="1" x14ac:dyDescent="0.3"/>
    <row r="364" ht="13.5" customHeight="1" x14ac:dyDescent="0.3"/>
    <row r="365" ht="13.5" customHeight="1" x14ac:dyDescent="0.3"/>
    <row r="366" ht="13.5" customHeight="1" x14ac:dyDescent="0.3"/>
    <row r="367" ht="13.5" customHeight="1" x14ac:dyDescent="0.3"/>
    <row r="368" ht="13.5" customHeight="1" x14ac:dyDescent="0.3"/>
    <row r="369" ht="13.5" customHeight="1" x14ac:dyDescent="0.3"/>
    <row r="370" ht="13.5" customHeight="1" x14ac:dyDescent="0.3"/>
    <row r="371" ht="13.5" customHeight="1" x14ac:dyDescent="0.3"/>
    <row r="372" ht="13.5" customHeight="1" x14ac:dyDescent="0.3"/>
    <row r="373" ht="13.5" customHeight="1" x14ac:dyDescent="0.3"/>
    <row r="374" ht="13.5" customHeight="1" x14ac:dyDescent="0.3"/>
    <row r="375" ht="13.5" customHeight="1" x14ac:dyDescent="0.3"/>
    <row r="376" ht="13.5" customHeight="1" x14ac:dyDescent="0.3"/>
    <row r="377" ht="13.5" customHeight="1" x14ac:dyDescent="0.3"/>
    <row r="378" ht="13.5" customHeight="1" x14ac:dyDescent="0.3"/>
    <row r="379" ht="13.5" customHeight="1" x14ac:dyDescent="0.3"/>
    <row r="380" ht="13.5" customHeight="1" x14ac:dyDescent="0.3"/>
    <row r="381" ht="13.5" customHeight="1" x14ac:dyDescent="0.3"/>
    <row r="382" ht="13.5" customHeight="1" x14ac:dyDescent="0.3"/>
    <row r="383" ht="13.5" customHeight="1" x14ac:dyDescent="0.3"/>
    <row r="384" ht="13.5" customHeight="1" x14ac:dyDescent="0.3"/>
    <row r="385" ht="13.5" customHeight="1" x14ac:dyDescent="0.3"/>
    <row r="386" ht="13.5" customHeight="1" x14ac:dyDescent="0.3"/>
    <row r="387" ht="13.5" customHeight="1" x14ac:dyDescent="0.3"/>
    <row r="388" ht="13.5" customHeight="1" x14ac:dyDescent="0.3"/>
    <row r="389" ht="13.5" customHeight="1" x14ac:dyDescent="0.3"/>
    <row r="390" ht="13.5" customHeight="1" x14ac:dyDescent="0.3"/>
    <row r="391" ht="13.5" customHeight="1" x14ac:dyDescent="0.3"/>
    <row r="392" ht="13.5" customHeight="1" x14ac:dyDescent="0.3"/>
    <row r="393" ht="13.5" customHeight="1" x14ac:dyDescent="0.3"/>
    <row r="394" ht="13.5" customHeight="1" x14ac:dyDescent="0.3"/>
    <row r="395" ht="13.5" customHeight="1" x14ac:dyDescent="0.3"/>
    <row r="396" ht="13.5" customHeight="1" x14ac:dyDescent="0.3"/>
    <row r="397" ht="13.5" customHeight="1" x14ac:dyDescent="0.3"/>
    <row r="398" ht="13.5" customHeight="1" x14ac:dyDescent="0.3"/>
    <row r="399" ht="13.5" customHeight="1" x14ac:dyDescent="0.3"/>
    <row r="400" ht="13.5" customHeight="1" x14ac:dyDescent="0.3"/>
    <row r="401" ht="13.5" customHeight="1" x14ac:dyDescent="0.3"/>
    <row r="402" ht="13.5" customHeight="1" x14ac:dyDescent="0.3"/>
    <row r="403" ht="13.5" customHeight="1" x14ac:dyDescent="0.3"/>
    <row r="404" ht="13.5" customHeight="1" x14ac:dyDescent="0.3"/>
    <row r="405" ht="13.5" customHeight="1" x14ac:dyDescent="0.3"/>
    <row r="406" ht="13.5" customHeight="1" x14ac:dyDescent="0.3"/>
    <row r="407" ht="13.5" customHeight="1" x14ac:dyDescent="0.3"/>
    <row r="408" ht="13.5" customHeight="1" x14ac:dyDescent="0.3"/>
    <row r="409" ht="13.5" customHeight="1" x14ac:dyDescent="0.3"/>
    <row r="410" ht="13.5" customHeight="1" x14ac:dyDescent="0.3"/>
    <row r="411" ht="13.5" customHeight="1" x14ac:dyDescent="0.3"/>
    <row r="412" ht="13.5" customHeight="1" x14ac:dyDescent="0.3"/>
    <row r="413" ht="13.5" customHeight="1" x14ac:dyDescent="0.3"/>
    <row r="414" ht="13.5" customHeight="1" x14ac:dyDescent="0.3"/>
    <row r="415" ht="13.5" customHeight="1" x14ac:dyDescent="0.3"/>
    <row r="416" ht="13.5" customHeight="1" x14ac:dyDescent="0.3"/>
    <row r="417" ht="13.5" customHeight="1" x14ac:dyDescent="0.3"/>
    <row r="418" ht="13.5" customHeight="1" x14ac:dyDescent="0.3"/>
    <row r="419" ht="13.5" customHeight="1" x14ac:dyDescent="0.3"/>
    <row r="420" ht="13.5" customHeight="1" x14ac:dyDescent="0.3"/>
    <row r="421" ht="13.5" customHeight="1" x14ac:dyDescent="0.3"/>
    <row r="422" ht="13.5" customHeight="1" x14ac:dyDescent="0.3"/>
    <row r="423" ht="13.5" customHeight="1" x14ac:dyDescent="0.3"/>
    <row r="424" ht="13.5" customHeight="1" x14ac:dyDescent="0.3"/>
    <row r="425" ht="13.5" customHeight="1" x14ac:dyDescent="0.3"/>
    <row r="426" ht="13.5" customHeight="1" x14ac:dyDescent="0.3"/>
    <row r="427" ht="13.5" customHeight="1" x14ac:dyDescent="0.3"/>
    <row r="428" ht="13.5" customHeight="1" x14ac:dyDescent="0.3"/>
    <row r="429" ht="13.5" customHeight="1" x14ac:dyDescent="0.3"/>
    <row r="430" ht="13.5" customHeight="1" x14ac:dyDescent="0.3"/>
    <row r="431" ht="13.5" customHeight="1" x14ac:dyDescent="0.3"/>
    <row r="432" ht="13.5" customHeight="1" x14ac:dyDescent="0.3"/>
    <row r="433" ht="13.5" customHeight="1" x14ac:dyDescent="0.3"/>
    <row r="434" ht="13.5" customHeight="1" x14ac:dyDescent="0.3"/>
    <row r="435" ht="13.5" customHeight="1" x14ac:dyDescent="0.3"/>
    <row r="436" ht="13.5" customHeight="1" x14ac:dyDescent="0.3"/>
    <row r="437" ht="13.5" customHeight="1" x14ac:dyDescent="0.3"/>
    <row r="438" ht="13.5" customHeight="1" x14ac:dyDescent="0.3"/>
    <row r="439" ht="13.5" customHeight="1" x14ac:dyDescent="0.3"/>
    <row r="440" ht="13.5" customHeight="1" x14ac:dyDescent="0.3"/>
    <row r="441" ht="13.5" customHeight="1" x14ac:dyDescent="0.3"/>
    <row r="442" ht="13.5" customHeight="1" x14ac:dyDescent="0.3"/>
    <row r="443" ht="13.5" customHeight="1" x14ac:dyDescent="0.3"/>
    <row r="444" ht="13.5" customHeight="1" x14ac:dyDescent="0.3"/>
    <row r="445" ht="13.5" customHeight="1" x14ac:dyDescent="0.3"/>
    <row r="446" ht="13.5" customHeight="1" x14ac:dyDescent="0.3"/>
    <row r="447" ht="13.5" customHeight="1" x14ac:dyDescent="0.3"/>
    <row r="448" ht="13.5" customHeight="1" x14ac:dyDescent="0.3"/>
    <row r="449" ht="13.5" customHeight="1" x14ac:dyDescent="0.3"/>
    <row r="450" ht="13.5" customHeight="1" x14ac:dyDescent="0.3"/>
    <row r="451" ht="13.5" customHeight="1" x14ac:dyDescent="0.3"/>
    <row r="452" ht="13.5" customHeight="1" x14ac:dyDescent="0.3"/>
    <row r="453" ht="13.5" customHeight="1" x14ac:dyDescent="0.3"/>
    <row r="454" ht="13.5" customHeight="1" x14ac:dyDescent="0.3"/>
    <row r="455" ht="13.5" customHeight="1" x14ac:dyDescent="0.3"/>
    <row r="456" ht="13.5" customHeight="1" x14ac:dyDescent="0.3"/>
    <row r="457" ht="13.5" customHeight="1" x14ac:dyDescent="0.3"/>
    <row r="458" ht="13.5" customHeight="1" x14ac:dyDescent="0.3"/>
    <row r="459" ht="13.5" customHeight="1" x14ac:dyDescent="0.3"/>
    <row r="460" ht="13.5" customHeight="1" x14ac:dyDescent="0.3"/>
    <row r="461" ht="13.5" customHeight="1" x14ac:dyDescent="0.3"/>
    <row r="462" ht="13.5" customHeight="1" x14ac:dyDescent="0.3"/>
    <row r="463" ht="13.5" customHeight="1" x14ac:dyDescent="0.3"/>
    <row r="464" ht="13.5" customHeight="1" x14ac:dyDescent="0.3"/>
    <row r="465" ht="13.5" customHeight="1" x14ac:dyDescent="0.3"/>
    <row r="466" ht="13.5" customHeight="1" x14ac:dyDescent="0.3"/>
    <row r="467" ht="13.5" customHeight="1" x14ac:dyDescent="0.3"/>
    <row r="468" ht="13.5" customHeight="1" x14ac:dyDescent="0.3"/>
    <row r="469" ht="13.5" customHeight="1" x14ac:dyDescent="0.3"/>
    <row r="470" ht="13.5" customHeight="1" x14ac:dyDescent="0.3"/>
    <row r="471" ht="13.5" customHeight="1" x14ac:dyDescent="0.3"/>
    <row r="472" ht="13.5" customHeight="1" x14ac:dyDescent="0.3"/>
    <row r="473" ht="13.5" customHeight="1" x14ac:dyDescent="0.3"/>
    <row r="474" ht="13.5" customHeight="1" x14ac:dyDescent="0.3"/>
    <row r="475" ht="13.5" customHeight="1" x14ac:dyDescent="0.3"/>
    <row r="476" ht="13.5" customHeight="1" x14ac:dyDescent="0.3"/>
    <row r="477" ht="13.5" customHeight="1" x14ac:dyDescent="0.3"/>
    <row r="478" ht="13.5" customHeight="1" x14ac:dyDescent="0.3"/>
    <row r="479" ht="13.5" customHeight="1" x14ac:dyDescent="0.3"/>
    <row r="480" ht="13.5" customHeight="1" x14ac:dyDescent="0.3"/>
    <row r="481" ht="13.5" customHeight="1" x14ac:dyDescent="0.3"/>
    <row r="482" ht="13.5" customHeight="1" x14ac:dyDescent="0.3"/>
    <row r="483" ht="13.5" customHeight="1" x14ac:dyDescent="0.3"/>
    <row r="484" ht="13.5" customHeight="1" x14ac:dyDescent="0.3"/>
    <row r="485" ht="13.5" customHeight="1" x14ac:dyDescent="0.3"/>
    <row r="486" ht="13.5" customHeight="1" x14ac:dyDescent="0.3"/>
    <row r="487" ht="13.5" customHeight="1" x14ac:dyDescent="0.3"/>
    <row r="488" ht="13.5" customHeight="1" x14ac:dyDescent="0.3"/>
    <row r="489" ht="13.5" customHeight="1" x14ac:dyDescent="0.3"/>
    <row r="490" ht="13.5" customHeight="1" x14ac:dyDescent="0.3"/>
    <row r="491" ht="13.5" customHeight="1" x14ac:dyDescent="0.3"/>
    <row r="492" ht="13.5" customHeight="1" x14ac:dyDescent="0.3"/>
    <row r="493" ht="13.5" customHeight="1" x14ac:dyDescent="0.3"/>
    <row r="494" ht="13.5" customHeight="1" x14ac:dyDescent="0.3"/>
    <row r="495" ht="13.5" customHeight="1" x14ac:dyDescent="0.3"/>
    <row r="496" ht="13.5" customHeight="1" x14ac:dyDescent="0.3"/>
    <row r="497" ht="13.5" customHeight="1" x14ac:dyDescent="0.3"/>
    <row r="498" ht="13.5" customHeight="1" x14ac:dyDescent="0.3"/>
    <row r="499" ht="13.5" customHeight="1" x14ac:dyDescent="0.3"/>
    <row r="500" ht="13.5" customHeight="1" x14ac:dyDescent="0.3"/>
    <row r="501" ht="13.5" customHeight="1" x14ac:dyDescent="0.3"/>
    <row r="502" ht="13.5" customHeight="1" x14ac:dyDescent="0.3"/>
    <row r="503" ht="13.5" customHeight="1" x14ac:dyDescent="0.3"/>
    <row r="504" ht="13.5" customHeight="1" x14ac:dyDescent="0.3"/>
    <row r="505" ht="13.5" customHeight="1" x14ac:dyDescent="0.3"/>
    <row r="506" ht="13.5" customHeight="1" x14ac:dyDescent="0.3"/>
    <row r="507" ht="13.5" customHeight="1" x14ac:dyDescent="0.3"/>
    <row r="508" ht="13.5" customHeight="1" x14ac:dyDescent="0.3"/>
    <row r="509" ht="13.5" customHeight="1" x14ac:dyDescent="0.3"/>
    <row r="510" ht="13.5" customHeight="1" x14ac:dyDescent="0.3"/>
    <row r="511" ht="13.5" customHeight="1" x14ac:dyDescent="0.3"/>
    <row r="512" ht="13.5" customHeight="1" x14ac:dyDescent="0.3"/>
    <row r="513" ht="13.5" customHeight="1" x14ac:dyDescent="0.3"/>
    <row r="514" ht="13.5" customHeight="1" x14ac:dyDescent="0.3"/>
    <row r="515" ht="13.5" customHeight="1" x14ac:dyDescent="0.3"/>
    <row r="516" ht="13.5" customHeight="1" x14ac:dyDescent="0.3"/>
    <row r="517" ht="13.5" customHeight="1" x14ac:dyDescent="0.3"/>
    <row r="518" ht="13.5" customHeight="1" x14ac:dyDescent="0.3"/>
    <row r="519" ht="13.5" customHeight="1" x14ac:dyDescent="0.3"/>
    <row r="520" ht="13.5" customHeight="1" x14ac:dyDescent="0.3"/>
    <row r="521" ht="13.5" customHeight="1" x14ac:dyDescent="0.3"/>
    <row r="522" ht="13.5" customHeight="1" x14ac:dyDescent="0.3"/>
    <row r="523" ht="13.5" customHeight="1" x14ac:dyDescent="0.3"/>
    <row r="524" ht="13.5" customHeight="1" x14ac:dyDescent="0.3"/>
    <row r="525" ht="13.5" customHeight="1" x14ac:dyDescent="0.3"/>
    <row r="526" ht="13.5" customHeight="1" x14ac:dyDescent="0.3"/>
    <row r="527" ht="13.5" customHeight="1" x14ac:dyDescent="0.3"/>
    <row r="528" ht="13.5" customHeight="1" x14ac:dyDescent="0.3"/>
    <row r="529" ht="13.5" customHeight="1" x14ac:dyDescent="0.3"/>
    <row r="530" ht="13.5" customHeight="1" x14ac:dyDescent="0.3"/>
    <row r="531" ht="13.5" customHeight="1" x14ac:dyDescent="0.3"/>
    <row r="532" ht="13.5" customHeight="1" x14ac:dyDescent="0.3"/>
    <row r="533" ht="13.5" customHeight="1" x14ac:dyDescent="0.3"/>
    <row r="534" ht="13.5" customHeight="1" x14ac:dyDescent="0.3"/>
    <row r="535" ht="13.5" customHeight="1" x14ac:dyDescent="0.3"/>
    <row r="536" ht="13.5" customHeight="1" x14ac:dyDescent="0.3"/>
    <row r="537" ht="13.5" customHeight="1" x14ac:dyDescent="0.3"/>
    <row r="538" ht="13.5" customHeight="1" x14ac:dyDescent="0.3"/>
    <row r="539" ht="13.5" customHeight="1" x14ac:dyDescent="0.3"/>
    <row r="540" ht="13.5" customHeight="1" x14ac:dyDescent="0.3"/>
    <row r="541" ht="13.5" customHeight="1" x14ac:dyDescent="0.3"/>
    <row r="542" ht="13.5" customHeight="1" x14ac:dyDescent="0.3"/>
    <row r="543" ht="13.5" customHeight="1" x14ac:dyDescent="0.3"/>
    <row r="544" ht="13.5" customHeight="1" x14ac:dyDescent="0.3"/>
    <row r="545" ht="13.5" customHeight="1" x14ac:dyDescent="0.3"/>
    <row r="546" ht="13.5" customHeight="1" x14ac:dyDescent="0.3"/>
    <row r="547" ht="13.5" customHeight="1" x14ac:dyDescent="0.3"/>
    <row r="548" ht="13.5" customHeight="1" x14ac:dyDescent="0.3"/>
    <row r="549" ht="13.5" customHeight="1" x14ac:dyDescent="0.3"/>
    <row r="550" ht="13.5" customHeight="1" x14ac:dyDescent="0.3"/>
    <row r="551" ht="13.5" customHeight="1" x14ac:dyDescent="0.3"/>
    <row r="552" ht="13.5" customHeight="1" x14ac:dyDescent="0.3"/>
    <row r="553" ht="13.5" customHeight="1" x14ac:dyDescent="0.3"/>
    <row r="554" ht="13.5" customHeight="1" x14ac:dyDescent="0.3"/>
    <row r="555" ht="13.5" customHeight="1" x14ac:dyDescent="0.3"/>
    <row r="556" ht="13.5" customHeight="1" x14ac:dyDescent="0.3"/>
    <row r="557" ht="13.5" customHeight="1" x14ac:dyDescent="0.3"/>
    <row r="558" ht="13.5" customHeight="1" x14ac:dyDescent="0.3"/>
    <row r="559" ht="13.5" customHeight="1" x14ac:dyDescent="0.3"/>
    <row r="560" ht="13.5" customHeight="1" x14ac:dyDescent="0.3"/>
    <row r="561" ht="13.5" customHeight="1" x14ac:dyDescent="0.3"/>
    <row r="562" ht="13.5" customHeight="1" x14ac:dyDescent="0.3"/>
    <row r="563" ht="13.5" customHeight="1" x14ac:dyDescent="0.3"/>
    <row r="564" ht="13.5" customHeight="1" x14ac:dyDescent="0.3"/>
    <row r="565" ht="13.5" customHeight="1" x14ac:dyDescent="0.3"/>
    <row r="566" ht="13.5" customHeight="1" x14ac:dyDescent="0.3"/>
    <row r="567" ht="13.5" customHeight="1" x14ac:dyDescent="0.3"/>
    <row r="568" ht="13.5" customHeight="1" x14ac:dyDescent="0.3"/>
    <row r="569" ht="13.5" customHeight="1" x14ac:dyDescent="0.3"/>
    <row r="570" ht="13.5" customHeight="1" x14ac:dyDescent="0.3"/>
    <row r="571" ht="13.5" customHeight="1" x14ac:dyDescent="0.3"/>
    <row r="572" ht="13.5" customHeight="1" x14ac:dyDescent="0.3"/>
    <row r="573" ht="13.5" customHeight="1" x14ac:dyDescent="0.3"/>
    <row r="574" ht="13.5" customHeight="1" x14ac:dyDescent="0.3"/>
    <row r="575" ht="13.5" customHeight="1" x14ac:dyDescent="0.3"/>
    <row r="576" ht="13.5" customHeight="1" x14ac:dyDescent="0.3"/>
    <row r="577" ht="13.5" customHeight="1" x14ac:dyDescent="0.3"/>
    <row r="578" ht="13.5" customHeight="1" x14ac:dyDescent="0.3"/>
    <row r="579" ht="13.5" customHeight="1" x14ac:dyDescent="0.3"/>
    <row r="580" ht="13.5" customHeight="1" x14ac:dyDescent="0.3"/>
    <row r="581" ht="13.5" customHeight="1" x14ac:dyDescent="0.3"/>
    <row r="582" ht="13.5" customHeight="1" x14ac:dyDescent="0.3"/>
    <row r="583" ht="13.5" customHeight="1" x14ac:dyDescent="0.3"/>
    <row r="584" ht="13.5" customHeight="1" x14ac:dyDescent="0.3"/>
    <row r="585" ht="13.5" customHeight="1" x14ac:dyDescent="0.3"/>
    <row r="586" ht="13.5" customHeight="1" x14ac:dyDescent="0.3"/>
    <row r="587" ht="13.5" customHeight="1" x14ac:dyDescent="0.3"/>
    <row r="588" ht="13.5" customHeight="1" x14ac:dyDescent="0.3"/>
    <row r="589" ht="13.5" customHeight="1" x14ac:dyDescent="0.3"/>
    <row r="590" ht="13.5" customHeight="1" x14ac:dyDescent="0.3"/>
    <row r="591" ht="13.5" customHeight="1" x14ac:dyDescent="0.3"/>
    <row r="592" ht="13.5" customHeight="1" x14ac:dyDescent="0.3"/>
    <row r="593" ht="13.5" customHeight="1" x14ac:dyDescent="0.3"/>
    <row r="594" ht="13.5" customHeight="1" x14ac:dyDescent="0.3"/>
    <row r="595" ht="13.5" customHeight="1" x14ac:dyDescent="0.3"/>
    <row r="596" ht="13.5" customHeight="1" x14ac:dyDescent="0.3"/>
    <row r="597" ht="13.5" customHeight="1" x14ac:dyDescent="0.3"/>
    <row r="598" ht="13.5" customHeight="1" x14ac:dyDescent="0.3"/>
    <row r="599" ht="13.5" customHeight="1" x14ac:dyDescent="0.3"/>
    <row r="600" ht="13.5" customHeight="1" x14ac:dyDescent="0.3"/>
    <row r="601" ht="13.5" customHeight="1" x14ac:dyDescent="0.3"/>
    <row r="602" ht="13.5" customHeight="1" x14ac:dyDescent="0.3"/>
    <row r="603" ht="13.5" customHeight="1" x14ac:dyDescent="0.3"/>
    <row r="604" ht="13.5" customHeight="1" x14ac:dyDescent="0.3"/>
    <row r="605" ht="13.5" customHeight="1" x14ac:dyDescent="0.3"/>
    <row r="606" ht="13.5" customHeight="1" x14ac:dyDescent="0.3"/>
    <row r="607" ht="13.5" customHeight="1" x14ac:dyDescent="0.3"/>
    <row r="608" ht="13.5" customHeight="1" x14ac:dyDescent="0.3"/>
    <row r="609" ht="13.5" customHeight="1" x14ac:dyDescent="0.3"/>
    <row r="610" ht="13.5" customHeight="1" x14ac:dyDescent="0.3"/>
    <row r="611" ht="13.5" customHeight="1" x14ac:dyDescent="0.3"/>
    <row r="612" ht="13.5" customHeight="1" x14ac:dyDescent="0.3"/>
    <row r="613" ht="13.5" customHeight="1" x14ac:dyDescent="0.3"/>
    <row r="614" ht="13.5" customHeight="1" x14ac:dyDescent="0.3"/>
    <row r="615" ht="13.5" customHeight="1" x14ac:dyDescent="0.3"/>
    <row r="616" ht="13.5" customHeight="1" x14ac:dyDescent="0.3"/>
    <row r="617" ht="13.5" customHeight="1" x14ac:dyDescent="0.3"/>
    <row r="618" ht="13.5" customHeight="1" x14ac:dyDescent="0.3"/>
    <row r="619" ht="13.5" customHeight="1" x14ac:dyDescent="0.3"/>
    <row r="620" ht="13.5" customHeight="1" x14ac:dyDescent="0.3"/>
    <row r="621" ht="13.5" customHeight="1" x14ac:dyDescent="0.3"/>
    <row r="622" ht="13.5" customHeight="1" x14ac:dyDescent="0.3"/>
    <row r="623" ht="13.5" customHeight="1" x14ac:dyDescent="0.3"/>
    <row r="624" ht="13.5" customHeight="1" x14ac:dyDescent="0.3"/>
    <row r="625" ht="13.5" customHeight="1" x14ac:dyDescent="0.3"/>
    <row r="626" ht="13.5" customHeight="1" x14ac:dyDescent="0.3"/>
    <row r="627" ht="13.5" customHeight="1" x14ac:dyDescent="0.3"/>
    <row r="628" ht="13.5" customHeight="1" x14ac:dyDescent="0.3"/>
    <row r="629" ht="13.5" customHeight="1" x14ac:dyDescent="0.3"/>
    <row r="630" ht="13.5" customHeight="1" x14ac:dyDescent="0.3"/>
    <row r="631" ht="13.5" customHeight="1" x14ac:dyDescent="0.3"/>
    <row r="632" ht="13.5" customHeight="1" x14ac:dyDescent="0.3"/>
    <row r="633" ht="13.5" customHeight="1" x14ac:dyDescent="0.3"/>
    <row r="634" ht="13.5" customHeight="1" x14ac:dyDescent="0.3"/>
    <row r="635" ht="13.5" customHeight="1" x14ac:dyDescent="0.3"/>
    <row r="636" ht="13.5" customHeight="1" x14ac:dyDescent="0.3"/>
    <row r="637" ht="13.5" customHeight="1" x14ac:dyDescent="0.3"/>
    <row r="638" ht="13.5" customHeight="1" x14ac:dyDescent="0.3"/>
    <row r="639" ht="13.5" customHeight="1" x14ac:dyDescent="0.3"/>
    <row r="640" ht="13.5" customHeight="1" x14ac:dyDescent="0.3"/>
    <row r="641" ht="13.5" customHeight="1" x14ac:dyDescent="0.3"/>
    <row r="642" ht="13.5" customHeight="1" x14ac:dyDescent="0.3"/>
    <row r="643" ht="13.5" customHeight="1" x14ac:dyDescent="0.3"/>
    <row r="644" ht="13.5" customHeight="1" x14ac:dyDescent="0.3"/>
    <row r="645" ht="13.5" customHeight="1" x14ac:dyDescent="0.3"/>
    <row r="646" ht="13.5" customHeight="1" x14ac:dyDescent="0.3"/>
    <row r="647" ht="13.5" customHeight="1" x14ac:dyDescent="0.3"/>
    <row r="648" ht="13.5" customHeight="1" x14ac:dyDescent="0.3"/>
    <row r="649" ht="13.5" customHeight="1" x14ac:dyDescent="0.3"/>
    <row r="650" ht="13.5" customHeight="1" x14ac:dyDescent="0.3"/>
    <row r="651" ht="13.5" customHeight="1" x14ac:dyDescent="0.3"/>
    <row r="652" ht="13.5" customHeight="1" x14ac:dyDescent="0.3"/>
    <row r="653" ht="13.5" customHeight="1" x14ac:dyDescent="0.3"/>
    <row r="654" ht="13.5" customHeight="1" x14ac:dyDescent="0.3"/>
    <row r="655" ht="13.5" customHeight="1" x14ac:dyDescent="0.3"/>
    <row r="656" ht="13.5" customHeight="1" x14ac:dyDescent="0.3"/>
    <row r="657" ht="13.5" customHeight="1" x14ac:dyDescent="0.3"/>
    <row r="658" ht="13.5" customHeight="1" x14ac:dyDescent="0.3"/>
    <row r="659" ht="13.5" customHeight="1" x14ac:dyDescent="0.3"/>
    <row r="660" ht="13.5" customHeight="1" x14ac:dyDescent="0.3"/>
    <row r="661" ht="13.5" customHeight="1" x14ac:dyDescent="0.3"/>
    <row r="662" ht="13.5" customHeight="1" x14ac:dyDescent="0.3"/>
    <row r="663" ht="13.5" customHeight="1" x14ac:dyDescent="0.3"/>
    <row r="664" ht="13.5" customHeight="1" x14ac:dyDescent="0.3"/>
    <row r="665" ht="13.5" customHeight="1" x14ac:dyDescent="0.3"/>
    <row r="666" ht="13.5" customHeight="1" x14ac:dyDescent="0.3"/>
    <row r="667" ht="13.5" customHeight="1" x14ac:dyDescent="0.3"/>
    <row r="668" ht="13.5" customHeight="1" x14ac:dyDescent="0.3"/>
    <row r="669" ht="13.5" customHeight="1" x14ac:dyDescent="0.3"/>
    <row r="670" ht="13.5" customHeight="1" x14ac:dyDescent="0.3"/>
    <row r="671" ht="13.5" customHeight="1" x14ac:dyDescent="0.3"/>
    <row r="672" ht="13.5" customHeight="1" x14ac:dyDescent="0.3"/>
    <row r="673" ht="13.5" customHeight="1" x14ac:dyDescent="0.3"/>
    <row r="674" ht="13.5" customHeight="1" x14ac:dyDescent="0.3"/>
    <row r="675" ht="13.5" customHeight="1" x14ac:dyDescent="0.3"/>
    <row r="676" ht="13.5" customHeight="1" x14ac:dyDescent="0.3"/>
    <row r="677" ht="13.5" customHeight="1" x14ac:dyDescent="0.3"/>
    <row r="678" ht="13.5" customHeight="1" x14ac:dyDescent="0.3"/>
    <row r="679" ht="13.5" customHeight="1" x14ac:dyDescent="0.3"/>
    <row r="680" ht="13.5" customHeight="1" x14ac:dyDescent="0.3"/>
    <row r="681" ht="13.5" customHeight="1" x14ac:dyDescent="0.3"/>
    <row r="682" ht="13.5" customHeight="1" x14ac:dyDescent="0.3"/>
    <row r="683" ht="13.5" customHeight="1" x14ac:dyDescent="0.3"/>
    <row r="684" ht="13.5" customHeight="1" x14ac:dyDescent="0.3"/>
    <row r="685" ht="13.5" customHeight="1" x14ac:dyDescent="0.3"/>
    <row r="686" ht="13.5" customHeight="1" x14ac:dyDescent="0.3"/>
    <row r="687" ht="13.5" customHeight="1" x14ac:dyDescent="0.3"/>
    <row r="688" ht="13.5" customHeight="1" x14ac:dyDescent="0.3"/>
    <row r="689" ht="13.5" customHeight="1" x14ac:dyDescent="0.3"/>
    <row r="690" ht="13.5" customHeight="1" x14ac:dyDescent="0.3"/>
    <row r="691" ht="13.5" customHeight="1" x14ac:dyDescent="0.3"/>
    <row r="692" ht="13.5" customHeight="1" x14ac:dyDescent="0.3"/>
    <row r="693" ht="13.5" customHeight="1" x14ac:dyDescent="0.3"/>
    <row r="694" ht="13.5" customHeight="1" x14ac:dyDescent="0.3"/>
    <row r="695" ht="13.5" customHeight="1" x14ac:dyDescent="0.3"/>
    <row r="696" ht="13.5" customHeight="1" x14ac:dyDescent="0.3"/>
    <row r="697" ht="13.5" customHeight="1" x14ac:dyDescent="0.3"/>
    <row r="698" ht="13.5" customHeight="1" x14ac:dyDescent="0.3"/>
    <row r="699" ht="13.5" customHeight="1" x14ac:dyDescent="0.3"/>
    <row r="700" ht="13.5" customHeight="1" x14ac:dyDescent="0.3"/>
    <row r="701" ht="13.5" customHeight="1" x14ac:dyDescent="0.3"/>
    <row r="702" ht="13.5" customHeight="1" x14ac:dyDescent="0.3"/>
    <row r="703" ht="13.5" customHeight="1" x14ac:dyDescent="0.3"/>
    <row r="704" ht="13.5" customHeight="1" x14ac:dyDescent="0.3"/>
    <row r="705" ht="13.5" customHeight="1" x14ac:dyDescent="0.3"/>
    <row r="706" ht="13.5" customHeight="1" x14ac:dyDescent="0.3"/>
    <row r="707" ht="13.5" customHeight="1" x14ac:dyDescent="0.3"/>
    <row r="708" ht="13.5" customHeight="1" x14ac:dyDescent="0.3"/>
    <row r="709" ht="13.5" customHeight="1" x14ac:dyDescent="0.3"/>
    <row r="710" ht="13.5" customHeight="1" x14ac:dyDescent="0.3"/>
    <row r="711" ht="13.5" customHeight="1" x14ac:dyDescent="0.3"/>
    <row r="712" ht="13.5" customHeight="1" x14ac:dyDescent="0.3"/>
    <row r="713" ht="13.5" customHeight="1" x14ac:dyDescent="0.3"/>
    <row r="714" ht="13.5" customHeight="1" x14ac:dyDescent="0.3"/>
    <row r="715" ht="13.5" customHeight="1" x14ac:dyDescent="0.3"/>
    <row r="716" ht="13.5" customHeight="1" x14ac:dyDescent="0.3"/>
    <row r="717" ht="13.5" customHeight="1" x14ac:dyDescent="0.3"/>
    <row r="718" ht="13.5" customHeight="1" x14ac:dyDescent="0.3"/>
    <row r="719" ht="13.5" customHeight="1" x14ac:dyDescent="0.3"/>
    <row r="720" ht="13.5" customHeight="1" x14ac:dyDescent="0.3"/>
    <row r="721" ht="13.5" customHeight="1" x14ac:dyDescent="0.3"/>
    <row r="722" ht="13.5" customHeight="1" x14ac:dyDescent="0.3"/>
    <row r="723" ht="13.5" customHeight="1" x14ac:dyDescent="0.3"/>
    <row r="724" ht="13.5" customHeight="1" x14ac:dyDescent="0.3"/>
    <row r="725" ht="13.5" customHeight="1" x14ac:dyDescent="0.3"/>
    <row r="726" ht="13.5" customHeight="1" x14ac:dyDescent="0.3"/>
    <row r="727" ht="13.5" customHeight="1" x14ac:dyDescent="0.3"/>
    <row r="728" ht="13.5" customHeight="1" x14ac:dyDescent="0.3"/>
    <row r="729" ht="13.5" customHeight="1" x14ac:dyDescent="0.3"/>
    <row r="730" ht="13.5" customHeight="1" x14ac:dyDescent="0.3"/>
    <row r="731" ht="13.5" customHeight="1" x14ac:dyDescent="0.3"/>
    <row r="732" ht="13.5" customHeight="1" x14ac:dyDescent="0.3"/>
    <row r="733" ht="13.5" customHeight="1" x14ac:dyDescent="0.3"/>
    <row r="734" ht="13.5" customHeight="1" x14ac:dyDescent="0.3"/>
    <row r="735" ht="13.5" customHeight="1" x14ac:dyDescent="0.3"/>
    <row r="736" ht="13.5" customHeight="1" x14ac:dyDescent="0.3"/>
    <row r="737" ht="13.5" customHeight="1" x14ac:dyDescent="0.3"/>
    <row r="738" ht="13.5" customHeight="1" x14ac:dyDescent="0.3"/>
    <row r="739" ht="13.5" customHeight="1" x14ac:dyDescent="0.3"/>
    <row r="740" ht="13.5" customHeight="1" x14ac:dyDescent="0.3"/>
    <row r="741" ht="13.5" customHeight="1" x14ac:dyDescent="0.3"/>
    <row r="742" ht="13.5" customHeight="1" x14ac:dyDescent="0.3"/>
    <row r="743" ht="13.5" customHeight="1" x14ac:dyDescent="0.3"/>
    <row r="744" ht="13.5" customHeight="1" x14ac:dyDescent="0.3"/>
    <row r="745" ht="13.5" customHeight="1" x14ac:dyDescent="0.3"/>
    <row r="746" ht="13.5" customHeight="1" x14ac:dyDescent="0.3"/>
    <row r="747" ht="13.5" customHeight="1" x14ac:dyDescent="0.3"/>
    <row r="748" ht="13.5" customHeight="1" x14ac:dyDescent="0.3"/>
    <row r="749" ht="13.5" customHeight="1" x14ac:dyDescent="0.3"/>
    <row r="750" ht="13.5" customHeight="1" x14ac:dyDescent="0.3"/>
    <row r="751" ht="13.5" customHeight="1" x14ac:dyDescent="0.3"/>
    <row r="752" ht="13.5" customHeight="1" x14ac:dyDescent="0.3"/>
    <row r="753" ht="13.5" customHeight="1" x14ac:dyDescent="0.3"/>
    <row r="754" ht="13.5" customHeight="1" x14ac:dyDescent="0.3"/>
    <row r="755" ht="13.5" customHeight="1" x14ac:dyDescent="0.3"/>
    <row r="756" ht="13.5" customHeight="1" x14ac:dyDescent="0.3"/>
    <row r="757" ht="13.5" customHeight="1" x14ac:dyDescent="0.3"/>
    <row r="758" ht="13.5" customHeight="1" x14ac:dyDescent="0.3"/>
    <row r="759" ht="13.5" customHeight="1" x14ac:dyDescent="0.3"/>
    <row r="760" ht="13.5" customHeight="1" x14ac:dyDescent="0.3"/>
    <row r="761" ht="13.5" customHeight="1" x14ac:dyDescent="0.3"/>
    <row r="762" ht="13.5" customHeight="1" x14ac:dyDescent="0.3"/>
    <row r="763" ht="13.5" customHeight="1" x14ac:dyDescent="0.3"/>
    <row r="764" ht="13.5" customHeight="1" x14ac:dyDescent="0.3"/>
    <row r="765" ht="13.5" customHeight="1" x14ac:dyDescent="0.3"/>
    <row r="766" ht="13.5" customHeight="1" x14ac:dyDescent="0.3"/>
    <row r="767" ht="13.5" customHeight="1" x14ac:dyDescent="0.3"/>
    <row r="768" ht="13.5" customHeight="1" x14ac:dyDescent="0.3"/>
    <row r="769" ht="13.5" customHeight="1" x14ac:dyDescent="0.3"/>
    <row r="770" ht="13.5" customHeight="1" x14ac:dyDescent="0.3"/>
    <row r="771" ht="13.5" customHeight="1" x14ac:dyDescent="0.3"/>
    <row r="772" ht="13.5" customHeight="1" x14ac:dyDescent="0.3"/>
    <row r="773" ht="13.5" customHeight="1" x14ac:dyDescent="0.3"/>
    <row r="774" ht="13.5" customHeight="1" x14ac:dyDescent="0.3"/>
    <row r="775" ht="13.5" customHeight="1" x14ac:dyDescent="0.3"/>
    <row r="776" ht="13.5" customHeight="1" x14ac:dyDescent="0.3"/>
    <row r="777" ht="13.5" customHeight="1" x14ac:dyDescent="0.3"/>
    <row r="778" ht="13.5" customHeight="1" x14ac:dyDescent="0.3"/>
    <row r="779" ht="13.5" customHeight="1" x14ac:dyDescent="0.3"/>
    <row r="780" ht="13.5" customHeight="1" x14ac:dyDescent="0.3"/>
    <row r="781" ht="13.5" customHeight="1" x14ac:dyDescent="0.3"/>
    <row r="782" ht="13.5" customHeight="1" x14ac:dyDescent="0.3"/>
    <row r="783" ht="13.5" customHeight="1" x14ac:dyDescent="0.3"/>
    <row r="784" ht="13.5" customHeight="1" x14ac:dyDescent="0.3"/>
    <row r="785" ht="13.5" customHeight="1" x14ac:dyDescent="0.3"/>
    <row r="786" ht="13.5" customHeight="1" x14ac:dyDescent="0.3"/>
    <row r="787" ht="13.5" customHeight="1" x14ac:dyDescent="0.3"/>
    <row r="788" ht="13.5" customHeight="1" x14ac:dyDescent="0.3"/>
    <row r="789" ht="13.5" customHeight="1" x14ac:dyDescent="0.3"/>
    <row r="790" ht="13.5" customHeight="1" x14ac:dyDescent="0.3"/>
    <row r="791" ht="13.5" customHeight="1" x14ac:dyDescent="0.3"/>
    <row r="792" ht="13.5" customHeight="1" x14ac:dyDescent="0.3"/>
    <row r="793" ht="13.5" customHeight="1" x14ac:dyDescent="0.3"/>
    <row r="794" ht="13.5" customHeight="1" x14ac:dyDescent="0.3"/>
    <row r="795" ht="13.5" customHeight="1" x14ac:dyDescent="0.3"/>
    <row r="796" ht="13.5" customHeight="1" x14ac:dyDescent="0.3"/>
    <row r="797" ht="13.5" customHeight="1" x14ac:dyDescent="0.3"/>
    <row r="798" ht="13.5" customHeight="1" x14ac:dyDescent="0.3"/>
    <row r="799" ht="13.5" customHeight="1" x14ac:dyDescent="0.3"/>
    <row r="800" ht="13.5" customHeight="1" x14ac:dyDescent="0.3"/>
    <row r="801" ht="13.5" customHeight="1" x14ac:dyDescent="0.3"/>
    <row r="802" ht="13.5" customHeight="1" x14ac:dyDescent="0.3"/>
    <row r="803" ht="13.5" customHeight="1" x14ac:dyDescent="0.3"/>
    <row r="804" ht="13.5" customHeight="1" x14ac:dyDescent="0.3"/>
    <row r="805" ht="13.5" customHeight="1" x14ac:dyDescent="0.3"/>
    <row r="806" ht="13.5" customHeight="1" x14ac:dyDescent="0.3"/>
    <row r="807" ht="13.5" customHeight="1" x14ac:dyDescent="0.3"/>
    <row r="808" ht="13.5" customHeight="1" x14ac:dyDescent="0.3"/>
    <row r="809" ht="13.5" customHeight="1" x14ac:dyDescent="0.3"/>
    <row r="810" ht="13.5" customHeight="1" x14ac:dyDescent="0.3"/>
    <row r="811" ht="13.5" customHeight="1" x14ac:dyDescent="0.3"/>
    <row r="812" ht="13.5" customHeight="1" x14ac:dyDescent="0.3"/>
    <row r="813" ht="13.5" customHeight="1" x14ac:dyDescent="0.3"/>
    <row r="814" ht="13.5" customHeight="1" x14ac:dyDescent="0.3"/>
    <row r="815" ht="13.5" customHeight="1" x14ac:dyDescent="0.3"/>
    <row r="816" ht="13.5" customHeight="1" x14ac:dyDescent="0.3"/>
    <row r="817" ht="13.5" customHeight="1" x14ac:dyDescent="0.3"/>
    <row r="818" ht="13.5" customHeight="1" x14ac:dyDescent="0.3"/>
    <row r="819" ht="13.5" customHeight="1" x14ac:dyDescent="0.3"/>
    <row r="820" ht="13.5" customHeight="1" x14ac:dyDescent="0.3"/>
    <row r="821" ht="13.5" customHeight="1" x14ac:dyDescent="0.3"/>
    <row r="822" ht="13.5" customHeight="1" x14ac:dyDescent="0.3"/>
    <row r="823" ht="13.5" customHeight="1" x14ac:dyDescent="0.3"/>
    <row r="824" ht="13.5" customHeight="1" x14ac:dyDescent="0.3"/>
    <row r="825" ht="13.5" customHeight="1" x14ac:dyDescent="0.3"/>
    <row r="826" ht="13.5" customHeight="1" x14ac:dyDescent="0.3"/>
    <row r="827" ht="13.5" customHeight="1" x14ac:dyDescent="0.3"/>
    <row r="828" ht="13.5" customHeight="1" x14ac:dyDescent="0.3"/>
    <row r="829" ht="13.5" customHeight="1" x14ac:dyDescent="0.3"/>
    <row r="830" ht="13.5" customHeight="1" x14ac:dyDescent="0.3"/>
    <row r="831" ht="13.5" customHeight="1" x14ac:dyDescent="0.3"/>
    <row r="832" ht="13.5" customHeight="1" x14ac:dyDescent="0.3"/>
    <row r="833" ht="13.5" customHeight="1" x14ac:dyDescent="0.3"/>
    <row r="834" ht="13.5" customHeight="1" x14ac:dyDescent="0.3"/>
    <row r="835" ht="13.5" customHeight="1" x14ac:dyDescent="0.3"/>
    <row r="836" ht="13.5" customHeight="1" x14ac:dyDescent="0.3"/>
    <row r="837" ht="13.5" customHeight="1" x14ac:dyDescent="0.3"/>
    <row r="838" ht="13.5" customHeight="1" x14ac:dyDescent="0.3"/>
    <row r="839" ht="13.5" customHeight="1" x14ac:dyDescent="0.3"/>
    <row r="840" ht="13.5" customHeight="1" x14ac:dyDescent="0.3"/>
    <row r="841" ht="13.5" customHeight="1" x14ac:dyDescent="0.3"/>
    <row r="842" ht="13.5" customHeight="1" x14ac:dyDescent="0.3"/>
    <row r="843" ht="13.5" customHeight="1" x14ac:dyDescent="0.3"/>
    <row r="844" ht="13.5" customHeight="1" x14ac:dyDescent="0.3"/>
    <row r="845" ht="13.5" customHeight="1" x14ac:dyDescent="0.3"/>
    <row r="846" ht="13.5" customHeight="1" x14ac:dyDescent="0.3"/>
    <row r="847" ht="13.5" customHeight="1" x14ac:dyDescent="0.3"/>
    <row r="848" ht="13.5" customHeight="1" x14ac:dyDescent="0.3"/>
    <row r="849" ht="13.5" customHeight="1" x14ac:dyDescent="0.3"/>
    <row r="850" ht="13.5" customHeight="1" x14ac:dyDescent="0.3"/>
    <row r="851" ht="13.5" customHeight="1" x14ac:dyDescent="0.3"/>
    <row r="852" ht="13.5" customHeight="1" x14ac:dyDescent="0.3"/>
    <row r="853" ht="13.5" customHeight="1" x14ac:dyDescent="0.3"/>
    <row r="854" ht="13.5" customHeight="1" x14ac:dyDescent="0.3"/>
    <row r="855" ht="13.5" customHeight="1" x14ac:dyDescent="0.3"/>
    <row r="856" ht="13.5" customHeight="1" x14ac:dyDescent="0.3"/>
    <row r="857" ht="13.5" customHeight="1" x14ac:dyDescent="0.3"/>
    <row r="858" ht="13.5" customHeight="1" x14ac:dyDescent="0.3"/>
    <row r="859" ht="13.5" customHeight="1" x14ac:dyDescent="0.3"/>
    <row r="860" ht="13.5" customHeight="1" x14ac:dyDescent="0.3"/>
    <row r="861" ht="13.5" customHeight="1" x14ac:dyDescent="0.3"/>
    <row r="862" ht="13.5" customHeight="1" x14ac:dyDescent="0.3"/>
    <row r="863" ht="13.5" customHeight="1" x14ac:dyDescent="0.3"/>
    <row r="864" ht="13.5" customHeight="1" x14ac:dyDescent="0.3"/>
    <row r="865" ht="13.5" customHeight="1" x14ac:dyDescent="0.3"/>
    <row r="866" ht="13.5" customHeight="1" x14ac:dyDescent="0.3"/>
    <row r="867" ht="13.5" customHeight="1" x14ac:dyDescent="0.3"/>
    <row r="868" ht="13.5" customHeight="1" x14ac:dyDescent="0.3"/>
    <row r="869" ht="13.5" customHeight="1" x14ac:dyDescent="0.3"/>
    <row r="870" ht="13.5" customHeight="1" x14ac:dyDescent="0.3"/>
    <row r="871" ht="13.5" customHeight="1" x14ac:dyDescent="0.3"/>
    <row r="872" ht="13.5" customHeight="1" x14ac:dyDescent="0.3"/>
    <row r="873" ht="13.5" customHeight="1" x14ac:dyDescent="0.3"/>
    <row r="874" ht="13.5" customHeight="1" x14ac:dyDescent="0.3"/>
    <row r="875" ht="13.5" customHeight="1" x14ac:dyDescent="0.3"/>
    <row r="876" ht="13.5" customHeight="1" x14ac:dyDescent="0.3"/>
    <row r="877" ht="13.5" customHeight="1" x14ac:dyDescent="0.3"/>
    <row r="878" ht="13.5" customHeight="1" x14ac:dyDescent="0.3"/>
    <row r="879" ht="13.5" customHeight="1" x14ac:dyDescent="0.3"/>
    <row r="880" ht="13.5" customHeight="1" x14ac:dyDescent="0.3"/>
    <row r="881" ht="13.5" customHeight="1" x14ac:dyDescent="0.3"/>
    <row r="882" ht="13.5" customHeight="1" x14ac:dyDescent="0.3"/>
    <row r="883" ht="13.5" customHeight="1" x14ac:dyDescent="0.3"/>
    <row r="884" ht="13.5" customHeight="1" x14ac:dyDescent="0.3"/>
    <row r="885" ht="13.5" customHeight="1" x14ac:dyDescent="0.3"/>
    <row r="886" ht="13.5" customHeight="1" x14ac:dyDescent="0.3"/>
    <row r="887" ht="13.5" customHeight="1" x14ac:dyDescent="0.3"/>
    <row r="888" ht="13.5" customHeight="1" x14ac:dyDescent="0.3"/>
    <row r="889" ht="13.5" customHeight="1" x14ac:dyDescent="0.3"/>
    <row r="890" ht="13.5" customHeight="1" x14ac:dyDescent="0.3"/>
    <row r="891" ht="13.5" customHeight="1" x14ac:dyDescent="0.3"/>
    <row r="892" ht="13.5" customHeight="1" x14ac:dyDescent="0.3"/>
    <row r="893" ht="13.5" customHeight="1" x14ac:dyDescent="0.3"/>
    <row r="894" ht="13.5" customHeight="1" x14ac:dyDescent="0.3"/>
    <row r="895" ht="13.5" customHeight="1" x14ac:dyDescent="0.3"/>
    <row r="896" ht="13.5" customHeight="1" x14ac:dyDescent="0.3"/>
    <row r="897" ht="13.5" customHeight="1" x14ac:dyDescent="0.3"/>
    <row r="898" ht="13.5" customHeight="1" x14ac:dyDescent="0.3"/>
    <row r="899" ht="13.5" customHeight="1" x14ac:dyDescent="0.3"/>
    <row r="900" ht="13.5" customHeight="1" x14ac:dyDescent="0.3"/>
    <row r="901" ht="13.5" customHeight="1" x14ac:dyDescent="0.3"/>
    <row r="902" ht="13.5" customHeight="1" x14ac:dyDescent="0.3"/>
    <row r="903" ht="13.5" customHeight="1" x14ac:dyDescent="0.3"/>
    <row r="904" ht="13.5" customHeight="1" x14ac:dyDescent="0.3"/>
    <row r="905" ht="13.5" customHeight="1" x14ac:dyDescent="0.3"/>
    <row r="906" ht="13.5" customHeight="1" x14ac:dyDescent="0.3"/>
    <row r="907" ht="13.5" customHeight="1" x14ac:dyDescent="0.3"/>
    <row r="908" ht="13.5" customHeight="1" x14ac:dyDescent="0.3"/>
    <row r="909" ht="13.5" customHeight="1" x14ac:dyDescent="0.3"/>
    <row r="910" ht="13.5" customHeight="1" x14ac:dyDescent="0.3"/>
    <row r="911" ht="13.5" customHeight="1" x14ac:dyDescent="0.3"/>
    <row r="912" ht="13.5" customHeight="1" x14ac:dyDescent="0.3"/>
    <row r="913" ht="13.5" customHeight="1" x14ac:dyDescent="0.3"/>
    <row r="914" ht="13.5" customHeight="1" x14ac:dyDescent="0.3"/>
    <row r="915" ht="13.5" customHeight="1" x14ac:dyDescent="0.3"/>
    <row r="916" ht="13.5" customHeight="1" x14ac:dyDescent="0.3"/>
    <row r="917" ht="13.5" customHeight="1" x14ac:dyDescent="0.3"/>
    <row r="918" ht="13.5" customHeight="1" x14ac:dyDescent="0.3"/>
    <row r="919" ht="13.5" customHeight="1" x14ac:dyDescent="0.3"/>
    <row r="920" ht="13.5" customHeight="1" x14ac:dyDescent="0.3"/>
    <row r="921" ht="13.5" customHeight="1" x14ac:dyDescent="0.3"/>
    <row r="922" ht="13.5" customHeight="1" x14ac:dyDescent="0.3"/>
    <row r="923" ht="13.5" customHeight="1" x14ac:dyDescent="0.3"/>
    <row r="924" ht="13.5" customHeight="1" x14ac:dyDescent="0.3"/>
    <row r="925" ht="13.5" customHeight="1" x14ac:dyDescent="0.3"/>
    <row r="926" ht="13.5" customHeight="1" x14ac:dyDescent="0.3"/>
    <row r="927" ht="13.5" customHeight="1" x14ac:dyDescent="0.3"/>
    <row r="928" ht="13.5" customHeight="1" x14ac:dyDescent="0.3"/>
    <row r="929" ht="13.5" customHeight="1" x14ac:dyDescent="0.3"/>
    <row r="930" ht="13.5" customHeight="1" x14ac:dyDescent="0.3"/>
    <row r="931" ht="13.5" customHeight="1" x14ac:dyDescent="0.3"/>
    <row r="932" ht="13.5" customHeight="1" x14ac:dyDescent="0.3"/>
    <row r="933" ht="13.5" customHeight="1" x14ac:dyDescent="0.3"/>
    <row r="934" ht="13.5" customHeight="1" x14ac:dyDescent="0.3"/>
    <row r="935" ht="13.5" customHeight="1" x14ac:dyDescent="0.3"/>
    <row r="936" ht="13.5" customHeight="1" x14ac:dyDescent="0.3"/>
    <row r="937" ht="13.5" customHeight="1" x14ac:dyDescent="0.3"/>
    <row r="938" ht="13.5" customHeight="1" x14ac:dyDescent="0.3"/>
    <row r="939" ht="13.5" customHeight="1" x14ac:dyDescent="0.3"/>
    <row r="940" ht="13.5" customHeight="1" x14ac:dyDescent="0.3"/>
    <row r="941" ht="13.5" customHeight="1" x14ac:dyDescent="0.3"/>
    <row r="942" ht="13.5" customHeight="1" x14ac:dyDescent="0.3"/>
    <row r="943" ht="13.5" customHeight="1" x14ac:dyDescent="0.3"/>
    <row r="944" ht="13.5" customHeight="1" x14ac:dyDescent="0.3"/>
    <row r="945" ht="13.5" customHeight="1" x14ac:dyDescent="0.3"/>
    <row r="946" ht="13.5" customHeight="1" x14ac:dyDescent="0.3"/>
    <row r="947" ht="13.5" customHeight="1" x14ac:dyDescent="0.3"/>
    <row r="948" ht="13.5" customHeight="1" x14ac:dyDescent="0.3"/>
    <row r="949" ht="13.5" customHeight="1" x14ac:dyDescent="0.3"/>
    <row r="950" ht="13.5" customHeight="1" x14ac:dyDescent="0.3"/>
    <row r="951" ht="13.5" customHeight="1" x14ac:dyDescent="0.3"/>
    <row r="952" ht="13.5" customHeight="1" x14ac:dyDescent="0.3"/>
    <row r="953" ht="13.5" customHeight="1" x14ac:dyDescent="0.3"/>
    <row r="954" ht="13.5" customHeight="1" x14ac:dyDescent="0.3"/>
    <row r="955" ht="13.5" customHeight="1" x14ac:dyDescent="0.3"/>
  </sheetData>
  <autoFilter ref="A1:I76" xr:uid="{167AC571-CE78-49C2-8A2A-97FD3B603EA8}"/>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8C133-06A9-452E-BD80-2A1F8E52A650}">
  <dimension ref="A1:Y955"/>
  <sheetViews>
    <sheetView workbookViewId="0">
      <selection activeCell="D23" sqref="D23"/>
    </sheetView>
  </sheetViews>
  <sheetFormatPr defaultColWidth="14.44140625" defaultRowHeight="15" customHeight="1" x14ac:dyDescent="0.3"/>
  <cols>
    <col min="1" max="1" width="17.33203125" style="46" customWidth="1"/>
    <col min="2" max="2" width="23.33203125" style="46" customWidth="1"/>
    <col min="3" max="3" width="21" style="53" customWidth="1"/>
    <col min="4" max="4" width="13.5546875" style="46" customWidth="1"/>
    <col min="5" max="5" width="11.21875" style="46" bestFit="1" customWidth="1"/>
    <col min="6" max="6" width="12.109375" style="46" bestFit="1" customWidth="1"/>
    <col min="7" max="7" width="13.44140625" style="53" customWidth="1"/>
    <col min="8" max="8" width="12.44140625" style="53" customWidth="1"/>
    <col min="9" max="9" width="70.88671875" style="46" customWidth="1"/>
    <col min="10" max="25" width="8.88671875" style="46" customWidth="1"/>
    <col min="26" max="16384" width="14.44140625" style="46"/>
  </cols>
  <sheetData>
    <row r="1" spans="1:25" ht="13.5" customHeight="1" x14ac:dyDescent="0.3">
      <c r="A1" s="47" t="s">
        <v>9727</v>
      </c>
      <c r="B1" s="47" t="s">
        <v>9728</v>
      </c>
      <c r="C1" s="50" t="s">
        <v>9729</v>
      </c>
      <c r="D1" s="47" t="s">
        <v>8661</v>
      </c>
      <c r="E1" s="47" t="s">
        <v>9575</v>
      </c>
      <c r="F1" s="47" t="s">
        <v>9730</v>
      </c>
      <c r="G1" s="50" t="s">
        <v>9577</v>
      </c>
      <c r="H1" s="54" t="s">
        <v>9753</v>
      </c>
      <c r="I1" s="43" t="s">
        <v>9578</v>
      </c>
      <c r="J1" s="45"/>
      <c r="K1" s="45"/>
      <c r="L1" s="45"/>
      <c r="M1" s="45"/>
      <c r="N1" s="45"/>
      <c r="O1" s="45"/>
      <c r="P1" s="45"/>
      <c r="Q1" s="45"/>
      <c r="R1" s="45"/>
      <c r="S1" s="45"/>
      <c r="T1" s="45"/>
      <c r="U1" s="45"/>
      <c r="V1" s="45"/>
      <c r="W1" s="45"/>
      <c r="X1" s="45"/>
      <c r="Y1" s="45"/>
    </row>
    <row r="2" spans="1:25" ht="27.6" x14ac:dyDescent="0.3">
      <c r="A2" s="21" t="s">
        <v>8648</v>
      </c>
      <c r="B2" s="48" t="str">
        <f>"Custom "&amp;A2</f>
        <v>Custom Melee Weapon Attack</v>
      </c>
      <c r="C2" s="56" t="s">
        <v>9755</v>
      </c>
      <c r="D2" s="48" t="s">
        <v>9535</v>
      </c>
      <c r="E2" s="48" t="s">
        <v>9532</v>
      </c>
      <c r="F2" s="48" t="s">
        <v>9545</v>
      </c>
      <c r="G2" s="51" t="s">
        <v>9731</v>
      </c>
      <c r="H2" s="55" t="s">
        <v>9754</v>
      </c>
      <c r="I2" s="44" t="str">
        <f>A2&amp;": [ATK_MOD] to hit, [REACH_RANGE], one target. Hit: [DAMAGE]."</f>
        <v>Melee Weapon Attack: [ATK_MOD] to hit, [REACH_RANGE], one target. Hit: [DAMAGE].</v>
      </c>
      <c r="J2" s="45"/>
      <c r="K2" s="45"/>
      <c r="L2" s="45"/>
      <c r="M2" s="45"/>
      <c r="N2" s="45"/>
      <c r="O2" s="45"/>
      <c r="P2" s="45"/>
      <c r="Q2" s="45"/>
      <c r="R2" s="45"/>
      <c r="S2" s="45"/>
      <c r="T2" s="45"/>
      <c r="U2" s="45"/>
      <c r="V2" s="45"/>
      <c r="W2" s="45"/>
      <c r="X2" s="45"/>
      <c r="Y2" s="45"/>
    </row>
    <row r="3" spans="1:25" ht="27.6" x14ac:dyDescent="0.3">
      <c r="A3" s="21" t="s">
        <v>8651</v>
      </c>
      <c r="B3" s="48" t="str">
        <f t="shared" ref="B3:B6" si="0">"Custom "&amp;A3</f>
        <v>Custom Melee or Ranged Weapon Attack</v>
      </c>
      <c r="C3" s="56" t="s">
        <v>9755</v>
      </c>
      <c r="D3" s="48" t="s">
        <v>9735</v>
      </c>
      <c r="E3" s="48" t="s">
        <v>9532</v>
      </c>
      <c r="F3" s="48" t="s">
        <v>9545</v>
      </c>
      <c r="G3" s="51" t="s">
        <v>9732</v>
      </c>
      <c r="H3" s="55" t="s">
        <v>9754</v>
      </c>
      <c r="I3" s="44" t="str">
        <f t="shared" ref="I3:I6" si="1">A3&amp;": [ATK_MOD] to hit, [REACH_RANGE], one target. Hit: [DAMAGE]."</f>
        <v>Melee or Ranged Weapon Attack: [ATK_MOD] to hit, [REACH_RANGE], one target. Hit: [DAMAGE].</v>
      </c>
      <c r="J3" s="45"/>
      <c r="K3" s="45"/>
      <c r="L3" s="45"/>
      <c r="M3" s="45"/>
      <c r="N3" s="45"/>
      <c r="O3" s="45"/>
      <c r="P3" s="45"/>
      <c r="Q3" s="45"/>
      <c r="R3" s="45"/>
      <c r="S3" s="45"/>
      <c r="T3" s="45"/>
      <c r="U3" s="45"/>
      <c r="V3" s="45"/>
      <c r="W3" s="45"/>
      <c r="X3" s="45"/>
      <c r="Y3" s="45"/>
    </row>
    <row r="4" spans="1:25" ht="27.6" x14ac:dyDescent="0.3">
      <c r="A4" s="22" t="s">
        <v>8656</v>
      </c>
      <c r="B4" s="48" t="str">
        <f t="shared" si="0"/>
        <v>Custom Ranged Weapon Attack</v>
      </c>
      <c r="C4" s="56" t="s">
        <v>4117</v>
      </c>
      <c r="D4" s="48" t="s">
        <v>9736</v>
      </c>
      <c r="E4" s="48" t="s">
        <v>9532</v>
      </c>
      <c r="F4" s="48" t="s">
        <v>9545</v>
      </c>
      <c r="G4" s="51" t="s">
        <v>9733</v>
      </c>
      <c r="H4" s="55" t="s">
        <v>9754</v>
      </c>
      <c r="I4" s="44" t="str">
        <f t="shared" si="1"/>
        <v>Ranged Weapon Attack: [ATK_MOD] to hit, [REACH_RANGE], one target. Hit: [DAMAGE].</v>
      </c>
      <c r="J4" s="45"/>
      <c r="K4" s="45"/>
      <c r="L4" s="45"/>
      <c r="M4" s="45"/>
      <c r="N4" s="45"/>
      <c r="O4" s="45"/>
      <c r="P4" s="45"/>
      <c r="Q4" s="45"/>
      <c r="R4" s="45"/>
      <c r="S4" s="45"/>
      <c r="T4" s="45"/>
      <c r="U4" s="45"/>
      <c r="V4" s="45"/>
      <c r="W4" s="45"/>
      <c r="X4" s="45"/>
      <c r="Y4" s="45"/>
    </row>
    <row r="5" spans="1:25" ht="27.6" x14ac:dyDescent="0.3">
      <c r="A5" s="22" t="s">
        <v>8662</v>
      </c>
      <c r="B5" s="48" t="str">
        <f t="shared" si="0"/>
        <v>Custom Melee Spell Attack</v>
      </c>
      <c r="C5" s="56" t="s">
        <v>8663</v>
      </c>
      <c r="D5" s="48" t="s">
        <v>9535</v>
      </c>
      <c r="E5" s="48" t="s">
        <v>9532</v>
      </c>
      <c r="F5" s="48" t="s">
        <v>9545</v>
      </c>
      <c r="G5" s="51"/>
      <c r="H5" s="55"/>
      <c r="I5" s="44" t="str">
        <f t="shared" si="1"/>
        <v>Melee Spell Attack: [ATK_MOD] to hit, [REACH_RANGE], one target. Hit: [DAMAGE].</v>
      </c>
      <c r="J5" s="45"/>
      <c r="K5" s="45"/>
      <c r="L5" s="45"/>
      <c r="M5" s="45"/>
      <c r="N5" s="45"/>
      <c r="O5" s="45"/>
      <c r="P5" s="45"/>
      <c r="Q5" s="45"/>
      <c r="R5" s="45"/>
      <c r="S5" s="45"/>
      <c r="T5" s="45"/>
      <c r="U5" s="45"/>
      <c r="V5" s="45"/>
      <c r="W5" s="45"/>
      <c r="X5" s="45"/>
      <c r="Y5" s="45"/>
    </row>
    <row r="6" spans="1:25" ht="27.6" x14ac:dyDescent="0.3">
      <c r="A6" s="22" t="s">
        <v>8664</v>
      </c>
      <c r="B6" s="48" t="str">
        <f t="shared" si="0"/>
        <v>Custom Ranged Spell Attack</v>
      </c>
      <c r="C6" s="56" t="s">
        <v>8663</v>
      </c>
      <c r="D6" s="48" t="s">
        <v>9734</v>
      </c>
      <c r="E6" s="48" t="s">
        <v>9532</v>
      </c>
      <c r="F6" s="48" t="s">
        <v>9545</v>
      </c>
      <c r="G6" s="51"/>
      <c r="H6" s="55"/>
      <c r="I6" s="44" t="str">
        <f t="shared" si="1"/>
        <v>Ranged Spell Attack: [ATK_MOD] to hit, [REACH_RANGE], one target. Hit: [DAMAGE].</v>
      </c>
      <c r="J6" s="45"/>
      <c r="K6" s="45"/>
      <c r="L6" s="45"/>
      <c r="M6" s="45"/>
      <c r="N6" s="45"/>
      <c r="O6" s="45"/>
      <c r="P6" s="45"/>
      <c r="Q6" s="45"/>
      <c r="R6" s="45"/>
      <c r="S6" s="45"/>
      <c r="T6" s="45"/>
      <c r="U6" s="45"/>
      <c r="V6" s="45"/>
      <c r="W6" s="45"/>
      <c r="X6" s="45"/>
      <c r="Y6" s="45"/>
    </row>
    <row r="7" spans="1:25" ht="13.5" customHeight="1" x14ac:dyDescent="0.3">
      <c r="A7" s="45"/>
      <c r="B7" s="45"/>
      <c r="C7" s="52"/>
      <c r="D7" s="45"/>
      <c r="E7" s="45"/>
      <c r="F7" s="45"/>
      <c r="G7" s="52"/>
      <c r="H7" s="52"/>
      <c r="I7" s="45"/>
      <c r="J7" s="45"/>
      <c r="K7" s="45"/>
      <c r="L7" s="45"/>
      <c r="M7" s="45"/>
      <c r="N7" s="45"/>
      <c r="O7" s="45"/>
      <c r="P7" s="45"/>
      <c r="Q7" s="45"/>
      <c r="R7" s="45"/>
      <c r="S7" s="45"/>
      <c r="T7" s="45"/>
      <c r="U7" s="45"/>
      <c r="V7" s="45"/>
      <c r="W7" s="45"/>
      <c r="X7" s="45"/>
      <c r="Y7" s="45"/>
    </row>
    <row r="8" spans="1:25" ht="13.5" customHeight="1" x14ac:dyDescent="0.3">
      <c r="A8" s="49"/>
      <c r="B8" s="45"/>
      <c r="C8" s="52"/>
      <c r="D8" s="45"/>
      <c r="E8" s="45"/>
      <c r="F8" s="45"/>
      <c r="G8" s="52"/>
      <c r="H8" s="52"/>
      <c r="I8" s="45"/>
      <c r="J8" s="45"/>
      <c r="K8" s="45"/>
      <c r="L8" s="45"/>
      <c r="M8" s="45"/>
      <c r="N8" s="45"/>
      <c r="O8" s="45"/>
      <c r="P8" s="45"/>
      <c r="Q8" s="45"/>
      <c r="R8" s="45"/>
      <c r="S8" s="45"/>
      <c r="T8" s="45"/>
      <c r="U8" s="45"/>
      <c r="V8" s="45"/>
      <c r="W8" s="45"/>
      <c r="X8" s="45"/>
      <c r="Y8" s="45"/>
    </row>
    <row r="9" spans="1:25" ht="13.5" customHeight="1" x14ac:dyDescent="0.3">
      <c r="A9" s="45"/>
      <c r="B9" s="45"/>
      <c r="C9" s="52"/>
      <c r="D9" s="45"/>
      <c r="E9" s="45"/>
      <c r="F9" s="45"/>
      <c r="G9" s="52"/>
      <c r="H9" s="52"/>
      <c r="I9" s="45"/>
      <c r="J9" s="45"/>
      <c r="K9" s="45"/>
      <c r="L9" s="45"/>
      <c r="M9" s="45"/>
      <c r="N9" s="45"/>
      <c r="O9" s="45"/>
      <c r="P9" s="45"/>
      <c r="Q9" s="45"/>
      <c r="R9" s="45"/>
      <c r="S9" s="45"/>
      <c r="T9" s="45"/>
      <c r="U9" s="45"/>
      <c r="V9" s="45"/>
      <c r="W9" s="45"/>
      <c r="X9" s="45"/>
      <c r="Y9" s="45"/>
    </row>
    <row r="10" spans="1:25" ht="13.5" customHeight="1" x14ac:dyDescent="0.3">
      <c r="A10" s="45"/>
      <c r="B10" s="45"/>
      <c r="C10" s="52"/>
      <c r="D10" s="45"/>
      <c r="E10" s="45"/>
      <c r="F10" s="45"/>
      <c r="G10" s="52"/>
      <c r="H10" s="52"/>
      <c r="I10" s="45"/>
      <c r="J10" s="45"/>
      <c r="K10" s="45"/>
      <c r="L10" s="45"/>
      <c r="M10" s="45"/>
      <c r="N10" s="45"/>
      <c r="O10" s="45"/>
      <c r="P10" s="45"/>
      <c r="Q10" s="45"/>
      <c r="R10" s="45"/>
      <c r="S10" s="45"/>
      <c r="T10" s="45"/>
      <c r="U10" s="45"/>
      <c r="V10" s="45"/>
      <c r="W10" s="45"/>
      <c r="X10" s="45"/>
      <c r="Y10" s="45"/>
    </row>
    <row r="11" spans="1:25" ht="13.5" customHeight="1" x14ac:dyDescent="0.3">
      <c r="A11" s="45"/>
      <c r="B11" s="45"/>
      <c r="C11" s="52"/>
      <c r="D11" s="45"/>
      <c r="E11" s="45"/>
      <c r="F11" s="45"/>
      <c r="G11" s="52"/>
      <c r="H11" s="52"/>
      <c r="I11" s="45"/>
      <c r="J11" s="45"/>
      <c r="K11" s="45"/>
      <c r="L11" s="45"/>
      <c r="M11" s="45"/>
      <c r="N11" s="45"/>
      <c r="O11" s="45"/>
      <c r="P11" s="45"/>
      <c r="Q11" s="45"/>
      <c r="R11" s="45"/>
      <c r="S11" s="45"/>
      <c r="T11" s="45"/>
      <c r="U11" s="45"/>
      <c r="V11" s="45"/>
      <c r="W11" s="45"/>
      <c r="X11" s="45"/>
      <c r="Y11" s="45"/>
    </row>
    <row r="12" spans="1:25" ht="13.5" customHeight="1" x14ac:dyDescent="0.3">
      <c r="A12" s="45"/>
      <c r="B12" s="45"/>
      <c r="C12" s="52"/>
      <c r="D12" s="45"/>
      <c r="E12" s="45"/>
      <c r="F12" s="45"/>
      <c r="G12" s="52"/>
      <c r="H12" s="52"/>
      <c r="I12" s="45"/>
      <c r="J12" s="45"/>
      <c r="K12" s="45"/>
      <c r="L12" s="45"/>
      <c r="M12" s="45"/>
      <c r="N12" s="45"/>
      <c r="O12" s="45"/>
      <c r="P12" s="45"/>
      <c r="Q12" s="45"/>
      <c r="R12" s="45"/>
      <c r="S12" s="45"/>
      <c r="T12" s="45"/>
      <c r="U12" s="45"/>
      <c r="V12" s="45"/>
      <c r="W12" s="45"/>
      <c r="X12" s="45"/>
      <c r="Y12" s="45"/>
    </row>
    <row r="13" spans="1:25" ht="13.5" customHeight="1" x14ac:dyDescent="0.3">
      <c r="A13" s="45"/>
      <c r="B13" s="45"/>
      <c r="C13" s="52"/>
      <c r="D13" s="45"/>
      <c r="E13" s="45"/>
      <c r="F13" s="45"/>
      <c r="G13" s="52"/>
      <c r="H13" s="52"/>
      <c r="I13" s="45"/>
      <c r="J13" s="45"/>
      <c r="K13" s="45"/>
      <c r="L13" s="45"/>
      <c r="M13" s="45"/>
      <c r="N13" s="45"/>
      <c r="O13" s="45"/>
      <c r="P13" s="45"/>
      <c r="Q13" s="45"/>
      <c r="R13" s="45"/>
      <c r="S13" s="45"/>
      <c r="T13" s="45"/>
      <c r="U13" s="45"/>
      <c r="V13" s="45"/>
      <c r="W13" s="45"/>
      <c r="X13" s="45"/>
      <c r="Y13" s="45"/>
    </row>
    <row r="14" spans="1:25" ht="13.5" customHeight="1" x14ac:dyDescent="0.3">
      <c r="A14" s="45"/>
      <c r="B14" s="45"/>
      <c r="C14" s="52"/>
      <c r="D14" s="45"/>
      <c r="E14" s="45"/>
      <c r="F14" s="45"/>
      <c r="G14" s="52"/>
      <c r="H14" s="52"/>
      <c r="I14" s="45"/>
      <c r="J14" s="45"/>
      <c r="K14" s="45"/>
      <c r="L14" s="45"/>
      <c r="M14" s="45"/>
      <c r="N14" s="45"/>
      <c r="O14" s="45"/>
      <c r="P14" s="45"/>
      <c r="Q14" s="45"/>
      <c r="R14" s="45"/>
      <c r="S14" s="45"/>
      <c r="T14" s="45"/>
      <c r="U14" s="45"/>
      <c r="V14" s="45"/>
      <c r="W14" s="45"/>
      <c r="X14" s="45"/>
      <c r="Y14" s="45"/>
    </row>
    <row r="15" spans="1:25" ht="13.5" customHeight="1" x14ac:dyDescent="0.3">
      <c r="A15" s="45"/>
      <c r="B15" s="45"/>
      <c r="C15" s="52"/>
      <c r="D15" s="45"/>
      <c r="E15" s="45"/>
      <c r="F15" s="45"/>
      <c r="G15" s="52"/>
      <c r="H15" s="52"/>
      <c r="I15" s="45"/>
      <c r="J15" s="45"/>
      <c r="K15" s="45"/>
      <c r="L15" s="45"/>
      <c r="M15" s="45"/>
      <c r="N15" s="45"/>
      <c r="O15" s="45"/>
      <c r="P15" s="45"/>
      <c r="Q15" s="45"/>
      <c r="R15" s="45"/>
      <c r="S15" s="45"/>
      <c r="T15" s="45"/>
      <c r="U15" s="45"/>
      <c r="V15" s="45"/>
      <c r="W15" s="45"/>
      <c r="X15" s="45"/>
      <c r="Y15" s="45"/>
    </row>
    <row r="16" spans="1:25" ht="13.5" customHeight="1" x14ac:dyDescent="0.3">
      <c r="A16" s="45"/>
      <c r="B16" s="45"/>
      <c r="C16" s="52"/>
      <c r="D16" s="45"/>
      <c r="E16" s="45"/>
      <c r="F16" s="45"/>
      <c r="G16" s="52"/>
      <c r="H16" s="52"/>
      <c r="I16" s="45"/>
      <c r="J16" s="45"/>
      <c r="K16" s="45"/>
      <c r="L16" s="45"/>
      <c r="M16" s="45"/>
      <c r="N16" s="45"/>
      <c r="O16" s="45"/>
      <c r="P16" s="45"/>
      <c r="Q16" s="45"/>
      <c r="R16" s="45"/>
      <c r="S16" s="45"/>
      <c r="T16" s="45"/>
      <c r="U16" s="45"/>
      <c r="V16" s="45"/>
      <c r="W16" s="45"/>
      <c r="X16" s="45"/>
      <c r="Y16" s="45"/>
    </row>
    <row r="17" spans="1:25" ht="13.5" customHeight="1" x14ac:dyDescent="0.3">
      <c r="A17" s="45"/>
      <c r="B17" s="45"/>
      <c r="C17" s="52"/>
      <c r="D17" s="45"/>
      <c r="E17" s="45"/>
      <c r="F17" s="45"/>
      <c r="G17" s="52"/>
      <c r="H17" s="52"/>
      <c r="I17" s="45"/>
      <c r="J17" s="45"/>
      <c r="K17" s="45"/>
      <c r="L17" s="45"/>
      <c r="M17" s="45"/>
      <c r="N17" s="45"/>
      <c r="O17" s="45"/>
      <c r="P17" s="45"/>
      <c r="Q17" s="45"/>
      <c r="R17" s="45"/>
      <c r="S17" s="45"/>
      <c r="T17" s="45"/>
      <c r="U17" s="45"/>
      <c r="V17" s="45"/>
      <c r="W17" s="45"/>
      <c r="X17" s="45"/>
      <c r="Y17" s="45"/>
    </row>
    <row r="18" spans="1:25" ht="13.5" customHeight="1" x14ac:dyDescent="0.3">
      <c r="A18" s="45"/>
      <c r="B18" s="45"/>
      <c r="C18" s="52"/>
      <c r="D18" s="45"/>
      <c r="E18" s="45"/>
      <c r="F18" s="45"/>
      <c r="G18" s="52"/>
      <c r="H18" s="52"/>
      <c r="I18" s="45"/>
      <c r="J18" s="45"/>
      <c r="K18" s="45"/>
      <c r="L18" s="45"/>
      <c r="M18" s="45"/>
      <c r="N18" s="45"/>
      <c r="O18" s="45"/>
      <c r="P18" s="45"/>
      <c r="Q18" s="45"/>
      <c r="R18" s="45"/>
      <c r="S18" s="45"/>
      <c r="T18" s="45"/>
      <c r="U18" s="45"/>
      <c r="V18" s="45"/>
      <c r="W18" s="45"/>
      <c r="X18" s="45"/>
      <c r="Y18" s="45"/>
    </row>
    <row r="19" spans="1:25" ht="13.5" customHeight="1" x14ac:dyDescent="0.3">
      <c r="A19" s="45"/>
      <c r="B19" s="45"/>
      <c r="C19" s="52"/>
      <c r="D19" s="45"/>
      <c r="E19" s="45"/>
      <c r="F19" s="45"/>
      <c r="G19" s="52"/>
      <c r="H19" s="52"/>
      <c r="I19" s="45"/>
      <c r="J19" s="45"/>
      <c r="K19" s="45"/>
      <c r="L19" s="45"/>
      <c r="M19" s="45"/>
      <c r="N19" s="45"/>
      <c r="O19" s="45"/>
      <c r="P19" s="45"/>
      <c r="Q19" s="45"/>
      <c r="R19" s="45"/>
      <c r="S19" s="45"/>
      <c r="T19" s="45"/>
      <c r="U19" s="45"/>
      <c r="V19" s="45"/>
      <c r="W19" s="45"/>
      <c r="X19" s="45"/>
      <c r="Y19" s="45"/>
    </row>
    <row r="20" spans="1:25" ht="13.5" customHeight="1" x14ac:dyDescent="0.3">
      <c r="A20" s="45"/>
      <c r="B20" s="45"/>
      <c r="C20" s="52"/>
      <c r="D20" s="45"/>
      <c r="E20" s="45"/>
      <c r="F20" s="45"/>
      <c r="G20" s="52"/>
      <c r="H20" s="52"/>
      <c r="I20" s="45"/>
      <c r="J20" s="45"/>
      <c r="K20" s="45"/>
      <c r="L20" s="45"/>
      <c r="M20" s="45"/>
      <c r="N20" s="45"/>
      <c r="O20" s="45"/>
      <c r="P20" s="45"/>
      <c r="Q20" s="45"/>
      <c r="R20" s="45"/>
      <c r="S20" s="45"/>
      <c r="T20" s="45"/>
      <c r="U20" s="45"/>
      <c r="V20" s="45"/>
      <c r="W20" s="45"/>
      <c r="X20" s="45"/>
      <c r="Y20" s="45"/>
    </row>
    <row r="21" spans="1:25" ht="13.5" customHeight="1" x14ac:dyDescent="0.3">
      <c r="A21" s="45"/>
      <c r="B21" s="45"/>
      <c r="C21" s="52"/>
      <c r="D21" s="45"/>
      <c r="E21" s="45"/>
      <c r="F21" s="45"/>
      <c r="G21" s="52"/>
      <c r="H21" s="52"/>
      <c r="I21" s="45"/>
      <c r="J21" s="45"/>
      <c r="K21" s="45"/>
      <c r="L21" s="45"/>
      <c r="M21" s="45"/>
      <c r="N21" s="45"/>
      <c r="O21" s="45"/>
      <c r="P21" s="45"/>
      <c r="Q21" s="45"/>
      <c r="R21" s="45"/>
      <c r="S21" s="45"/>
      <c r="T21" s="45"/>
      <c r="U21" s="45"/>
      <c r="V21" s="45"/>
      <c r="W21" s="45"/>
      <c r="X21" s="45"/>
      <c r="Y21" s="45"/>
    </row>
    <row r="22" spans="1:25" ht="13.5" customHeight="1" x14ac:dyDescent="0.3">
      <c r="A22" s="45"/>
      <c r="B22" s="45"/>
      <c r="C22" s="52"/>
      <c r="D22" s="45"/>
      <c r="E22" s="45"/>
      <c r="F22" s="45"/>
      <c r="G22" s="52"/>
      <c r="H22" s="52"/>
      <c r="I22" s="45"/>
      <c r="J22" s="45"/>
      <c r="K22" s="45"/>
      <c r="L22" s="45"/>
      <c r="M22" s="45"/>
      <c r="N22" s="45"/>
      <c r="O22" s="45"/>
      <c r="P22" s="45"/>
      <c r="Q22" s="45"/>
      <c r="R22" s="45"/>
      <c r="S22" s="45"/>
      <c r="T22" s="45"/>
      <c r="U22" s="45"/>
      <c r="V22" s="45"/>
      <c r="W22" s="45"/>
      <c r="X22" s="45"/>
      <c r="Y22" s="45"/>
    </row>
    <row r="23" spans="1:25" ht="13.5" customHeight="1" x14ac:dyDescent="0.3">
      <c r="A23" s="45"/>
      <c r="B23" s="45"/>
      <c r="C23" s="52"/>
      <c r="D23" s="45"/>
      <c r="E23" s="45"/>
      <c r="F23" s="45"/>
      <c r="G23" s="52"/>
      <c r="H23" s="52"/>
      <c r="I23" s="45"/>
      <c r="J23" s="45"/>
      <c r="K23" s="45"/>
      <c r="L23" s="45"/>
      <c r="M23" s="45"/>
      <c r="N23" s="45"/>
      <c r="O23" s="45"/>
      <c r="P23" s="45"/>
      <c r="Q23" s="45"/>
      <c r="R23" s="45"/>
      <c r="S23" s="45"/>
      <c r="T23" s="45"/>
      <c r="U23" s="45"/>
      <c r="V23" s="45"/>
      <c r="W23" s="45"/>
      <c r="X23" s="45"/>
      <c r="Y23" s="45"/>
    </row>
    <row r="24" spans="1:25" ht="13.5" customHeight="1" x14ac:dyDescent="0.3">
      <c r="A24" s="45"/>
      <c r="B24" s="45"/>
      <c r="C24" s="52"/>
      <c r="D24" s="45"/>
      <c r="E24" s="45"/>
      <c r="F24" s="45"/>
      <c r="G24" s="52"/>
      <c r="H24" s="52"/>
      <c r="I24" s="45"/>
      <c r="J24" s="45"/>
      <c r="K24" s="45"/>
      <c r="L24" s="45"/>
      <c r="M24" s="45"/>
      <c r="N24" s="45"/>
      <c r="O24" s="45"/>
      <c r="P24" s="45"/>
      <c r="Q24" s="45"/>
      <c r="R24" s="45"/>
      <c r="S24" s="45"/>
      <c r="T24" s="45"/>
      <c r="U24" s="45"/>
      <c r="V24" s="45"/>
      <c r="W24" s="45"/>
      <c r="X24" s="45"/>
      <c r="Y24" s="45"/>
    </row>
    <row r="25" spans="1:25" ht="13.5" customHeight="1" x14ac:dyDescent="0.3">
      <c r="A25" s="45"/>
      <c r="B25" s="45"/>
      <c r="C25" s="52"/>
      <c r="D25" s="45"/>
      <c r="E25" s="45"/>
      <c r="F25" s="45"/>
      <c r="G25" s="52"/>
      <c r="H25" s="52"/>
      <c r="I25" s="45"/>
      <c r="J25" s="45"/>
      <c r="K25" s="45"/>
      <c r="L25" s="45"/>
      <c r="M25" s="45"/>
      <c r="N25" s="45"/>
      <c r="O25" s="45"/>
      <c r="P25" s="45"/>
      <c r="Q25" s="45"/>
      <c r="R25" s="45"/>
      <c r="S25" s="45"/>
      <c r="T25" s="45"/>
      <c r="U25" s="45"/>
      <c r="V25" s="45"/>
      <c r="W25" s="45"/>
      <c r="X25" s="45"/>
      <c r="Y25" s="45"/>
    </row>
    <row r="26" spans="1:25" ht="13.5" customHeight="1" x14ac:dyDescent="0.3">
      <c r="A26" s="45"/>
      <c r="B26" s="45"/>
      <c r="C26" s="52"/>
      <c r="D26" s="45"/>
      <c r="E26" s="45"/>
      <c r="F26" s="45"/>
      <c r="G26" s="52"/>
      <c r="H26" s="52"/>
      <c r="I26" s="45"/>
      <c r="J26" s="45"/>
      <c r="K26" s="45"/>
      <c r="L26" s="45"/>
      <c r="M26" s="45"/>
      <c r="N26" s="45"/>
      <c r="O26" s="45"/>
      <c r="P26" s="45"/>
      <c r="Q26" s="45"/>
      <c r="R26" s="45"/>
      <c r="S26" s="45"/>
      <c r="T26" s="45"/>
      <c r="U26" s="45"/>
      <c r="V26" s="45"/>
      <c r="W26" s="45"/>
      <c r="X26" s="45"/>
      <c r="Y26" s="45"/>
    </row>
    <row r="27" spans="1:25" ht="13.5" customHeight="1" x14ac:dyDescent="0.3">
      <c r="A27" s="45"/>
      <c r="B27" s="45"/>
      <c r="C27" s="52"/>
      <c r="D27" s="45"/>
      <c r="E27" s="45"/>
      <c r="F27" s="45"/>
      <c r="G27" s="52"/>
      <c r="H27" s="52"/>
      <c r="I27" s="45"/>
      <c r="J27" s="45"/>
      <c r="K27" s="45"/>
      <c r="L27" s="45"/>
      <c r="M27" s="45"/>
      <c r="N27" s="45"/>
      <c r="O27" s="45"/>
      <c r="P27" s="45"/>
      <c r="Q27" s="45"/>
      <c r="R27" s="45"/>
      <c r="S27" s="45"/>
      <c r="T27" s="45"/>
      <c r="U27" s="45"/>
      <c r="V27" s="45"/>
      <c r="W27" s="45"/>
      <c r="X27" s="45"/>
      <c r="Y27" s="45"/>
    </row>
    <row r="28" spans="1:25" ht="13.5" customHeight="1" x14ac:dyDescent="0.3">
      <c r="A28" s="45"/>
      <c r="B28" s="45"/>
      <c r="C28" s="52"/>
      <c r="D28" s="45"/>
      <c r="E28" s="45"/>
      <c r="F28" s="45"/>
      <c r="G28" s="52"/>
      <c r="H28" s="52"/>
      <c r="I28" s="45"/>
      <c r="J28" s="45"/>
      <c r="K28" s="45"/>
      <c r="L28" s="45"/>
      <c r="M28" s="45"/>
      <c r="N28" s="45"/>
      <c r="O28" s="45"/>
      <c r="P28" s="45"/>
      <c r="Q28" s="45"/>
      <c r="R28" s="45"/>
      <c r="S28" s="45"/>
      <c r="T28" s="45"/>
      <c r="U28" s="45"/>
      <c r="V28" s="45"/>
      <c r="W28" s="45"/>
      <c r="X28" s="45"/>
      <c r="Y28" s="45"/>
    </row>
    <row r="29" spans="1:25" ht="13.5" customHeight="1" x14ac:dyDescent="0.3">
      <c r="A29" s="45"/>
      <c r="B29" s="45"/>
      <c r="C29" s="52"/>
      <c r="D29" s="45"/>
      <c r="E29" s="45"/>
      <c r="F29" s="45"/>
      <c r="G29" s="52"/>
      <c r="H29" s="52"/>
      <c r="I29" s="45"/>
      <c r="J29" s="45"/>
      <c r="K29" s="45"/>
      <c r="L29" s="45"/>
      <c r="M29" s="45"/>
      <c r="N29" s="45"/>
      <c r="O29" s="45"/>
      <c r="P29" s="45"/>
      <c r="Q29" s="45"/>
      <c r="R29" s="45"/>
      <c r="S29" s="45"/>
      <c r="T29" s="45"/>
      <c r="U29" s="45"/>
      <c r="V29" s="45"/>
      <c r="W29" s="45"/>
      <c r="X29" s="45"/>
      <c r="Y29" s="45"/>
    </row>
    <row r="30" spans="1:25" ht="13.5" customHeight="1" x14ac:dyDescent="0.3">
      <c r="A30" s="45"/>
      <c r="B30" s="45"/>
      <c r="C30" s="52"/>
      <c r="D30" s="45"/>
      <c r="E30" s="45"/>
      <c r="F30" s="45"/>
      <c r="G30" s="52"/>
      <c r="H30" s="52"/>
      <c r="I30" s="45"/>
      <c r="J30" s="45"/>
      <c r="K30" s="45"/>
      <c r="L30" s="45"/>
      <c r="M30" s="45"/>
      <c r="N30" s="45"/>
      <c r="O30" s="45"/>
      <c r="P30" s="45"/>
      <c r="Q30" s="45"/>
      <c r="R30" s="45"/>
      <c r="S30" s="45"/>
      <c r="T30" s="45"/>
      <c r="U30" s="45"/>
      <c r="V30" s="45"/>
      <c r="W30" s="45"/>
      <c r="X30" s="45"/>
      <c r="Y30" s="45"/>
    </row>
    <row r="31" spans="1:25" ht="13.5" customHeight="1" x14ac:dyDescent="0.3">
      <c r="A31" s="45"/>
      <c r="B31" s="45"/>
      <c r="C31" s="52"/>
      <c r="D31" s="45"/>
      <c r="E31" s="45"/>
      <c r="F31" s="45"/>
      <c r="G31" s="52"/>
      <c r="H31" s="52"/>
      <c r="I31" s="45"/>
      <c r="J31" s="45"/>
      <c r="K31" s="45"/>
      <c r="L31" s="45"/>
      <c r="M31" s="45"/>
      <c r="N31" s="45"/>
      <c r="O31" s="45"/>
      <c r="P31" s="45"/>
      <c r="Q31" s="45"/>
      <c r="R31" s="45"/>
      <c r="S31" s="45"/>
      <c r="T31" s="45"/>
      <c r="U31" s="45"/>
      <c r="V31" s="45"/>
      <c r="W31" s="45"/>
      <c r="X31" s="45"/>
      <c r="Y31" s="45"/>
    </row>
    <row r="32" spans="1:25" ht="13.5" customHeight="1" x14ac:dyDescent="0.3">
      <c r="A32" s="45"/>
      <c r="B32" s="45"/>
      <c r="C32" s="52"/>
      <c r="D32" s="45"/>
      <c r="E32" s="45"/>
      <c r="F32" s="45"/>
      <c r="G32" s="52"/>
      <c r="H32" s="52"/>
      <c r="I32" s="45"/>
      <c r="J32" s="45"/>
      <c r="K32" s="45"/>
      <c r="L32" s="45"/>
      <c r="M32" s="45"/>
      <c r="N32" s="45"/>
      <c r="O32" s="45"/>
      <c r="P32" s="45"/>
      <c r="Q32" s="45"/>
      <c r="R32" s="45"/>
      <c r="S32" s="45"/>
      <c r="T32" s="45"/>
      <c r="U32" s="45"/>
      <c r="V32" s="45"/>
      <c r="W32" s="45"/>
      <c r="X32" s="45"/>
      <c r="Y32" s="45"/>
    </row>
    <row r="33" spans="1:25" ht="13.5" customHeight="1" x14ac:dyDescent="0.3">
      <c r="A33" s="45"/>
      <c r="B33" s="45"/>
      <c r="C33" s="52"/>
      <c r="D33" s="45"/>
      <c r="E33" s="45"/>
      <c r="F33" s="45"/>
      <c r="G33" s="52"/>
      <c r="H33" s="52"/>
      <c r="I33" s="45"/>
      <c r="J33" s="45"/>
      <c r="K33" s="45"/>
      <c r="L33" s="45"/>
      <c r="M33" s="45"/>
      <c r="N33" s="45"/>
      <c r="O33" s="45"/>
      <c r="P33" s="45"/>
      <c r="Q33" s="45"/>
      <c r="R33" s="45"/>
      <c r="S33" s="45"/>
      <c r="T33" s="45"/>
      <c r="U33" s="45"/>
      <c r="V33" s="45"/>
      <c r="W33" s="45"/>
      <c r="X33" s="45"/>
      <c r="Y33" s="45"/>
    </row>
    <row r="34" spans="1:25" ht="13.5" customHeight="1" x14ac:dyDescent="0.3">
      <c r="A34" s="45"/>
      <c r="B34" s="45"/>
      <c r="C34" s="52"/>
      <c r="D34" s="45"/>
      <c r="E34" s="45"/>
      <c r="F34" s="45"/>
      <c r="G34" s="52"/>
      <c r="H34" s="52"/>
      <c r="I34" s="45"/>
      <c r="J34" s="45"/>
      <c r="K34" s="45"/>
      <c r="L34" s="45"/>
      <c r="M34" s="45"/>
      <c r="N34" s="45"/>
      <c r="O34" s="45"/>
      <c r="P34" s="45"/>
      <c r="Q34" s="45"/>
      <c r="R34" s="45"/>
      <c r="S34" s="45"/>
      <c r="T34" s="45"/>
      <c r="U34" s="45"/>
      <c r="V34" s="45"/>
      <c r="W34" s="45"/>
      <c r="X34" s="45"/>
      <c r="Y34" s="45"/>
    </row>
    <row r="35" spans="1:25" ht="13.5" customHeight="1" x14ac:dyDescent="0.3">
      <c r="A35" s="45"/>
      <c r="B35" s="45"/>
      <c r="C35" s="52"/>
      <c r="D35" s="45"/>
      <c r="E35" s="45"/>
      <c r="F35" s="45"/>
      <c r="G35" s="52"/>
      <c r="H35" s="52"/>
      <c r="I35" s="45"/>
      <c r="J35" s="45"/>
      <c r="K35" s="45"/>
      <c r="L35" s="45"/>
      <c r="M35" s="45"/>
      <c r="N35" s="45"/>
      <c r="O35" s="45"/>
      <c r="P35" s="45"/>
      <c r="Q35" s="45"/>
      <c r="R35" s="45"/>
      <c r="S35" s="45"/>
      <c r="T35" s="45"/>
      <c r="U35" s="45"/>
      <c r="V35" s="45"/>
      <c r="W35" s="45"/>
      <c r="X35" s="45"/>
      <c r="Y35" s="45"/>
    </row>
    <row r="36" spans="1:25" ht="13.5" customHeight="1" x14ac:dyDescent="0.3">
      <c r="A36" s="45"/>
      <c r="B36" s="45"/>
      <c r="C36" s="52"/>
      <c r="D36" s="45"/>
      <c r="E36" s="45"/>
      <c r="F36" s="45"/>
      <c r="G36" s="52"/>
      <c r="H36" s="52"/>
      <c r="I36" s="45"/>
      <c r="J36" s="45"/>
      <c r="K36" s="45"/>
      <c r="L36" s="45"/>
      <c r="M36" s="45"/>
      <c r="N36" s="45"/>
      <c r="O36" s="45"/>
      <c r="P36" s="45"/>
      <c r="Q36" s="45"/>
      <c r="R36" s="45"/>
      <c r="S36" s="45"/>
      <c r="T36" s="45"/>
      <c r="U36" s="45"/>
      <c r="V36" s="45"/>
      <c r="W36" s="45"/>
      <c r="X36" s="45"/>
      <c r="Y36" s="45"/>
    </row>
    <row r="37" spans="1:25" ht="13.5" customHeight="1" x14ac:dyDescent="0.3">
      <c r="A37" s="45"/>
      <c r="B37" s="45"/>
      <c r="C37" s="52"/>
      <c r="D37" s="45"/>
      <c r="E37" s="45"/>
      <c r="F37" s="45"/>
      <c r="G37" s="52"/>
      <c r="H37" s="52"/>
      <c r="I37" s="45"/>
      <c r="J37" s="45"/>
      <c r="K37" s="45"/>
      <c r="L37" s="45"/>
      <c r="M37" s="45"/>
      <c r="N37" s="45"/>
      <c r="O37" s="45"/>
      <c r="P37" s="45"/>
      <c r="Q37" s="45"/>
      <c r="R37" s="45"/>
      <c r="S37" s="45"/>
      <c r="T37" s="45"/>
      <c r="U37" s="45"/>
      <c r="V37" s="45"/>
      <c r="W37" s="45"/>
      <c r="X37" s="45"/>
      <c r="Y37" s="45"/>
    </row>
    <row r="38" spans="1:25" ht="13.5" customHeight="1" x14ac:dyDescent="0.3">
      <c r="A38" s="45"/>
      <c r="B38" s="45"/>
      <c r="C38" s="52"/>
      <c r="D38" s="45"/>
      <c r="E38" s="45"/>
      <c r="F38" s="45"/>
      <c r="G38" s="52"/>
      <c r="H38" s="52"/>
      <c r="I38" s="45"/>
      <c r="J38" s="45"/>
      <c r="K38" s="45"/>
      <c r="L38" s="45"/>
      <c r="M38" s="45"/>
      <c r="N38" s="45"/>
      <c r="O38" s="45"/>
      <c r="P38" s="45"/>
      <c r="Q38" s="45"/>
      <c r="R38" s="45"/>
      <c r="S38" s="45"/>
      <c r="T38" s="45"/>
      <c r="U38" s="45"/>
      <c r="V38" s="45"/>
      <c r="W38" s="45"/>
      <c r="X38" s="45"/>
      <c r="Y38" s="45"/>
    </row>
    <row r="39" spans="1:25" ht="13.5" customHeight="1" x14ac:dyDescent="0.3">
      <c r="A39" s="45"/>
      <c r="B39" s="45"/>
      <c r="C39" s="52"/>
      <c r="D39" s="45"/>
      <c r="E39" s="45"/>
      <c r="F39" s="45"/>
      <c r="G39" s="52"/>
      <c r="H39" s="52"/>
      <c r="I39" s="45"/>
      <c r="J39" s="45"/>
      <c r="K39" s="45"/>
      <c r="L39" s="45"/>
      <c r="M39" s="45"/>
      <c r="N39" s="45"/>
      <c r="O39" s="45"/>
      <c r="P39" s="45"/>
      <c r="Q39" s="45"/>
      <c r="R39" s="45"/>
      <c r="S39" s="45"/>
      <c r="T39" s="45"/>
      <c r="U39" s="45"/>
      <c r="V39" s="45"/>
      <c r="W39" s="45"/>
      <c r="X39" s="45"/>
      <c r="Y39" s="45"/>
    </row>
    <row r="40" spans="1:25" ht="13.5" customHeight="1" x14ac:dyDescent="0.3">
      <c r="A40" s="45"/>
      <c r="B40" s="45"/>
      <c r="C40" s="52"/>
      <c r="D40" s="45"/>
      <c r="E40" s="45"/>
      <c r="F40" s="45"/>
      <c r="G40" s="52"/>
      <c r="H40" s="52"/>
      <c r="I40" s="45"/>
      <c r="J40" s="45"/>
      <c r="K40" s="45"/>
      <c r="L40" s="45"/>
      <c r="M40" s="45"/>
      <c r="N40" s="45"/>
      <c r="O40" s="45"/>
      <c r="P40" s="45"/>
      <c r="Q40" s="45"/>
      <c r="R40" s="45"/>
      <c r="S40" s="45"/>
      <c r="T40" s="45"/>
      <c r="U40" s="45"/>
      <c r="V40" s="45"/>
      <c r="W40" s="45"/>
      <c r="X40" s="45"/>
      <c r="Y40" s="45"/>
    </row>
    <row r="41" spans="1:25" ht="13.5" customHeight="1" x14ac:dyDescent="0.3">
      <c r="A41" s="45"/>
      <c r="B41" s="45"/>
      <c r="C41" s="52"/>
      <c r="D41" s="45"/>
      <c r="E41" s="45"/>
      <c r="F41" s="45"/>
      <c r="G41" s="52"/>
      <c r="H41" s="52"/>
      <c r="I41" s="45"/>
      <c r="J41" s="45"/>
      <c r="K41" s="45"/>
      <c r="L41" s="45"/>
      <c r="M41" s="45"/>
      <c r="N41" s="45"/>
      <c r="O41" s="45"/>
      <c r="P41" s="45"/>
      <c r="Q41" s="45"/>
      <c r="R41" s="45"/>
      <c r="S41" s="45"/>
      <c r="T41" s="45"/>
      <c r="U41" s="45"/>
      <c r="V41" s="45"/>
      <c r="W41" s="45"/>
      <c r="X41" s="45"/>
      <c r="Y41" s="45"/>
    </row>
    <row r="42" spans="1:25" ht="13.5" customHeight="1" x14ac:dyDescent="0.3">
      <c r="A42" s="45"/>
      <c r="B42" s="45"/>
      <c r="C42" s="52"/>
      <c r="D42" s="45"/>
      <c r="E42" s="45"/>
      <c r="F42" s="45"/>
      <c r="G42" s="52"/>
      <c r="H42" s="52"/>
      <c r="I42" s="45"/>
      <c r="J42" s="45"/>
      <c r="K42" s="45"/>
      <c r="L42" s="45"/>
      <c r="M42" s="45"/>
      <c r="N42" s="45"/>
      <c r="O42" s="45"/>
      <c r="P42" s="45"/>
      <c r="Q42" s="45"/>
      <c r="R42" s="45"/>
      <c r="S42" s="45"/>
      <c r="T42" s="45"/>
      <c r="U42" s="45"/>
      <c r="V42" s="45"/>
      <c r="W42" s="45"/>
      <c r="X42" s="45"/>
      <c r="Y42" s="45"/>
    </row>
    <row r="43" spans="1:25" ht="13.5" customHeight="1" x14ac:dyDescent="0.3">
      <c r="A43" s="45"/>
      <c r="B43" s="45"/>
      <c r="C43" s="52"/>
      <c r="D43" s="45"/>
      <c r="E43" s="45"/>
      <c r="F43" s="45"/>
      <c r="G43" s="52"/>
      <c r="H43" s="52"/>
      <c r="I43" s="45"/>
      <c r="J43" s="45"/>
      <c r="K43" s="45"/>
      <c r="L43" s="45"/>
      <c r="M43" s="45"/>
      <c r="N43" s="45"/>
      <c r="O43" s="45"/>
      <c r="P43" s="45"/>
      <c r="Q43" s="45"/>
      <c r="R43" s="45"/>
      <c r="S43" s="45"/>
      <c r="T43" s="45"/>
      <c r="U43" s="45"/>
      <c r="V43" s="45"/>
      <c r="W43" s="45"/>
      <c r="X43" s="45"/>
      <c r="Y43" s="45"/>
    </row>
    <row r="44" spans="1:25" ht="13.5" customHeight="1" x14ac:dyDescent="0.3">
      <c r="A44" s="45"/>
      <c r="B44" s="45"/>
      <c r="C44" s="52"/>
      <c r="D44" s="45"/>
      <c r="E44" s="45"/>
      <c r="F44" s="45"/>
      <c r="G44" s="52"/>
      <c r="H44" s="52"/>
      <c r="I44" s="45"/>
      <c r="J44" s="45"/>
      <c r="K44" s="45"/>
      <c r="L44" s="45"/>
      <c r="M44" s="45"/>
      <c r="N44" s="45"/>
      <c r="O44" s="45"/>
      <c r="P44" s="45"/>
      <c r="Q44" s="45"/>
      <c r="R44" s="45"/>
      <c r="S44" s="45"/>
      <c r="T44" s="45"/>
      <c r="U44" s="45"/>
      <c r="V44" s="45"/>
      <c r="W44" s="45"/>
      <c r="X44" s="45"/>
      <c r="Y44" s="45"/>
    </row>
    <row r="45" spans="1:25" ht="13.5" customHeight="1" x14ac:dyDescent="0.3">
      <c r="A45" s="45"/>
      <c r="B45" s="45"/>
      <c r="C45" s="52"/>
      <c r="D45" s="45"/>
      <c r="E45" s="45"/>
      <c r="F45" s="45"/>
      <c r="G45" s="52"/>
      <c r="H45" s="52"/>
      <c r="I45" s="45"/>
      <c r="J45" s="45"/>
      <c r="K45" s="45"/>
      <c r="L45" s="45"/>
      <c r="M45" s="45"/>
      <c r="N45" s="45"/>
      <c r="O45" s="45"/>
      <c r="P45" s="45"/>
      <c r="Q45" s="45"/>
      <c r="R45" s="45"/>
      <c r="S45" s="45"/>
      <c r="T45" s="45"/>
      <c r="U45" s="45"/>
      <c r="V45" s="45"/>
      <c r="W45" s="45"/>
      <c r="X45" s="45"/>
      <c r="Y45" s="45"/>
    </row>
    <row r="46" spans="1:25" ht="13.5" customHeight="1" x14ac:dyDescent="0.3">
      <c r="A46" s="45"/>
      <c r="B46" s="45"/>
      <c r="C46" s="52"/>
      <c r="D46" s="45"/>
      <c r="E46" s="45"/>
      <c r="F46" s="45"/>
      <c r="G46" s="52"/>
      <c r="H46" s="52"/>
      <c r="I46" s="45"/>
      <c r="J46" s="45"/>
      <c r="K46" s="45"/>
      <c r="L46" s="45"/>
      <c r="M46" s="45"/>
      <c r="N46" s="45"/>
      <c r="O46" s="45"/>
      <c r="P46" s="45"/>
      <c r="Q46" s="45"/>
      <c r="R46" s="45"/>
      <c r="S46" s="45"/>
      <c r="T46" s="45"/>
      <c r="U46" s="45"/>
      <c r="V46" s="45"/>
      <c r="W46" s="45"/>
      <c r="X46" s="45"/>
      <c r="Y46" s="45"/>
    </row>
    <row r="47" spans="1:25" ht="13.5" customHeight="1" x14ac:dyDescent="0.3">
      <c r="A47" s="45"/>
      <c r="B47" s="45"/>
      <c r="C47" s="52"/>
      <c r="D47" s="45"/>
      <c r="E47" s="45"/>
      <c r="F47" s="45"/>
      <c r="G47" s="52"/>
      <c r="H47" s="52"/>
      <c r="I47" s="45"/>
      <c r="J47" s="45"/>
      <c r="K47" s="45"/>
      <c r="L47" s="45"/>
      <c r="M47" s="45"/>
      <c r="N47" s="45"/>
      <c r="O47" s="45"/>
      <c r="P47" s="45"/>
      <c r="Q47" s="45"/>
      <c r="R47" s="45"/>
      <c r="S47" s="45"/>
      <c r="T47" s="45"/>
      <c r="U47" s="45"/>
      <c r="V47" s="45"/>
      <c r="W47" s="45"/>
      <c r="X47" s="45"/>
      <c r="Y47" s="45"/>
    </row>
    <row r="48" spans="1:25" ht="13.5" customHeight="1" x14ac:dyDescent="0.3">
      <c r="A48" s="45"/>
      <c r="B48" s="45"/>
      <c r="C48" s="52"/>
      <c r="D48" s="45"/>
      <c r="E48" s="45"/>
      <c r="F48" s="45"/>
      <c r="G48" s="52"/>
      <c r="H48" s="52"/>
      <c r="I48" s="45"/>
      <c r="J48" s="45"/>
      <c r="K48" s="45"/>
      <c r="L48" s="45"/>
      <c r="M48" s="45"/>
      <c r="N48" s="45"/>
      <c r="O48" s="45"/>
      <c r="P48" s="45"/>
      <c r="Q48" s="45"/>
      <c r="R48" s="45"/>
      <c r="S48" s="45"/>
      <c r="T48" s="45"/>
      <c r="U48" s="45"/>
      <c r="V48" s="45"/>
      <c r="W48" s="45"/>
      <c r="X48" s="45"/>
      <c r="Y48" s="45"/>
    </row>
    <row r="49" spans="1:25" ht="13.5" customHeight="1" x14ac:dyDescent="0.3">
      <c r="A49" s="45"/>
      <c r="B49" s="45"/>
      <c r="C49" s="52"/>
      <c r="D49" s="45"/>
      <c r="E49" s="45"/>
      <c r="F49" s="45"/>
      <c r="G49" s="52"/>
      <c r="H49" s="52"/>
      <c r="I49" s="45"/>
      <c r="J49" s="45"/>
      <c r="K49" s="45"/>
      <c r="L49" s="45"/>
      <c r="M49" s="45"/>
      <c r="N49" s="45"/>
      <c r="O49" s="45"/>
      <c r="P49" s="45"/>
      <c r="Q49" s="45"/>
      <c r="R49" s="45"/>
      <c r="S49" s="45"/>
      <c r="T49" s="45"/>
      <c r="U49" s="45"/>
      <c r="V49" s="45"/>
      <c r="W49" s="45"/>
      <c r="X49" s="45"/>
      <c r="Y49" s="45"/>
    </row>
    <row r="50" spans="1:25" ht="13.5" customHeight="1" x14ac:dyDescent="0.3">
      <c r="A50" s="45"/>
      <c r="B50" s="45"/>
      <c r="C50" s="52"/>
      <c r="D50" s="45"/>
      <c r="E50" s="45"/>
      <c r="F50" s="45"/>
      <c r="G50" s="52"/>
      <c r="H50" s="52"/>
      <c r="I50" s="45"/>
      <c r="J50" s="45"/>
      <c r="K50" s="45"/>
      <c r="L50" s="45"/>
      <c r="M50" s="45"/>
      <c r="N50" s="45"/>
      <c r="O50" s="45"/>
      <c r="P50" s="45"/>
      <c r="Q50" s="45"/>
      <c r="R50" s="45"/>
      <c r="S50" s="45"/>
      <c r="T50" s="45"/>
      <c r="U50" s="45"/>
      <c r="V50" s="45"/>
      <c r="W50" s="45"/>
      <c r="X50" s="45"/>
      <c r="Y50" s="45"/>
    </row>
    <row r="51" spans="1:25" ht="13.5" customHeight="1" x14ac:dyDescent="0.3">
      <c r="A51" s="45"/>
      <c r="B51" s="45"/>
      <c r="C51" s="52"/>
      <c r="D51" s="45"/>
      <c r="E51" s="45"/>
      <c r="F51" s="45"/>
      <c r="G51" s="52"/>
      <c r="H51" s="52"/>
      <c r="I51" s="45"/>
      <c r="J51" s="45"/>
      <c r="K51" s="45"/>
      <c r="L51" s="45"/>
      <c r="M51" s="45"/>
      <c r="N51" s="45"/>
      <c r="O51" s="45"/>
      <c r="P51" s="45"/>
      <c r="Q51" s="45"/>
      <c r="R51" s="45"/>
      <c r="S51" s="45"/>
      <c r="T51" s="45"/>
      <c r="U51" s="45"/>
      <c r="V51" s="45"/>
      <c r="W51" s="45"/>
      <c r="X51" s="45"/>
      <c r="Y51" s="45"/>
    </row>
    <row r="52" spans="1:25" ht="13.5" customHeight="1" x14ac:dyDescent="0.3">
      <c r="A52" s="45"/>
      <c r="B52" s="45"/>
      <c r="C52" s="52"/>
      <c r="D52" s="45"/>
      <c r="E52" s="45"/>
      <c r="F52" s="45"/>
      <c r="G52" s="52"/>
      <c r="H52" s="52"/>
      <c r="I52" s="45"/>
      <c r="J52" s="45"/>
      <c r="K52" s="45"/>
      <c r="L52" s="45"/>
      <c r="M52" s="45"/>
      <c r="N52" s="45"/>
      <c r="O52" s="45"/>
      <c r="P52" s="45"/>
      <c r="Q52" s="45"/>
      <c r="R52" s="45"/>
      <c r="S52" s="45"/>
      <c r="T52" s="45"/>
      <c r="U52" s="45"/>
      <c r="V52" s="45"/>
      <c r="W52" s="45"/>
      <c r="X52" s="45"/>
      <c r="Y52" s="45"/>
    </row>
    <row r="53" spans="1:25" ht="13.5" customHeight="1" x14ac:dyDescent="0.3">
      <c r="A53" s="45"/>
      <c r="B53" s="45"/>
      <c r="C53" s="52"/>
      <c r="D53" s="45"/>
      <c r="E53" s="45"/>
      <c r="F53" s="45"/>
      <c r="G53" s="52"/>
      <c r="H53" s="52"/>
      <c r="I53" s="45"/>
      <c r="J53" s="45"/>
      <c r="K53" s="45"/>
      <c r="L53" s="45"/>
      <c r="M53" s="45"/>
      <c r="N53" s="45"/>
      <c r="O53" s="45"/>
      <c r="P53" s="45"/>
      <c r="Q53" s="45"/>
      <c r="R53" s="45"/>
      <c r="S53" s="45"/>
      <c r="T53" s="45"/>
      <c r="U53" s="45"/>
      <c r="V53" s="45"/>
      <c r="W53" s="45"/>
      <c r="X53" s="45"/>
      <c r="Y53" s="45"/>
    </row>
    <row r="54" spans="1:25" ht="13.5" customHeight="1" x14ac:dyDescent="0.3">
      <c r="A54" s="45"/>
      <c r="B54" s="45"/>
      <c r="C54" s="52"/>
      <c r="D54" s="45"/>
      <c r="E54" s="45"/>
      <c r="F54" s="45"/>
      <c r="G54" s="52"/>
      <c r="H54" s="52"/>
      <c r="I54" s="45"/>
      <c r="J54" s="45"/>
      <c r="K54" s="45"/>
      <c r="L54" s="45"/>
      <c r="M54" s="45"/>
      <c r="N54" s="45"/>
      <c r="O54" s="45"/>
      <c r="P54" s="45"/>
      <c r="Q54" s="45"/>
      <c r="R54" s="45"/>
      <c r="S54" s="45"/>
      <c r="T54" s="45"/>
      <c r="U54" s="45"/>
      <c r="V54" s="45"/>
      <c r="W54" s="45"/>
      <c r="X54" s="45"/>
      <c r="Y54" s="45"/>
    </row>
    <row r="55" spans="1:25" ht="13.5" customHeight="1" x14ac:dyDescent="0.3">
      <c r="A55" s="45"/>
      <c r="B55" s="45"/>
      <c r="C55" s="52"/>
      <c r="D55" s="45"/>
      <c r="E55" s="45"/>
      <c r="F55" s="45"/>
      <c r="G55" s="52"/>
      <c r="H55" s="52"/>
      <c r="I55" s="45"/>
      <c r="J55" s="45"/>
      <c r="K55" s="45"/>
      <c r="L55" s="45"/>
      <c r="M55" s="45"/>
      <c r="N55" s="45"/>
      <c r="O55" s="45"/>
      <c r="P55" s="45"/>
      <c r="Q55" s="45"/>
      <c r="R55" s="45"/>
      <c r="S55" s="45"/>
      <c r="T55" s="45"/>
      <c r="U55" s="45"/>
      <c r="V55" s="45"/>
      <c r="W55" s="45"/>
      <c r="X55" s="45"/>
      <c r="Y55" s="45"/>
    </row>
    <row r="56" spans="1:25" ht="13.5" customHeight="1" x14ac:dyDescent="0.3">
      <c r="A56" s="45"/>
      <c r="B56" s="45"/>
      <c r="C56" s="52"/>
      <c r="D56" s="45"/>
      <c r="E56" s="45"/>
      <c r="F56" s="45"/>
      <c r="G56" s="52"/>
      <c r="H56" s="52"/>
      <c r="I56" s="45"/>
      <c r="J56" s="45"/>
      <c r="K56" s="45"/>
      <c r="L56" s="45"/>
      <c r="M56" s="45"/>
      <c r="N56" s="45"/>
      <c r="O56" s="45"/>
      <c r="P56" s="45"/>
      <c r="Q56" s="45"/>
      <c r="R56" s="45"/>
      <c r="S56" s="45"/>
      <c r="T56" s="45"/>
      <c r="U56" s="45"/>
      <c r="V56" s="45"/>
      <c r="W56" s="45"/>
      <c r="X56" s="45"/>
      <c r="Y56" s="45"/>
    </row>
    <row r="57" spans="1:25" ht="13.5" customHeight="1" x14ac:dyDescent="0.3">
      <c r="A57" s="45"/>
      <c r="B57" s="45"/>
      <c r="C57" s="52"/>
      <c r="D57" s="45"/>
      <c r="E57" s="45"/>
      <c r="F57" s="45"/>
      <c r="G57" s="52"/>
      <c r="H57" s="52"/>
      <c r="I57" s="45"/>
      <c r="J57" s="45"/>
      <c r="K57" s="45"/>
      <c r="L57" s="45"/>
      <c r="M57" s="45"/>
      <c r="N57" s="45"/>
      <c r="O57" s="45"/>
      <c r="P57" s="45"/>
      <c r="Q57" s="45"/>
      <c r="R57" s="45"/>
      <c r="S57" s="45"/>
      <c r="T57" s="45"/>
      <c r="U57" s="45"/>
      <c r="V57" s="45"/>
      <c r="W57" s="45"/>
      <c r="X57" s="45"/>
      <c r="Y57" s="45"/>
    </row>
    <row r="58" spans="1:25" ht="13.5" customHeight="1" x14ac:dyDescent="0.3">
      <c r="A58" s="45"/>
      <c r="B58" s="45"/>
      <c r="C58" s="52"/>
      <c r="D58" s="45"/>
      <c r="E58" s="45"/>
      <c r="F58" s="45"/>
      <c r="G58" s="52"/>
      <c r="H58" s="52"/>
      <c r="I58" s="45"/>
      <c r="J58" s="45"/>
      <c r="K58" s="45"/>
      <c r="L58" s="45"/>
      <c r="M58" s="45"/>
      <c r="N58" s="45"/>
      <c r="O58" s="45"/>
      <c r="P58" s="45"/>
      <c r="Q58" s="45"/>
      <c r="R58" s="45"/>
      <c r="S58" s="45"/>
      <c r="T58" s="45"/>
      <c r="U58" s="45"/>
      <c r="V58" s="45"/>
      <c r="W58" s="45"/>
      <c r="X58" s="45"/>
      <c r="Y58" s="45"/>
    </row>
    <row r="59" spans="1:25" ht="13.5" customHeight="1" x14ac:dyDescent="0.3">
      <c r="A59" s="45"/>
      <c r="B59" s="45"/>
      <c r="C59" s="52"/>
      <c r="D59" s="45"/>
      <c r="E59" s="45"/>
      <c r="F59" s="45"/>
      <c r="G59" s="52"/>
      <c r="H59" s="52"/>
      <c r="I59" s="45"/>
      <c r="J59" s="45"/>
      <c r="K59" s="45"/>
      <c r="L59" s="45"/>
      <c r="M59" s="45"/>
      <c r="N59" s="45"/>
      <c r="O59" s="45"/>
      <c r="P59" s="45"/>
      <c r="Q59" s="45"/>
      <c r="R59" s="45"/>
      <c r="S59" s="45"/>
      <c r="T59" s="45"/>
      <c r="U59" s="45"/>
      <c r="V59" s="45"/>
      <c r="W59" s="45"/>
      <c r="X59" s="45"/>
      <c r="Y59" s="45"/>
    </row>
    <row r="60" spans="1:25" ht="13.5" customHeight="1" x14ac:dyDescent="0.3">
      <c r="A60" s="45"/>
      <c r="B60" s="45"/>
      <c r="C60" s="52"/>
      <c r="D60" s="45"/>
      <c r="E60" s="45"/>
      <c r="F60" s="45"/>
      <c r="G60" s="52"/>
      <c r="H60" s="52"/>
      <c r="I60" s="45"/>
      <c r="J60" s="45"/>
      <c r="K60" s="45"/>
      <c r="L60" s="45"/>
      <c r="M60" s="45"/>
      <c r="N60" s="45"/>
      <c r="O60" s="45"/>
      <c r="P60" s="45"/>
      <c r="Q60" s="45"/>
      <c r="R60" s="45"/>
      <c r="S60" s="45"/>
      <c r="T60" s="45"/>
      <c r="U60" s="45"/>
      <c r="V60" s="45"/>
      <c r="W60" s="45"/>
      <c r="X60" s="45"/>
      <c r="Y60" s="45"/>
    </row>
    <row r="61" spans="1:25" ht="13.5" customHeight="1" x14ac:dyDescent="0.3">
      <c r="A61" s="45"/>
      <c r="B61" s="45"/>
      <c r="C61" s="52"/>
      <c r="D61" s="45"/>
      <c r="E61" s="45"/>
      <c r="F61" s="45"/>
      <c r="G61" s="52"/>
      <c r="H61" s="52"/>
      <c r="I61" s="45"/>
      <c r="J61" s="45"/>
      <c r="K61" s="45"/>
      <c r="L61" s="45"/>
      <c r="M61" s="45"/>
      <c r="N61" s="45"/>
      <c r="O61" s="45"/>
      <c r="P61" s="45"/>
      <c r="Q61" s="45"/>
      <c r="R61" s="45"/>
      <c r="S61" s="45"/>
      <c r="T61" s="45"/>
      <c r="U61" s="45"/>
      <c r="V61" s="45"/>
      <c r="W61" s="45"/>
      <c r="X61" s="45"/>
      <c r="Y61" s="45"/>
    </row>
    <row r="62" spans="1:25" ht="13.5" customHeight="1" x14ac:dyDescent="0.3">
      <c r="A62" s="45"/>
      <c r="B62" s="45"/>
      <c r="C62" s="52"/>
      <c r="D62" s="45"/>
      <c r="E62" s="45"/>
      <c r="F62" s="45"/>
      <c r="G62" s="52"/>
      <c r="H62" s="52"/>
      <c r="I62" s="45"/>
      <c r="J62" s="45"/>
      <c r="K62" s="45"/>
      <c r="L62" s="45"/>
      <c r="M62" s="45"/>
      <c r="N62" s="45"/>
      <c r="O62" s="45"/>
      <c r="P62" s="45"/>
      <c r="Q62" s="45"/>
      <c r="R62" s="45"/>
      <c r="S62" s="45"/>
      <c r="T62" s="45"/>
      <c r="U62" s="45"/>
      <c r="V62" s="45"/>
      <c r="W62" s="45"/>
      <c r="X62" s="45"/>
      <c r="Y62" s="45"/>
    </row>
    <row r="63" spans="1:25" ht="13.5" customHeight="1" x14ac:dyDescent="0.3">
      <c r="A63" s="45"/>
      <c r="B63" s="45"/>
      <c r="C63" s="52"/>
      <c r="D63" s="45"/>
      <c r="E63" s="45"/>
      <c r="F63" s="45"/>
      <c r="G63" s="52"/>
      <c r="H63" s="52"/>
      <c r="I63" s="45"/>
      <c r="J63" s="45"/>
      <c r="K63" s="45"/>
      <c r="L63" s="45"/>
      <c r="M63" s="45"/>
      <c r="N63" s="45"/>
      <c r="O63" s="45"/>
      <c r="P63" s="45"/>
      <c r="Q63" s="45"/>
      <c r="R63" s="45"/>
      <c r="S63" s="45"/>
      <c r="T63" s="45"/>
      <c r="U63" s="45"/>
      <c r="V63" s="45"/>
      <c r="W63" s="45"/>
      <c r="X63" s="45"/>
      <c r="Y63" s="45"/>
    </row>
    <row r="64" spans="1:25" ht="13.5" customHeight="1" x14ac:dyDescent="0.3">
      <c r="A64" s="45"/>
      <c r="B64" s="45"/>
      <c r="C64" s="52"/>
      <c r="D64" s="45"/>
      <c r="E64" s="45"/>
      <c r="F64" s="45"/>
      <c r="G64" s="52"/>
      <c r="H64" s="52"/>
      <c r="I64" s="45"/>
      <c r="J64" s="45"/>
      <c r="K64" s="45"/>
      <c r="L64" s="45"/>
      <c r="M64" s="45"/>
      <c r="N64" s="45"/>
      <c r="O64" s="45"/>
      <c r="P64" s="45"/>
      <c r="Q64" s="45"/>
      <c r="R64" s="45"/>
      <c r="S64" s="45"/>
      <c r="T64" s="45"/>
      <c r="U64" s="45"/>
      <c r="V64" s="45"/>
      <c r="W64" s="45"/>
      <c r="X64" s="45"/>
      <c r="Y64" s="45"/>
    </row>
    <row r="65" spans="1:25" ht="13.5" customHeight="1" x14ac:dyDescent="0.3">
      <c r="A65" s="45"/>
      <c r="B65" s="45"/>
      <c r="C65" s="52"/>
      <c r="D65" s="45"/>
      <c r="E65" s="45"/>
      <c r="F65" s="45"/>
      <c r="G65" s="52"/>
      <c r="H65" s="52"/>
      <c r="I65" s="45"/>
      <c r="J65" s="45"/>
      <c r="K65" s="45"/>
      <c r="L65" s="45"/>
      <c r="M65" s="45"/>
      <c r="N65" s="45"/>
      <c r="O65" s="45"/>
      <c r="P65" s="45"/>
      <c r="Q65" s="45"/>
      <c r="R65" s="45"/>
      <c r="S65" s="45"/>
      <c r="T65" s="45"/>
      <c r="U65" s="45"/>
      <c r="V65" s="45"/>
      <c r="W65" s="45"/>
      <c r="X65" s="45"/>
      <c r="Y65" s="45"/>
    </row>
    <row r="66" spans="1:25" ht="13.5" customHeight="1" x14ac:dyDescent="0.3">
      <c r="A66" s="45"/>
      <c r="B66" s="45"/>
      <c r="C66" s="52"/>
      <c r="D66" s="45"/>
      <c r="E66" s="45"/>
      <c r="F66" s="45"/>
      <c r="G66" s="52"/>
      <c r="H66" s="52"/>
      <c r="I66" s="45"/>
      <c r="J66" s="45"/>
      <c r="K66" s="45"/>
      <c r="L66" s="45"/>
      <c r="M66" s="45"/>
      <c r="N66" s="45"/>
      <c r="O66" s="45"/>
      <c r="P66" s="45"/>
      <c r="Q66" s="45"/>
      <c r="R66" s="45"/>
      <c r="S66" s="45"/>
      <c r="T66" s="45"/>
      <c r="U66" s="45"/>
      <c r="V66" s="45"/>
      <c r="W66" s="45"/>
      <c r="X66" s="45"/>
      <c r="Y66" s="45"/>
    </row>
    <row r="67" spans="1:25" ht="13.5" customHeight="1" x14ac:dyDescent="0.3">
      <c r="A67" s="45"/>
      <c r="B67" s="45"/>
      <c r="C67" s="52"/>
      <c r="D67" s="45"/>
      <c r="E67" s="45"/>
      <c r="F67" s="45"/>
      <c r="G67" s="52"/>
      <c r="H67" s="52"/>
      <c r="I67" s="45"/>
      <c r="J67" s="45"/>
      <c r="K67" s="45"/>
      <c r="L67" s="45"/>
      <c r="M67" s="45"/>
      <c r="N67" s="45"/>
      <c r="O67" s="45"/>
      <c r="P67" s="45"/>
      <c r="Q67" s="45"/>
      <c r="R67" s="45"/>
      <c r="S67" s="45"/>
      <c r="T67" s="45"/>
      <c r="U67" s="45"/>
      <c r="V67" s="45"/>
      <c r="W67" s="45"/>
      <c r="X67" s="45"/>
      <c r="Y67" s="45"/>
    </row>
    <row r="68" spans="1:25" ht="13.5" customHeight="1" x14ac:dyDescent="0.3">
      <c r="A68" s="45"/>
      <c r="B68" s="45"/>
      <c r="C68" s="52"/>
      <c r="D68" s="45"/>
      <c r="E68" s="45"/>
      <c r="F68" s="45"/>
      <c r="G68" s="52"/>
      <c r="H68" s="52"/>
      <c r="I68" s="45"/>
      <c r="J68" s="45"/>
      <c r="K68" s="45"/>
      <c r="L68" s="45"/>
      <c r="M68" s="45"/>
      <c r="N68" s="45"/>
      <c r="O68" s="45"/>
      <c r="P68" s="45"/>
      <c r="Q68" s="45"/>
      <c r="R68" s="45"/>
      <c r="S68" s="45"/>
      <c r="T68" s="45"/>
      <c r="U68" s="45"/>
      <c r="V68" s="45"/>
      <c r="W68" s="45"/>
      <c r="X68" s="45"/>
      <c r="Y68" s="45"/>
    </row>
    <row r="69" spans="1:25" ht="13.5" customHeight="1" x14ac:dyDescent="0.3">
      <c r="A69" s="45"/>
      <c r="B69" s="45"/>
      <c r="C69" s="52"/>
      <c r="D69" s="45"/>
      <c r="E69" s="45"/>
      <c r="F69" s="45"/>
      <c r="G69" s="52"/>
      <c r="H69" s="52"/>
      <c r="I69" s="45"/>
      <c r="J69" s="45"/>
      <c r="K69" s="45"/>
      <c r="L69" s="45"/>
      <c r="M69" s="45"/>
      <c r="N69" s="45"/>
      <c r="O69" s="45"/>
      <c r="P69" s="45"/>
      <c r="Q69" s="45"/>
      <c r="R69" s="45"/>
      <c r="S69" s="45"/>
      <c r="T69" s="45"/>
      <c r="U69" s="45"/>
      <c r="V69" s="45"/>
      <c r="W69" s="45"/>
      <c r="X69" s="45"/>
      <c r="Y69" s="45"/>
    </row>
    <row r="70" spans="1:25" ht="13.5" customHeight="1" x14ac:dyDescent="0.3">
      <c r="A70" s="45"/>
      <c r="B70" s="45"/>
      <c r="C70" s="52"/>
      <c r="D70" s="45"/>
      <c r="E70" s="45"/>
      <c r="F70" s="45"/>
      <c r="G70" s="52"/>
      <c r="H70" s="52"/>
      <c r="I70" s="45"/>
      <c r="J70" s="45"/>
      <c r="K70" s="45"/>
      <c r="L70" s="45"/>
      <c r="M70" s="45"/>
      <c r="N70" s="45"/>
      <c r="O70" s="45"/>
      <c r="P70" s="45"/>
      <c r="Q70" s="45"/>
      <c r="R70" s="45"/>
      <c r="S70" s="45"/>
      <c r="T70" s="45"/>
      <c r="U70" s="45"/>
      <c r="V70" s="45"/>
      <c r="W70" s="45"/>
      <c r="X70" s="45"/>
      <c r="Y70" s="45"/>
    </row>
    <row r="71" spans="1:25" ht="13.5" customHeight="1" x14ac:dyDescent="0.3">
      <c r="A71" s="45"/>
      <c r="B71" s="45"/>
      <c r="C71" s="52"/>
      <c r="D71" s="45"/>
      <c r="E71" s="45"/>
      <c r="F71" s="45"/>
      <c r="G71" s="52"/>
      <c r="H71" s="52"/>
      <c r="I71" s="45"/>
      <c r="J71" s="45"/>
      <c r="K71" s="45"/>
      <c r="L71" s="45"/>
      <c r="M71" s="45"/>
      <c r="N71" s="45"/>
      <c r="O71" s="45"/>
      <c r="P71" s="45"/>
      <c r="Q71" s="45"/>
      <c r="R71" s="45"/>
      <c r="S71" s="45"/>
      <c r="T71" s="45"/>
      <c r="U71" s="45"/>
      <c r="V71" s="45"/>
      <c r="W71" s="45"/>
      <c r="X71" s="45"/>
      <c r="Y71" s="45"/>
    </row>
    <row r="72" spans="1:25" ht="13.5" customHeight="1" x14ac:dyDescent="0.3">
      <c r="A72" s="45"/>
      <c r="B72" s="45"/>
      <c r="C72" s="52"/>
      <c r="D72" s="45"/>
      <c r="E72" s="45"/>
      <c r="F72" s="45"/>
      <c r="G72" s="52"/>
      <c r="H72" s="52"/>
      <c r="I72" s="45"/>
      <c r="J72" s="45"/>
      <c r="K72" s="45"/>
      <c r="L72" s="45"/>
      <c r="M72" s="45"/>
      <c r="N72" s="45"/>
      <c r="O72" s="45"/>
      <c r="P72" s="45"/>
      <c r="Q72" s="45"/>
      <c r="R72" s="45"/>
      <c r="S72" s="45"/>
      <c r="T72" s="45"/>
      <c r="U72" s="45"/>
      <c r="V72" s="45"/>
      <c r="W72" s="45"/>
      <c r="X72" s="45"/>
      <c r="Y72" s="45"/>
    </row>
    <row r="73" spans="1:25" ht="13.5" customHeight="1" x14ac:dyDescent="0.3">
      <c r="A73" s="45"/>
      <c r="B73" s="45"/>
      <c r="C73" s="52"/>
      <c r="D73" s="45"/>
      <c r="E73" s="45"/>
      <c r="F73" s="45"/>
      <c r="G73" s="52"/>
      <c r="H73" s="52"/>
      <c r="I73" s="45"/>
      <c r="J73" s="45"/>
      <c r="K73" s="45"/>
      <c r="L73" s="45"/>
      <c r="M73" s="45"/>
      <c r="N73" s="45"/>
      <c r="O73" s="45"/>
      <c r="P73" s="45"/>
      <c r="Q73" s="45"/>
      <c r="R73" s="45"/>
      <c r="S73" s="45"/>
      <c r="T73" s="45"/>
      <c r="U73" s="45"/>
      <c r="V73" s="45"/>
      <c r="W73" s="45"/>
      <c r="X73" s="45"/>
      <c r="Y73" s="45"/>
    </row>
    <row r="74" spans="1:25" ht="13.5" customHeight="1" x14ac:dyDescent="0.3">
      <c r="A74" s="45"/>
      <c r="B74" s="45"/>
      <c r="C74" s="52"/>
      <c r="D74" s="45"/>
      <c r="E74" s="45"/>
      <c r="F74" s="45"/>
      <c r="G74" s="52"/>
      <c r="H74" s="52"/>
      <c r="I74" s="45"/>
      <c r="J74" s="45"/>
      <c r="K74" s="45"/>
      <c r="L74" s="45"/>
      <c r="M74" s="45"/>
      <c r="N74" s="45"/>
      <c r="O74" s="45"/>
      <c r="P74" s="45"/>
      <c r="Q74" s="45"/>
      <c r="R74" s="45"/>
      <c r="S74" s="45"/>
      <c r="T74" s="45"/>
      <c r="U74" s="45"/>
      <c r="V74" s="45"/>
      <c r="W74" s="45"/>
      <c r="X74" s="45"/>
      <c r="Y74" s="45"/>
    </row>
    <row r="75" spans="1:25" ht="13.5" customHeight="1" x14ac:dyDescent="0.3">
      <c r="A75" s="45"/>
      <c r="B75" s="45"/>
      <c r="C75" s="52"/>
      <c r="D75" s="45"/>
      <c r="E75" s="45"/>
      <c r="F75" s="45"/>
      <c r="G75" s="52"/>
      <c r="H75" s="52"/>
      <c r="I75" s="45"/>
      <c r="J75" s="45"/>
      <c r="K75" s="45"/>
      <c r="L75" s="45"/>
      <c r="M75" s="45"/>
      <c r="N75" s="45"/>
      <c r="O75" s="45"/>
      <c r="P75" s="45"/>
      <c r="Q75" s="45"/>
      <c r="R75" s="45"/>
      <c r="S75" s="45"/>
      <c r="T75" s="45"/>
      <c r="U75" s="45"/>
      <c r="V75" s="45"/>
      <c r="W75" s="45"/>
      <c r="X75" s="45"/>
      <c r="Y75" s="45"/>
    </row>
    <row r="76" spans="1:25" ht="13.5" customHeight="1" x14ac:dyDescent="0.3">
      <c r="A76" s="45"/>
      <c r="B76" s="45"/>
      <c r="C76" s="52"/>
      <c r="D76" s="45"/>
      <c r="E76" s="45"/>
      <c r="F76" s="45"/>
      <c r="G76" s="52"/>
      <c r="H76" s="52"/>
      <c r="I76" s="45"/>
      <c r="J76" s="45"/>
      <c r="K76" s="45"/>
      <c r="L76" s="45"/>
      <c r="M76" s="45"/>
      <c r="N76" s="45"/>
      <c r="O76" s="45"/>
      <c r="P76" s="45"/>
      <c r="Q76" s="45"/>
      <c r="R76" s="45"/>
      <c r="S76" s="45"/>
      <c r="T76" s="45"/>
      <c r="U76" s="45"/>
      <c r="V76" s="45"/>
      <c r="W76" s="45"/>
      <c r="X76" s="45"/>
      <c r="Y76" s="45"/>
    </row>
    <row r="77" spans="1:25" ht="13.5" customHeight="1" x14ac:dyDescent="0.3">
      <c r="A77" s="45"/>
      <c r="B77" s="45"/>
      <c r="C77" s="52"/>
      <c r="D77" s="45"/>
      <c r="E77" s="45"/>
      <c r="F77" s="45"/>
      <c r="G77" s="52"/>
      <c r="H77" s="52"/>
      <c r="I77" s="45"/>
      <c r="J77" s="45"/>
      <c r="K77" s="45"/>
      <c r="L77" s="45"/>
      <c r="M77" s="45"/>
      <c r="N77" s="45"/>
      <c r="O77" s="45"/>
      <c r="P77" s="45"/>
      <c r="Q77" s="45"/>
      <c r="R77" s="45"/>
      <c r="S77" s="45"/>
      <c r="T77" s="45"/>
      <c r="U77" s="45"/>
      <c r="V77" s="45"/>
      <c r="W77" s="45"/>
      <c r="X77" s="45"/>
      <c r="Y77" s="45"/>
    </row>
    <row r="78" spans="1:25" ht="13.5" customHeight="1" x14ac:dyDescent="0.3">
      <c r="A78" s="45"/>
      <c r="B78" s="45"/>
      <c r="C78" s="52"/>
      <c r="D78" s="45"/>
      <c r="E78" s="45"/>
      <c r="F78" s="45"/>
      <c r="G78" s="52"/>
      <c r="H78" s="52"/>
      <c r="I78" s="45"/>
      <c r="J78" s="45"/>
      <c r="K78" s="45"/>
      <c r="L78" s="45"/>
      <c r="M78" s="45"/>
      <c r="N78" s="45"/>
      <c r="O78" s="45"/>
      <c r="P78" s="45"/>
      <c r="Q78" s="45"/>
      <c r="R78" s="45"/>
      <c r="S78" s="45"/>
      <c r="T78" s="45"/>
      <c r="U78" s="45"/>
      <c r="V78" s="45"/>
      <c r="W78" s="45"/>
      <c r="X78" s="45"/>
      <c r="Y78" s="45"/>
    </row>
    <row r="79" spans="1:25" ht="13.5" customHeight="1" x14ac:dyDescent="0.3">
      <c r="A79" s="45"/>
      <c r="B79" s="45"/>
      <c r="C79" s="52"/>
      <c r="D79" s="45"/>
      <c r="E79" s="45"/>
      <c r="F79" s="45"/>
      <c r="G79" s="52"/>
      <c r="H79" s="52"/>
      <c r="I79" s="45"/>
      <c r="J79" s="45"/>
      <c r="K79" s="45"/>
      <c r="L79" s="45"/>
      <c r="M79" s="45"/>
      <c r="N79" s="45"/>
      <c r="O79" s="45"/>
      <c r="P79" s="45"/>
      <c r="Q79" s="45"/>
      <c r="R79" s="45"/>
      <c r="S79" s="45"/>
      <c r="T79" s="45"/>
      <c r="U79" s="45"/>
      <c r="V79" s="45"/>
      <c r="W79" s="45"/>
      <c r="X79" s="45"/>
      <c r="Y79" s="45"/>
    </row>
    <row r="80" spans="1:25" ht="13.5" customHeight="1" x14ac:dyDescent="0.3">
      <c r="A80" s="45"/>
      <c r="B80" s="45"/>
      <c r="C80" s="52"/>
      <c r="D80" s="45"/>
      <c r="E80" s="45"/>
      <c r="F80" s="45"/>
      <c r="G80" s="52"/>
      <c r="H80" s="52"/>
      <c r="I80" s="45"/>
      <c r="J80" s="45"/>
      <c r="K80" s="45"/>
      <c r="L80" s="45"/>
      <c r="M80" s="45"/>
      <c r="N80" s="45"/>
      <c r="O80" s="45"/>
      <c r="P80" s="45"/>
      <c r="Q80" s="45"/>
      <c r="R80" s="45"/>
      <c r="S80" s="45"/>
      <c r="T80" s="45"/>
      <c r="U80" s="45"/>
      <c r="V80" s="45"/>
      <c r="W80" s="45"/>
      <c r="X80" s="45"/>
      <c r="Y80" s="45"/>
    </row>
    <row r="81" spans="1:25" ht="13.5" customHeight="1" x14ac:dyDescent="0.3">
      <c r="A81" s="45"/>
      <c r="B81" s="45"/>
      <c r="C81" s="52"/>
      <c r="D81" s="45"/>
      <c r="E81" s="45"/>
      <c r="F81" s="45"/>
      <c r="G81" s="52"/>
      <c r="H81" s="52"/>
      <c r="I81" s="45"/>
      <c r="J81" s="45"/>
      <c r="K81" s="45"/>
      <c r="L81" s="45"/>
      <c r="M81" s="45"/>
      <c r="N81" s="45"/>
      <c r="O81" s="45"/>
      <c r="P81" s="45"/>
      <c r="Q81" s="45"/>
      <c r="R81" s="45"/>
      <c r="S81" s="45"/>
      <c r="T81" s="45"/>
      <c r="U81" s="45"/>
      <c r="V81" s="45"/>
      <c r="W81" s="45"/>
      <c r="X81" s="45"/>
      <c r="Y81" s="45"/>
    </row>
    <row r="82" spans="1:25" ht="13.5" customHeight="1" x14ac:dyDescent="0.3">
      <c r="A82" s="45"/>
      <c r="B82" s="45"/>
      <c r="C82" s="52"/>
      <c r="D82" s="45"/>
      <c r="E82" s="45"/>
      <c r="F82" s="45"/>
      <c r="G82" s="52"/>
      <c r="H82" s="52"/>
      <c r="I82" s="45"/>
      <c r="J82" s="45"/>
      <c r="K82" s="45"/>
      <c r="L82" s="45"/>
      <c r="M82" s="45"/>
      <c r="N82" s="45"/>
      <c r="O82" s="45"/>
      <c r="P82" s="45"/>
      <c r="Q82" s="45"/>
      <c r="R82" s="45"/>
      <c r="S82" s="45"/>
      <c r="T82" s="45"/>
      <c r="U82" s="45"/>
      <c r="V82" s="45"/>
      <c r="W82" s="45"/>
      <c r="X82" s="45"/>
      <c r="Y82" s="45"/>
    </row>
    <row r="83" spans="1:25" ht="13.5" customHeight="1" x14ac:dyDescent="0.3">
      <c r="A83" s="45"/>
      <c r="B83" s="45"/>
      <c r="C83" s="52"/>
      <c r="D83" s="45"/>
      <c r="E83" s="45"/>
      <c r="F83" s="45"/>
      <c r="G83" s="52"/>
      <c r="H83" s="52"/>
      <c r="I83" s="45"/>
      <c r="J83" s="45"/>
      <c r="K83" s="45"/>
      <c r="L83" s="45"/>
      <c r="M83" s="45"/>
      <c r="N83" s="45"/>
      <c r="O83" s="45"/>
      <c r="P83" s="45"/>
      <c r="Q83" s="45"/>
      <c r="R83" s="45"/>
      <c r="S83" s="45"/>
      <c r="T83" s="45"/>
      <c r="U83" s="45"/>
      <c r="V83" s="45"/>
      <c r="W83" s="45"/>
      <c r="X83" s="45"/>
      <c r="Y83" s="45"/>
    </row>
    <row r="84" spans="1:25" ht="13.5" customHeight="1" x14ac:dyDescent="0.3">
      <c r="A84" s="45"/>
      <c r="B84" s="45"/>
      <c r="C84" s="52"/>
      <c r="D84" s="45"/>
      <c r="E84" s="45"/>
      <c r="F84" s="45"/>
      <c r="G84" s="52"/>
      <c r="H84" s="52"/>
      <c r="I84" s="45"/>
      <c r="J84" s="45"/>
      <c r="K84" s="45"/>
      <c r="L84" s="45"/>
      <c r="M84" s="45"/>
      <c r="N84" s="45"/>
      <c r="O84" s="45"/>
      <c r="P84" s="45"/>
      <c r="Q84" s="45"/>
      <c r="R84" s="45"/>
      <c r="S84" s="45"/>
      <c r="T84" s="45"/>
      <c r="U84" s="45"/>
      <c r="V84" s="45"/>
      <c r="W84" s="45"/>
      <c r="X84" s="45"/>
      <c r="Y84" s="45"/>
    </row>
    <row r="85" spans="1:25" ht="13.5" customHeight="1" x14ac:dyDescent="0.3">
      <c r="A85" s="45"/>
      <c r="B85" s="45"/>
      <c r="C85" s="52"/>
      <c r="D85" s="45"/>
      <c r="E85" s="45"/>
      <c r="F85" s="45"/>
      <c r="G85" s="52"/>
      <c r="H85" s="52"/>
      <c r="I85" s="45"/>
      <c r="J85" s="45"/>
      <c r="K85" s="45"/>
      <c r="L85" s="45"/>
      <c r="M85" s="45"/>
      <c r="N85" s="45"/>
      <c r="O85" s="45"/>
      <c r="P85" s="45"/>
      <c r="Q85" s="45"/>
      <c r="R85" s="45"/>
      <c r="S85" s="45"/>
      <c r="T85" s="45"/>
      <c r="U85" s="45"/>
      <c r="V85" s="45"/>
      <c r="W85" s="45"/>
      <c r="X85" s="45"/>
      <c r="Y85" s="45"/>
    </row>
    <row r="86" spans="1:25" ht="13.5" customHeight="1" x14ac:dyDescent="0.3">
      <c r="A86" s="45"/>
      <c r="B86" s="45"/>
      <c r="C86" s="52"/>
      <c r="D86" s="45"/>
      <c r="E86" s="45"/>
      <c r="F86" s="45"/>
      <c r="G86" s="52"/>
      <c r="H86" s="52"/>
      <c r="I86" s="45"/>
      <c r="J86" s="45"/>
      <c r="K86" s="45"/>
      <c r="L86" s="45"/>
      <c r="M86" s="45"/>
      <c r="N86" s="45"/>
      <c r="O86" s="45"/>
      <c r="P86" s="45"/>
      <c r="Q86" s="45"/>
      <c r="R86" s="45"/>
      <c r="S86" s="45"/>
      <c r="T86" s="45"/>
      <c r="U86" s="45"/>
      <c r="V86" s="45"/>
      <c r="W86" s="45"/>
      <c r="X86" s="45"/>
      <c r="Y86" s="45"/>
    </row>
    <row r="87" spans="1:25" ht="13.5" customHeight="1" x14ac:dyDescent="0.3">
      <c r="A87" s="45"/>
      <c r="B87" s="45"/>
      <c r="C87" s="52"/>
      <c r="D87" s="45"/>
      <c r="E87" s="45"/>
      <c r="F87" s="45"/>
      <c r="G87" s="52"/>
      <c r="H87" s="52"/>
      <c r="I87" s="45"/>
      <c r="J87" s="45"/>
      <c r="K87" s="45"/>
      <c r="L87" s="45"/>
      <c r="M87" s="45"/>
      <c r="N87" s="45"/>
      <c r="O87" s="45"/>
      <c r="P87" s="45"/>
      <c r="Q87" s="45"/>
      <c r="R87" s="45"/>
      <c r="S87" s="45"/>
      <c r="T87" s="45"/>
      <c r="U87" s="45"/>
      <c r="V87" s="45"/>
      <c r="W87" s="45"/>
      <c r="X87" s="45"/>
      <c r="Y87" s="45"/>
    </row>
    <row r="88" spans="1:25" ht="13.5" customHeight="1" x14ac:dyDescent="0.3">
      <c r="A88" s="45"/>
      <c r="B88" s="45"/>
      <c r="C88" s="52"/>
      <c r="D88" s="45"/>
      <c r="E88" s="45"/>
      <c r="F88" s="45"/>
      <c r="G88" s="52"/>
      <c r="H88" s="52"/>
      <c r="I88" s="45"/>
      <c r="J88" s="45"/>
      <c r="K88" s="45"/>
      <c r="L88" s="45"/>
      <c r="M88" s="45"/>
      <c r="N88" s="45"/>
      <c r="O88" s="45"/>
      <c r="P88" s="45"/>
      <c r="Q88" s="45"/>
      <c r="R88" s="45"/>
      <c r="S88" s="45"/>
      <c r="T88" s="45"/>
      <c r="U88" s="45"/>
      <c r="V88" s="45"/>
      <c r="W88" s="45"/>
      <c r="X88" s="45"/>
      <c r="Y88" s="45"/>
    </row>
    <row r="89" spans="1:25" ht="13.5" customHeight="1" x14ac:dyDescent="0.3">
      <c r="A89" s="45"/>
      <c r="B89" s="45"/>
      <c r="C89" s="52"/>
      <c r="D89" s="45"/>
      <c r="E89" s="45"/>
      <c r="F89" s="45"/>
      <c r="G89" s="52"/>
      <c r="H89" s="52"/>
      <c r="I89" s="45"/>
      <c r="J89" s="45"/>
      <c r="K89" s="45"/>
      <c r="L89" s="45"/>
      <c r="M89" s="45"/>
      <c r="N89" s="45"/>
      <c r="O89" s="45"/>
      <c r="P89" s="45"/>
      <c r="Q89" s="45"/>
      <c r="R89" s="45"/>
      <c r="S89" s="45"/>
      <c r="T89" s="45"/>
      <c r="U89" s="45"/>
      <c r="V89" s="45"/>
      <c r="W89" s="45"/>
      <c r="X89" s="45"/>
      <c r="Y89" s="45"/>
    </row>
    <row r="90" spans="1:25" ht="13.5" customHeight="1" x14ac:dyDescent="0.3">
      <c r="A90" s="45"/>
      <c r="B90" s="45"/>
      <c r="C90" s="52"/>
      <c r="D90" s="45"/>
      <c r="E90" s="45"/>
      <c r="F90" s="45"/>
      <c r="G90" s="52"/>
      <c r="H90" s="52"/>
      <c r="I90" s="45"/>
      <c r="J90" s="45"/>
      <c r="K90" s="45"/>
      <c r="L90" s="45"/>
      <c r="M90" s="45"/>
      <c r="N90" s="45"/>
      <c r="O90" s="45"/>
      <c r="P90" s="45"/>
      <c r="Q90" s="45"/>
      <c r="R90" s="45"/>
      <c r="S90" s="45"/>
      <c r="T90" s="45"/>
      <c r="U90" s="45"/>
      <c r="V90" s="45"/>
      <c r="W90" s="45"/>
      <c r="X90" s="45"/>
      <c r="Y90" s="45"/>
    </row>
    <row r="91" spans="1:25" ht="13.5" customHeight="1" x14ac:dyDescent="0.3">
      <c r="A91" s="45"/>
      <c r="B91" s="45"/>
      <c r="C91" s="52"/>
      <c r="D91" s="45"/>
      <c r="E91" s="45"/>
      <c r="F91" s="45"/>
      <c r="G91" s="52"/>
      <c r="H91" s="52"/>
      <c r="I91" s="45"/>
      <c r="J91" s="45"/>
      <c r="K91" s="45"/>
      <c r="L91" s="45"/>
      <c r="M91" s="45"/>
      <c r="N91" s="45"/>
      <c r="O91" s="45"/>
      <c r="P91" s="45"/>
      <c r="Q91" s="45"/>
      <c r="R91" s="45"/>
      <c r="S91" s="45"/>
      <c r="T91" s="45"/>
      <c r="U91" s="45"/>
      <c r="V91" s="45"/>
      <c r="W91" s="45"/>
      <c r="X91" s="45"/>
      <c r="Y91" s="45"/>
    </row>
    <row r="92" spans="1:25" ht="13.5" customHeight="1" x14ac:dyDescent="0.3">
      <c r="A92" s="45"/>
      <c r="B92" s="45"/>
      <c r="C92" s="52"/>
      <c r="D92" s="45"/>
      <c r="E92" s="45"/>
      <c r="F92" s="45"/>
      <c r="G92" s="52"/>
      <c r="H92" s="52"/>
      <c r="I92" s="45"/>
      <c r="J92" s="45"/>
      <c r="K92" s="45"/>
      <c r="L92" s="45"/>
      <c r="M92" s="45"/>
      <c r="N92" s="45"/>
      <c r="O92" s="45"/>
      <c r="P92" s="45"/>
      <c r="Q92" s="45"/>
      <c r="R92" s="45"/>
      <c r="S92" s="45"/>
      <c r="T92" s="45"/>
      <c r="U92" s="45"/>
      <c r="V92" s="45"/>
      <c r="W92" s="45"/>
      <c r="X92" s="45"/>
      <c r="Y92" s="45"/>
    </row>
    <row r="93" spans="1:25" ht="13.5" customHeight="1" x14ac:dyDescent="0.3">
      <c r="A93" s="45"/>
      <c r="B93" s="45"/>
      <c r="C93" s="52"/>
      <c r="D93" s="45"/>
      <c r="E93" s="45"/>
      <c r="F93" s="45"/>
      <c r="G93" s="52"/>
      <c r="H93" s="52"/>
      <c r="I93" s="45"/>
      <c r="J93" s="45"/>
      <c r="K93" s="45"/>
      <c r="L93" s="45"/>
      <c r="M93" s="45"/>
      <c r="N93" s="45"/>
      <c r="O93" s="45"/>
      <c r="P93" s="45"/>
      <c r="Q93" s="45"/>
      <c r="R93" s="45"/>
      <c r="S93" s="45"/>
      <c r="T93" s="45"/>
      <c r="U93" s="45"/>
      <c r="V93" s="45"/>
      <c r="W93" s="45"/>
      <c r="X93" s="45"/>
      <c r="Y93" s="45"/>
    </row>
    <row r="94" spans="1:25" ht="13.5" customHeight="1" x14ac:dyDescent="0.3">
      <c r="A94" s="45"/>
      <c r="B94" s="45"/>
      <c r="C94" s="52"/>
      <c r="D94" s="45"/>
      <c r="E94" s="45"/>
      <c r="F94" s="45"/>
      <c r="G94" s="52"/>
      <c r="H94" s="52"/>
      <c r="I94" s="45"/>
      <c r="J94" s="45"/>
      <c r="K94" s="45"/>
      <c r="L94" s="45"/>
      <c r="M94" s="45"/>
      <c r="N94" s="45"/>
      <c r="O94" s="45"/>
      <c r="P94" s="45"/>
      <c r="Q94" s="45"/>
      <c r="R94" s="45"/>
      <c r="S94" s="45"/>
      <c r="T94" s="45"/>
      <c r="U94" s="45"/>
      <c r="V94" s="45"/>
      <c r="W94" s="45"/>
      <c r="X94" s="45"/>
      <c r="Y94" s="45"/>
    </row>
    <row r="95" spans="1:25" ht="13.5" customHeight="1" x14ac:dyDescent="0.3">
      <c r="A95" s="45"/>
      <c r="B95" s="45"/>
      <c r="C95" s="52"/>
      <c r="D95" s="45"/>
      <c r="E95" s="45"/>
      <c r="F95" s="45"/>
      <c r="G95" s="52"/>
      <c r="H95" s="52"/>
      <c r="I95" s="45"/>
      <c r="J95" s="45"/>
      <c r="K95" s="45"/>
      <c r="L95" s="45"/>
      <c r="M95" s="45"/>
      <c r="N95" s="45"/>
      <c r="O95" s="45"/>
      <c r="P95" s="45"/>
      <c r="Q95" s="45"/>
      <c r="R95" s="45"/>
      <c r="S95" s="45"/>
      <c r="T95" s="45"/>
      <c r="U95" s="45"/>
      <c r="V95" s="45"/>
      <c r="W95" s="45"/>
      <c r="X95" s="45"/>
      <c r="Y95" s="45"/>
    </row>
    <row r="96" spans="1:25" ht="13.5" customHeight="1" x14ac:dyDescent="0.3">
      <c r="A96" s="45"/>
      <c r="B96" s="45"/>
      <c r="C96" s="52"/>
      <c r="D96" s="45"/>
      <c r="E96" s="45"/>
      <c r="F96" s="45"/>
      <c r="G96" s="52"/>
      <c r="H96" s="52"/>
      <c r="I96" s="45"/>
      <c r="J96" s="45"/>
      <c r="K96" s="45"/>
      <c r="L96" s="45"/>
      <c r="M96" s="45"/>
      <c r="N96" s="45"/>
      <c r="O96" s="45"/>
      <c r="P96" s="45"/>
      <c r="Q96" s="45"/>
      <c r="R96" s="45"/>
      <c r="S96" s="45"/>
      <c r="T96" s="45"/>
      <c r="U96" s="45"/>
      <c r="V96" s="45"/>
      <c r="W96" s="45"/>
      <c r="X96" s="45"/>
      <c r="Y96" s="45"/>
    </row>
    <row r="97" spans="1:25" ht="13.5" customHeight="1" x14ac:dyDescent="0.3">
      <c r="A97" s="45"/>
      <c r="B97" s="45"/>
      <c r="C97" s="52"/>
      <c r="D97" s="45"/>
      <c r="E97" s="45"/>
      <c r="F97" s="45"/>
      <c r="G97" s="52"/>
      <c r="H97" s="52"/>
      <c r="I97" s="45"/>
      <c r="J97" s="45"/>
      <c r="K97" s="45"/>
      <c r="L97" s="45"/>
      <c r="M97" s="45"/>
      <c r="N97" s="45"/>
      <c r="O97" s="45"/>
      <c r="P97" s="45"/>
      <c r="Q97" s="45"/>
      <c r="R97" s="45"/>
      <c r="S97" s="45"/>
      <c r="T97" s="45"/>
      <c r="U97" s="45"/>
      <c r="V97" s="45"/>
      <c r="W97" s="45"/>
      <c r="X97" s="45"/>
      <c r="Y97" s="45"/>
    </row>
    <row r="98" spans="1:25" ht="13.5" customHeight="1" x14ac:dyDescent="0.3">
      <c r="A98" s="45"/>
      <c r="B98" s="45"/>
      <c r="C98" s="52"/>
      <c r="D98" s="45"/>
      <c r="E98" s="45"/>
      <c r="F98" s="45"/>
      <c r="G98" s="52"/>
      <c r="H98" s="52"/>
      <c r="I98" s="45"/>
      <c r="J98" s="45"/>
      <c r="K98" s="45"/>
      <c r="L98" s="45"/>
      <c r="M98" s="45"/>
      <c r="N98" s="45"/>
      <c r="O98" s="45"/>
      <c r="P98" s="45"/>
      <c r="Q98" s="45"/>
      <c r="R98" s="45"/>
      <c r="S98" s="45"/>
      <c r="T98" s="45"/>
      <c r="U98" s="45"/>
      <c r="V98" s="45"/>
      <c r="W98" s="45"/>
      <c r="X98" s="45"/>
      <c r="Y98" s="45"/>
    </row>
    <row r="99" spans="1:25" ht="13.5" customHeight="1" x14ac:dyDescent="0.3">
      <c r="A99" s="45"/>
      <c r="B99" s="45"/>
      <c r="C99" s="52"/>
      <c r="D99" s="45"/>
      <c r="E99" s="45"/>
      <c r="F99" s="45"/>
      <c r="G99" s="52"/>
      <c r="H99" s="52"/>
      <c r="I99" s="45"/>
      <c r="J99" s="45"/>
      <c r="K99" s="45"/>
      <c r="L99" s="45"/>
      <c r="M99" s="45"/>
      <c r="N99" s="45"/>
      <c r="O99" s="45"/>
      <c r="P99" s="45"/>
      <c r="Q99" s="45"/>
      <c r="R99" s="45"/>
      <c r="S99" s="45"/>
      <c r="T99" s="45"/>
      <c r="U99" s="45"/>
      <c r="V99" s="45"/>
      <c r="W99" s="45"/>
      <c r="X99" s="45"/>
      <c r="Y99" s="45"/>
    </row>
    <row r="100" spans="1:25" ht="13.5" customHeight="1" x14ac:dyDescent="0.3">
      <c r="A100" s="45"/>
      <c r="B100" s="45"/>
      <c r="C100" s="52"/>
      <c r="D100" s="45"/>
      <c r="E100" s="45"/>
      <c r="F100" s="45"/>
      <c r="G100" s="52"/>
      <c r="H100" s="52"/>
      <c r="I100" s="45"/>
      <c r="J100" s="45"/>
      <c r="K100" s="45"/>
      <c r="L100" s="45"/>
      <c r="M100" s="45"/>
      <c r="N100" s="45"/>
      <c r="O100" s="45"/>
      <c r="P100" s="45"/>
      <c r="Q100" s="45"/>
      <c r="R100" s="45"/>
      <c r="S100" s="45"/>
      <c r="T100" s="45"/>
      <c r="U100" s="45"/>
      <c r="V100" s="45"/>
      <c r="W100" s="45"/>
      <c r="X100" s="45"/>
      <c r="Y100" s="45"/>
    </row>
    <row r="101" spans="1:25" ht="13.5" customHeight="1" x14ac:dyDescent="0.3">
      <c r="A101" s="45"/>
      <c r="B101" s="45"/>
      <c r="C101" s="52"/>
      <c r="D101" s="45"/>
      <c r="E101" s="45"/>
      <c r="F101" s="45"/>
      <c r="G101" s="52"/>
      <c r="H101" s="52"/>
      <c r="I101" s="45"/>
      <c r="J101" s="45"/>
      <c r="K101" s="45"/>
      <c r="L101" s="45"/>
      <c r="M101" s="45"/>
      <c r="N101" s="45"/>
      <c r="O101" s="45"/>
      <c r="P101" s="45"/>
      <c r="Q101" s="45"/>
      <c r="R101" s="45"/>
      <c r="S101" s="45"/>
      <c r="T101" s="45"/>
      <c r="U101" s="45"/>
      <c r="V101" s="45"/>
      <c r="W101" s="45"/>
      <c r="X101" s="45"/>
      <c r="Y101" s="45"/>
    </row>
    <row r="102" spans="1:25" ht="13.5" customHeight="1" x14ac:dyDescent="0.3">
      <c r="A102" s="45"/>
      <c r="B102" s="45"/>
      <c r="C102" s="52"/>
      <c r="D102" s="45"/>
      <c r="E102" s="45"/>
      <c r="F102" s="45"/>
      <c r="G102" s="52"/>
      <c r="H102" s="52"/>
      <c r="I102" s="45"/>
      <c r="J102" s="45"/>
      <c r="K102" s="45"/>
      <c r="L102" s="45"/>
      <c r="M102" s="45"/>
      <c r="N102" s="45"/>
      <c r="O102" s="45"/>
      <c r="P102" s="45"/>
      <c r="Q102" s="45"/>
      <c r="R102" s="45"/>
      <c r="S102" s="45"/>
      <c r="T102" s="45"/>
      <c r="U102" s="45"/>
      <c r="V102" s="45"/>
      <c r="W102" s="45"/>
      <c r="X102" s="45"/>
      <c r="Y102" s="45"/>
    </row>
    <row r="103" spans="1:25" ht="13.5" customHeight="1" x14ac:dyDescent="0.3">
      <c r="A103" s="45"/>
      <c r="B103" s="45"/>
      <c r="C103" s="52"/>
      <c r="D103" s="45"/>
      <c r="E103" s="45"/>
      <c r="F103" s="45"/>
      <c r="G103" s="52"/>
      <c r="H103" s="52"/>
      <c r="I103" s="45"/>
      <c r="J103" s="45"/>
      <c r="K103" s="45"/>
      <c r="L103" s="45"/>
      <c r="M103" s="45"/>
      <c r="N103" s="45"/>
      <c r="O103" s="45"/>
      <c r="P103" s="45"/>
      <c r="Q103" s="45"/>
      <c r="R103" s="45"/>
      <c r="S103" s="45"/>
      <c r="T103" s="45"/>
      <c r="U103" s="45"/>
      <c r="V103" s="45"/>
      <c r="W103" s="45"/>
      <c r="X103" s="45"/>
      <c r="Y103" s="45"/>
    </row>
    <row r="104" spans="1:25" ht="13.5" customHeight="1" x14ac:dyDescent="0.3">
      <c r="A104" s="45"/>
      <c r="B104" s="45"/>
      <c r="C104" s="52"/>
      <c r="D104" s="45"/>
      <c r="E104" s="45"/>
      <c r="F104" s="45"/>
      <c r="G104" s="52"/>
      <c r="H104" s="52"/>
      <c r="I104" s="45"/>
      <c r="J104" s="45"/>
      <c r="K104" s="45"/>
      <c r="L104" s="45"/>
      <c r="M104" s="45"/>
      <c r="N104" s="45"/>
      <c r="O104" s="45"/>
      <c r="P104" s="45"/>
      <c r="Q104" s="45"/>
      <c r="R104" s="45"/>
      <c r="S104" s="45"/>
      <c r="T104" s="45"/>
      <c r="U104" s="45"/>
      <c r="V104" s="45"/>
      <c r="W104" s="45"/>
      <c r="X104" s="45"/>
      <c r="Y104" s="45"/>
    </row>
    <row r="105" spans="1:25" ht="13.5" customHeight="1" x14ac:dyDescent="0.3">
      <c r="A105" s="45"/>
      <c r="B105" s="45"/>
      <c r="C105" s="52"/>
      <c r="D105" s="45"/>
      <c r="E105" s="45"/>
      <c r="F105" s="45"/>
      <c r="G105" s="52"/>
      <c r="H105" s="52"/>
      <c r="I105" s="45"/>
      <c r="J105" s="45"/>
      <c r="K105" s="45"/>
      <c r="L105" s="45"/>
      <c r="M105" s="45"/>
      <c r="N105" s="45"/>
      <c r="O105" s="45"/>
      <c r="P105" s="45"/>
      <c r="Q105" s="45"/>
      <c r="R105" s="45"/>
      <c r="S105" s="45"/>
      <c r="T105" s="45"/>
      <c r="U105" s="45"/>
      <c r="V105" s="45"/>
      <c r="W105" s="45"/>
      <c r="X105" s="45"/>
      <c r="Y105" s="45"/>
    </row>
    <row r="106" spans="1:25" ht="13.5" customHeight="1" x14ac:dyDescent="0.3">
      <c r="A106" s="45"/>
      <c r="B106" s="45"/>
      <c r="C106" s="52"/>
      <c r="D106" s="45"/>
      <c r="E106" s="45"/>
      <c r="F106" s="45"/>
      <c r="G106" s="52"/>
      <c r="H106" s="52"/>
      <c r="I106" s="45"/>
      <c r="J106" s="45"/>
      <c r="K106" s="45"/>
      <c r="L106" s="45"/>
      <c r="M106" s="45"/>
      <c r="N106" s="45"/>
      <c r="O106" s="45"/>
      <c r="P106" s="45"/>
      <c r="Q106" s="45"/>
      <c r="R106" s="45"/>
      <c r="S106" s="45"/>
      <c r="T106" s="45"/>
      <c r="U106" s="45"/>
      <c r="V106" s="45"/>
      <c r="W106" s="45"/>
      <c r="X106" s="45"/>
      <c r="Y106" s="45"/>
    </row>
    <row r="107" spans="1:25" ht="13.5" customHeight="1" x14ac:dyDescent="0.3">
      <c r="A107" s="45"/>
      <c r="B107" s="45"/>
      <c r="C107" s="52"/>
      <c r="D107" s="45"/>
      <c r="E107" s="45"/>
      <c r="F107" s="45"/>
      <c r="G107" s="52"/>
      <c r="H107" s="52"/>
      <c r="I107" s="45"/>
      <c r="J107" s="45"/>
      <c r="K107" s="45"/>
      <c r="L107" s="45"/>
      <c r="M107" s="45"/>
      <c r="N107" s="45"/>
      <c r="O107" s="45"/>
      <c r="P107" s="45"/>
      <c r="Q107" s="45"/>
      <c r="R107" s="45"/>
      <c r="S107" s="45"/>
      <c r="T107" s="45"/>
      <c r="U107" s="45"/>
      <c r="V107" s="45"/>
      <c r="W107" s="45"/>
      <c r="X107" s="45"/>
      <c r="Y107" s="45"/>
    </row>
    <row r="108" spans="1:25" ht="13.5" customHeight="1" x14ac:dyDescent="0.3">
      <c r="A108" s="45"/>
      <c r="B108" s="45"/>
      <c r="C108" s="52"/>
      <c r="D108" s="45"/>
      <c r="E108" s="45"/>
      <c r="F108" s="45"/>
      <c r="G108" s="52"/>
      <c r="H108" s="52"/>
      <c r="I108" s="45"/>
      <c r="J108" s="45"/>
      <c r="K108" s="45"/>
      <c r="L108" s="45"/>
      <c r="M108" s="45"/>
      <c r="N108" s="45"/>
      <c r="O108" s="45"/>
      <c r="P108" s="45"/>
      <c r="Q108" s="45"/>
      <c r="R108" s="45"/>
      <c r="S108" s="45"/>
      <c r="T108" s="45"/>
      <c r="U108" s="45"/>
      <c r="V108" s="45"/>
      <c r="W108" s="45"/>
      <c r="X108" s="45"/>
      <c r="Y108" s="45"/>
    </row>
    <row r="109" spans="1:25" ht="13.5" customHeight="1" x14ac:dyDescent="0.3">
      <c r="A109" s="45"/>
      <c r="B109" s="45"/>
      <c r="C109" s="52"/>
      <c r="D109" s="45"/>
      <c r="E109" s="45"/>
      <c r="F109" s="45"/>
      <c r="G109" s="52"/>
      <c r="H109" s="52"/>
      <c r="I109" s="45"/>
      <c r="J109" s="45"/>
      <c r="K109" s="45"/>
      <c r="L109" s="45"/>
      <c r="M109" s="45"/>
      <c r="N109" s="45"/>
      <c r="O109" s="45"/>
      <c r="P109" s="45"/>
      <c r="Q109" s="45"/>
      <c r="R109" s="45"/>
      <c r="S109" s="45"/>
      <c r="T109" s="45"/>
      <c r="U109" s="45"/>
      <c r="V109" s="45"/>
      <c r="W109" s="45"/>
      <c r="X109" s="45"/>
      <c r="Y109" s="45"/>
    </row>
    <row r="110" spans="1:25" ht="13.5" customHeight="1" x14ac:dyDescent="0.3">
      <c r="A110" s="45"/>
      <c r="B110" s="45"/>
      <c r="C110" s="52"/>
      <c r="D110" s="45"/>
      <c r="E110" s="45"/>
      <c r="F110" s="45"/>
      <c r="G110" s="52"/>
      <c r="H110" s="52"/>
      <c r="I110" s="45"/>
      <c r="J110" s="45"/>
      <c r="K110" s="45"/>
      <c r="L110" s="45"/>
      <c r="M110" s="45"/>
      <c r="N110" s="45"/>
      <c r="O110" s="45"/>
      <c r="P110" s="45"/>
      <c r="Q110" s="45"/>
      <c r="R110" s="45"/>
      <c r="S110" s="45"/>
      <c r="T110" s="45"/>
      <c r="U110" s="45"/>
      <c r="V110" s="45"/>
      <c r="W110" s="45"/>
      <c r="X110" s="45"/>
      <c r="Y110" s="45"/>
    </row>
    <row r="111" spans="1:25" ht="13.5" customHeight="1" x14ac:dyDescent="0.3">
      <c r="A111" s="45"/>
      <c r="B111" s="45"/>
      <c r="C111" s="52"/>
      <c r="D111" s="45"/>
      <c r="E111" s="45"/>
      <c r="F111" s="45"/>
      <c r="G111" s="52"/>
      <c r="H111" s="52"/>
      <c r="I111" s="45"/>
      <c r="J111" s="45"/>
      <c r="K111" s="45"/>
      <c r="L111" s="45"/>
      <c r="M111" s="45"/>
      <c r="N111" s="45"/>
      <c r="O111" s="45"/>
      <c r="P111" s="45"/>
      <c r="Q111" s="45"/>
      <c r="R111" s="45"/>
      <c r="S111" s="45"/>
      <c r="T111" s="45"/>
      <c r="U111" s="45"/>
      <c r="V111" s="45"/>
      <c r="W111" s="45"/>
      <c r="X111" s="45"/>
      <c r="Y111" s="45"/>
    </row>
    <row r="112" spans="1:25" ht="13.5" customHeight="1" x14ac:dyDescent="0.3">
      <c r="A112" s="45"/>
      <c r="B112" s="45"/>
      <c r="C112" s="52"/>
      <c r="D112" s="45"/>
      <c r="E112" s="45"/>
      <c r="F112" s="45"/>
      <c r="G112" s="52"/>
      <c r="H112" s="52"/>
      <c r="I112" s="45"/>
      <c r="J112" s="45"/>
      <c r="K112" s="45"/>
      <c r="L112" s="45"/>
      <c r="M112" s="45"/>
      <c r="N112" s="45"/>
      <c r="O112" s="45"/>
      <c r="P112" s="45"/>
      <c r="Q112" s="45"/>
      <c r="R112" s="45"/>
      <c r="S112" s="45"/>
      <c r="T112" s="45"/>
      <c r="U112" s="45"/>
      <c r="V112" s="45"/>
      <c r="W112" s="45"/>
      <c r="X112" s="45"/>
      <c r="Y112" s="45"/>
    </row>
    <row r="113" spans="1:25" ht="13.5" customHeight="1" x14ac:dyDescent="0.3">
      <c r="A113" s="45"/>
      <c r="B113" s="45"/>
      <c r="C113" s="52"/>
      <c r="D113" s="45"/>
      <c r="E113" s="45"/>
      <c r="F113" s="45"/>
      <c r="G113" s="52"/>
      <c r="H113" s="52"/>
      <c r="I113" s="45"/>
      <c r="J113" s="45"/>
      <c r="K113" s="45"/>
      <c r="L113" s="45"/>
      <c r="M113" s="45"/>
      <c r="N113" s="45"/>
      <c r="O113" s="45"/>
      <c r="P113" s="45"/>
      <c r="Q113" s="45"/>
      <c r="R113" s="45"/>
      <c r="S113" s="45"/>
      <c r="T113" s="45"/>
      <c r="U113" s="45"/>
      <c r="V113" s="45"/>
      <c r="W113" s="45"/>
      <c r="X113" s="45"/>
      <c r="Y113" s="45"/>
    </row>
    <row r="114" spans="1:25" ht="13.5" customHeight="1" x14ac:dyDescent="0.3">
      <c r="A114" s="45"/>
      <c r="B114" s="45"/>
      <c r="C114" s="52"/>
      <c r="D114" s="45"/>
      <c r="E114" s="45"/>
      <c r="F114" s="45"/>
      <c r="G114" s="52"/>
      <c r="H114" s="52"/>
      <c r="I114" s="45"/>
      <c r="J114" s="45"/>
      <c r="K114" s="45"/>
      <c r="L114" s="45"/>
      <c r="M114" s="45"/>
      <c r="N114" s="45"/>
      <c r="O114" s="45"/>
      <c r="P114" s="45"/>
      <c r="Q114" s="45"/>
      <c r="R114" s="45"/>
      <c r="S114" s="45"/>
      <c r="T114" s="45"/>
      <c r="U114" s="45"/>
      <c r="V114" s="45"/>
      <c r="W114" s="45"/>
      <c r="X114" s="45"/>
      <c r="Y114" s="45"/>
    </row>
    <row r="115" spans="1:25" ht="13.5" customHeight="1" x14ac:dyDescent="0.3">
      <c r="A115" s="45"/>
      <c r="B115" s="45"/>
      <c r="C115" s="52"/>
      <c r="D115" s="45"/>
      <c r="E115" s="45"/>
      <c r="F115" s="45"/>
      <c r="G115" s="52"/>
      <c r="H115" s="52"/>
      <c r="I115" s="45"/>
      <c r="J115" s="45"/>
      <c r="K115" s="45"/>
      <c r="L115" s="45"/>
      <c r="M115" s="45"/>
      <c r="N115" s="45"/>
      <c r="O115" s="45"/>
      <c r="P115" s="45"/>
      <c r="Q115" s="45"/>
      <c r="R115" s="45"/>
      <c r="S115" s="45"/>
      <c r="T115" s="45"/>
      <c r="U115" s="45"/>
      <c r="V115" s="45"/>
      <c r="W115" s="45"/>
      <c r="X115" s="45"/>
      <c r="Y115" s="45"/>
    </row>
    <row r="116" spans="1:25" ht="13.5" customHeight="1" x14ac:dyDescent="0.3">
      <c r="A116" s="45"/>
      <c r="B116" s="45"/>
      <c r="C116" s="52"/>
      <c r="D116" s="45"/>
      <c r="E116" s="45"/>
      <c r="F116" s="45"/>
      <c r="G116" s="52"/>
      <c r="H116" s="52"/>
      <c r="I116" s="45"/>
      <c r="J116" s="45"/>
      <c r="K116" s="45"/>
      <c r="L116" s="45"/>
      <c r="M116" s="45"/>
      <c r="N116" s="45"/>
      <c r="O116" s="45"/>
      <c r="P116" s="45"/>
      <c r="Q116" s="45"/>
      <c r="R116" s="45"/>
      <c r="S116" s="45"/>
      <c r="T116" s="45"/>
      <c r="U116" s="45"/>
      <c r="V116" s="45"/>
      <c r="W116" s="45"/>
      <c r="X116" s="45"/>
      <c r="Y116" s="45"/>
    </row>
    <row r="117" spans="1:25" ht="13.5" customHeight="1" x14ac:dyDescent="0.3">
      <c r="A117" s="45"/>
      <c r="B117" s="45"/>
      <c r="C117" s="52"/>
      <c r="D117" s="45"/>
      <c r="E117" s="45"/>
      <c r="F117" s="45"/>
      <c r="G117" s="52"/>
      <c r="H117" s="52"/>
      <c r="I117" s="45"/>
      <c r="J117" s="45"/>
      <c r="K117" s="45"/>
      <c r="L117" s="45"/>
      <c r="M117" s="45"/>
      <c r="N117" s="45"/>
      <c r="O117" s="45"/>
      <c r="P117" s="45"/>
      <c r="Q117" s="45"/>
      <c r="R117" s="45"/>
      <c r="S117" s="45"/>
      <c r="T117" s="45"/>
      <c r="U117" s="45"/>
      <c r="V117" s="45"/>
      <c r="W117" s="45"/>
      <c r="X117" s="45"/>
      <c r="Y117" s="45"/>
    </row>
    <row r="118" spans="1:25" ht="13.5" customHeight="1" x14ac:dyDescent="0.3">
      <c r="A118" s="45"/>
      <c r="B118" s="45"/>
      <c r="C118" s="52"/>
      <c r="D118" s="45"/>
      <c r="E118" s="45"/>
      <c r="F118" s="45"/>
      <c r="G118" s="52"/>
      <c r="H118" s="52"/>
      <c r="I118" s="45"/>
      <c r="J118" s="45"/>
      <c r="K118" s="45"/>
      <c r="L118" s="45"/>
      <c r="M118" s="45"/>
      <c r="N118" s="45"/>
      <c r="O118" s="45"/>
      <c r="P118" s="45"/>
      <c r="Q118" s="45"/>
      <c r="R118" s="45"/>
      <c r="S118" s="45"/>
      <c r="T118" s="45"/>
      <c r="U118" s="45"/>
      <c r="V118" s="45"/>
      <c r="W118" s="45"/>
      <c r="X118" s="45"/>
      <c r="Y118" s="45"/>
    </row>
    <row r="119" spans="1:25" ht="13.5" customHeight="1" x14ac:dyDescent="0.3">
      <c r="A119" s="45"/>
      <c r="B119" s="45"/>
      <c r="C119" s="52"/>
      <c r="D119" s="45"/>
      <c r="E119" s="45"/>
      <c r="F119" s="45"/>
      <c r="G119" s="52"/>
      <c r="H119" s="52"/>
      <c r="I119" s="45"/>
      <c r="J119" s="45"/>
      <c r="K119" s="45"/>
      <c r="L119" s="45"/>
      <c r="M119" s="45"/>
      <c r="N119" s="45"/>
      <c r="O119" s="45"/>
      <c r="P119" s="45"/>
      <c r="Q119" s="45"/>
      <c r="R119" s="45"/>
      <c r="S119" s="45"/>
      <c r="T119" s="45"/>
      <c r="U119" s="45"/>
      <c r="V119" s="45"/>
      <c r="W119" s="45"/>
      <c r="X119" s="45"/>
      <c r="Y119" s="45"/>
    </row>
    <row r="120" spans="1:25" ht="13.5" customHeight="1" x14ac:dyDescent="0.3">
      <c r="A120" s="45"/>
      <c r="B120" s="45"/>
      <c r="C120" s="52"/>
      <c r="D120" s="45"/>
      <c r="E120" s="45"/>
      <c r="F120" s="45"/>
      <c r="G120" s="52"/>
      <c r="H120" s="52"/>
      <c r="I120" s="45"/>
      <c r="J120" s="45"/>
      <c r="K120" s="45"/>
      <c r="L120" s="45"/>
      <c r="M120" s="45"/>
      <c r="N120" s="45"/>
      <c r="O120" s="45"/>
      <c r="P120" s="45"/>
      <c r="Q120" s="45"/>
      <c r="R120" s="45"/>
      <c r="S120" s="45"/>
      <c r="T120" s="45"/>
      <c r="U120" s="45"/>
      <c r="V120" s="45"/>
      <c r="W120" s="45"/>
      <c r="X120" s="45"/>
      <c r="Y120" s="45"/>
    </row>
    <row r="121" spans="1:25" ht="13.5" customHeight="1" x14ac:dyDescent="0.3">
      <c r="A121" s="45"/>
      <c r="B121" s="45"/>
      <c r="C121" s="52"/>
      <c r="D121" s="45"/>
      <c r="E121" s="45"/>
      <c r="F121" s="45"/>
      <c r="G121" s="52"/>
      <c r="H121" s="52"/>
      <c r="I121" s="45"/>
      <c r="J121" s="45"/>
      <c r="K121" s="45"/>
      <c r="L121" s="45"/>
      <c r="M121" s="45"/>
      <c r="N121" s="45"/>
      <c r="O121" s="45"/>
      <c r="P121" s="45"/>
      <c r="Q121" s="45"/>
      <c r="R121" s="45"/>
      <c r="S121" s="45"/>
      <c r="T121" s="45"/>
      <c r="U121" s="45"/>
      <c r="V121" s="45"/>
      <c r="W121" s="45"/>
      <c r="X121" s="45"/>
      <c r="Y121" s="45"/>
    </row>
    <row r="122" spans="1:25" ht="13.5" customHeight="1" x14ac:dyDescent="0.3">
      <c r="A122" s="45"/>
      <c r="B122" s="45"/>
      <c r="C122" s="52"/>
      <c r="D122" s="45"/>
      <c r="E122" s="45"/>
      <c r="F122" s="45"/>
      <c r="G122" s="52"/>
      <c r="H122" s="52"/>
      <c r="I122" s="45"/>
      <c r="J122" s="45"/>
      <c r="K122" s="45"/>
      <c r="L122" s="45"/>
      <c r="M122" s="45"/>
      <c r="N122" s="45"/>
      <c r="O122" s="45"/>
      <c r="P122" s="45"/>
      <c r="Q122" s="45"/>
      <c r="R122" s="45"/>
      <c r="S122" s="45"/>
      <c r="T122" s="45"/>
      <c r="U122" s="45"/>
      <c r="V122" s="45"/>
      <c r="W122" s="45"/>
      <c r="X122" s="45"/>
      <c r="Y122" s="45"/>
    </row>
    <row r="123" spans="1:25" ht="13.5" customHeight="1" x14ac:dyDescent="0.3">
      <c r="A123" s="45"/>
      <c r="B123" s="45"/>
      <c r="C123" s="52"/>
      <c r="D123" s="45"/>
      <c r="E123" s="45"/>
      <c r="F123" s="45"/>
      <c r="G123" s="52"/>
      <c r="H123" s="52"/>
      <c r="I123" s="45"/>
      <c r="J123" s="45"/>
      <c r="K123" s="45"/>
      <c r="L123" s="45"/>
      <c r="M123" s="45"/>
      <c r="N123" s="45"/>
      <c r="O123" s="45"/>
      <c r="P123" s="45"/>
      <c r="Q123" s="45"/>
      <c r="R123" s="45"/>
      <c r="S123" s="45"/>
      <c r="T123" s="45"/>
      <c r="U123" s="45"/>
      <c r="V123" s="45"/>
      <c r="W123" s="45"/>
      <c r="X123" s="45"/>
      <c r="Y123" s="45"/>
    </row>
    <row r="124" spans="1:25" ht="13.5" customHeight="1" x14ac:dyDescent="0.3">
      <c r="A124" s="45"/>
      <c r="B124" s="45"/>
      <c r="C124" s="52"/>
      <c r="D124" s="45"/>
      <c r="E124" s="45"/>
      <c r="F124" s="45"/>
      <c r="G124" s="52"/>
      <c r="H124" s="52"/>
      <c r="I124" s="45"/>
      <c r="J124" s="45"/>
      <c r="K124" s="45"/>
      <c r="L124" s="45"/>
      <c r="M124" s="45"/>
      <c r="N124" s="45"/>
      <c r="O124" s="45"/>
      <c r="P124" s="45"/>
      <c r="Q124" s="45"/>
      <c r="R124" s="45"/>
      <c r="S124" s="45"/>
      <c r="T124" s="45"/>
      <c r="U124" s="45"/>
      <c r="V124" s="45"/>
      <c r="W124" s="45"/>
      <c r="X124" s="45"/>
      <c r="Y124" s="45"/>
    </row>
    <row r="125" spans="1:25" ht="13.5" customHeight="1" x14ac:dyDescent="0.3">
      <c r="A125" s="45"/>
      <c r="B125" s="45"/>
      <c r="C125" s="52"/>
      <c r="D125" s="45"/>
      <c r="E125" s="45"/>
      <c r="F125" s="45"/>
      <c r="G125" s="52"/>
      <c r="H125" s="52"/>
      <c r="I125" s="45"/>
      <c r="J125" s="45"/>
      <c r="K125" s="45"/>
      <c r="L125" s="45"/>
      <c r="M125" s="45"/>
      <c r="N125" s="45"/>
      <c r="O125" s="45"/>
      <c r="P125" s="45"/>
      <c r="Q125" s="45"/>
      <c r="R125" s="45"/>
      <c r="S125" s="45"/>
      <c r="T125" s="45"/>
      <c r="U125" s="45"/>
      <c r="V125" s="45"/>
      <c r="W125" s="45"/>
      <c r="X125" s="45"/>
      <c r="Y125" s="45"/>
    </row>
    <row r="126" spans="1:25" ht="13.5" customHeight="1" x14ac:dyDescent="0.3">
      <c r="A126" s="45"/>
      <c r="B126" s="45"/>
      <c r="C126" s="52"/>
      <c r="D126" s="45"/>
      <c r="E126" s="45"/>
      <c r="F126" s="45"/>
      <c r="G126" s="52"/>
      <c r="H126" s="52"/>
      <c r="I126" s="45"/>
      <c r="J126" s="45"/>
      <c r="K126" s="45"/>
      <c r="L126" s="45"/>
      <c r="M126" s="45"/>
      <c r="N126" s="45"/>
      <c r="O126" s="45"/>
      <c r="P126" s="45"/>
      <c r="Q126" s="45"/>
      <c r="R126" s="45"/>
      <c r="S126" s="45"/>
      <c r="T126" s="45"/>
      <c r="U126" s="45"/>
      <c r="V126" s="45"/>
      <c r="W126" s="45"/>
      <c r="X126" s="45"/>
      <c r="Y126" s="45"/>
    </row>
    <row r="127" spans="1:25" ht="13.5" customHeight="1" x14ac:dyDescent="0.3">
      <c r="A127" s="45"/>
      <c r="B127" s="45"/>
      <c r="C127" s="52"/>
      <c r="D127" s="45"/>
      <c r="E127" s="45"/>
      <c r="F127" s="45"/>
      <c r="G127" s="52"/>
      <c r="H127" s="52"/>
      <c r="I127" s="45"/>
      <c r="J127" s="45"/>
      <c r="K127" s="45"/>
      <c r="L127" s="45"/>
      <c r="M127" s="45"/>
      <c r="N127" s="45"/>
      <c r="O127" s="45"/>
      <c r="P127" s="45"/>
      <c r="Q127" s="45"/>
      <c r="R127" s="45"/>
      <c r="S127" s="45"/>
      <c r="T127" s="45"/>
      <c r="U127" s="45"/>
      <c r="V127" s="45"/>
      <c r="W127" s="45"/>
      <c r="X127" s="45"/>
      <c r="Y127" s="45"/>
    </row>
    <row r="128" spans="1:25" ht="13.5" customHeight="1" x14ac:dyDescent="0.3">
      <c r="A128" s="45"/>
      <c r="B128" s="45"/>
      <c r="C128" s="52"/>
      <c r="D128" s="45"/>
      <c r="E128" s="45"/>
      <c r="F128" s="45"/>
      <c r="G128" s="52"/>
      <c r="H128" s="52"/>
      <c r="I128" s="45"/>
      <c r="J128" s="45"/>
      <c r="K128" s="45"/>
      <c r="L128" s="45"/>
      <c r="M128" s="45"/>
      <c r="N128" s="45"/>
      <c r="O128" s="45"/>
      <c r="P128" s="45"/>
      <c r="Q128" s="45"/>
      <c r="R128" s="45"/>
      <c r="S128" s="45"/>
      <c r="T128" s="45"/>
      <c r="U128" s="45"/>
      <c r="V128" s="45"/>
      <c r="W128" s="45"/>
      <c r="X128" s="45"/>
      <c r="Y128" s="45"/>
    </row>
    <row r="129" spans="1:25" ht="13.5" customHeight="1" x14ac:dyDescent="0.3">
      <c r="A129" s="45"/>
      <c r="B129" s="45"/>
      <c r="C129" s="52"/>
      <c r="D129" s="45"/>
      <c r="E129" s="45"/>
      <c r="F129" s="45"/>
      <c r="G129" s="52"/>
      <c r="H129" s="52"/>
      <c r="I129" s="45"/>
      <c r="J129" s="45"/>
      <c r="K129" s="45"/>
      <c r="L129" s="45"/>
      <c r="M129" s="45"/>
      <c r="N129" s="45"/>
      <c r="O129" s="45"/>
      <c r="P129" s="45"/>
      <c r="Q129" s="45"/>
      <c r="R129" s="45"/>
      <c r="S129" s="45"/>
      <c r="T129" s="45"/>
      <c r="U129" s="45"/>
      <c r="V129" s="45"/>
      <c r="W129" s="45"/>
      <c r="X129" s="45"/>
      <c r="Y129" s="45"/>
    </row>
    <row r="130" spans="1:25" ht="13.5" customHeight="1" x14ac:dyDescent="0.3">
      <c r="A130" s="45"/>
      <c r="B130" s="45"/>
      <c r="C130" s="52"/>
      <c r="D130" s="45"/>
      <c r="E130" s="45"/>
      <c r="F130" s="45"/>
      <c r="G130" s="52"/>
      <c r="H130" s="52"/>
      <c r="I130" s="45"/>
      <c r="J130" s="45"/>
      <c r="K130" s="45"/>
      <c r="L130" s="45"/>
      <c r="M130" s="45"/>
      <c r="N130" s="45"/>
      <c r="O130" s="45"/>
      <c r="P130" s="45"/>
      <c r="Q130" s="45"/>
      <c r="R130" s="45"/>
      <c r="S130" s="45"/>
      <c r="T130" s="45"/>
      <c r="U130" s="45"/>
      <c r="V130" s="45"/>
      <c r="W130" s="45"/>
      <c r="X130" s="45"/>
      <c r="Y130" s="45"/>
    </row>
    <row r="131" spans="1:25" ht="13.5" customHeight="1" x14ac:dyDescent="0.3">
      <c r="A131" s="45"/>
      <c r="B131" s="45"/>
      <c r="C131" s="52"/>
      <c r="D131" s="45"/>
      <c r="E131" s="45"/>
      <c r="F131" s="45"/>
      <c r="G131" s="52"/>
      <c r="H131" s="52"/>
      <c r="I131" s="45"/>
      <c r="J131" s="45"/>
      <c r="K131" s="45"/>
      <c r="L131" s="45"/>
      <c r="M131" s="45"/>
      <c r="N131" s="45"/>
      <c r="O131" s="45"/>
      <c r="P131" s="45"/>
      <c r="Q131" s="45"/>
      <c r="R131" s="45"/>
      <c r="S131" s="45"/>
      <c r="T131" s="45"/>
      <c r="U131" s="45"/>
      <c r="V131" s="45"/>
      <c r="W131" s="45"/>
      <c r="X131" s="45"/>
      <c r="Y131" s="45"/>
    </row>
    <row r="132" spans="1:25" ht="13.5" customHeight="1" x14ac:dyDescent="0.3">
      <c r="A132" s="45"/>
      <c r="B132" s="45"/>
      <c r="C132" s="52"/>
      <c r="D132" s="45"/>
      <c r="E132" s="45"/>
      <c r="F132" s="45"/>
      <c r="G132" s="52"/>
      <c r="H132" s="52"/>
      <c r="I132" s="45"/>
      <c r="J132" s="45"/>
      <c r="K132" s="45"/>
      <c r="L132" s="45"/>
      <c r="M132" s="45"/>
      <c r="N132" s="45"/>
      <c r="O132" s="45"/>
      <c r="P132" s="45"/>
      <c r="Q132" s="45"/>
      <c r="R132" s="45"/>
      <c r="S132" s="45"/>
      <c r="T132" s="45"/>
      <c r="U132" s="45"/>
      <c r="V132" s="45"/>
      <c r="W132" s="45"/>
      <c r="X132" s="45"/>
      <c r="Y132" s="45"/>
    </row>
    <row r="133" spans="1:25" ht="13.5" customHeight="1" x14ac:dyDescent="0.3">
      <c r="A133" s="45"/>
      <c r="B133" s="45"/>
      <c r="C133" s="52"/>
      <c r="D133" s="45"/>
      <c r="E133" s="45"/>
      <c r="F133" s="45"/>
      <c r="G133" s="52"/>
      <c r="H133" s="52"/>
      <c r="I133" s="45"/>
      <c r="J133" s="45"/>
      <c r="K133" s="45"/>
      <c r="L133" s="45"/>
      <c r="M133" s="45"/>
      <c r="N133" s="45"/>
      <c r="O133" s="45"/>
      <c r="P133" s="45"/>
      <c r="Q133" s="45"/>
      <c r="R133" s="45"/>
      <c r="S133" s="45"/>
      <c r="T133" s="45"/>
      <c r="U133" s="45"/>
      <c r="V133" s="45"/>
      <c r="W133" s="45"/>
      <c r="X133" s="45"/>
      <c r="Y133" s="45"/>
    </row>
    <row r="134" spans="1:25" ht="13.5" customHeight="1" x14ac:dyDescent="0.3">
      <c r="A134" s="45"/>
      <c r="B134" s="45"/>
      <c r="C134" s="52"/>
      <c r="D134" s="45"/>
      <c r="E134" s="45"/>
      <c r="F134" s="45"/>
      <c r="G134" s="52"/>
      <c r="H134" s="52"/>
      <c r="I134" s="45"/>
      <c r="J134" s="45"/>
      <c r="K134" s="45"/>
      <c r="L134" s="45"/>
      <c r="M134" s="45"/>
      <c r="N134" s="45"/>
      <c r="O134" s="45"/>
      <c r="P134" s="45"/>
      <c r="Q134" s="45"/>
      <c r="R134" s="45"/>
      <c r="S134" s="45"/>
      <c r="T134" s="45"/>
      <c r="U134" s="45"/>
      <c r="V134" s="45"/>
      <c r="W134" s="45"/>
      <c r="X134" s="45"/>
      <c r="Y134" s="45"/>
    </row>
    <row r="135" spans="1:25" ht="13.5" customHeight="1" x14ac:dyDescent="0.3">
      <c r="A135" s="45"/>
      <c r="B135" s="45"/>
      <c r="C135" s="52"/>
      <c r="D135" s="45"/>
      <c r="E135" s="45"/>
      <c r="F135" s="45"/>
      <c r="G135" s="52"/>
      <c r="H135" s="52"/>
      <c r="I135" s="45"/>
      <c r="J135" s="45"/>
      <c r="K135" s="45"/>
      <c r="L135" s="45"/>
      <c r="M135" s="45"/>
      <c r="N135" s="45"/>
      <c r="O135" s="45"/>
      <c r="P135" s="45"/>
      <c r="Q135" s="45"/>
      <c r="R135" s="45"/>
      <c r="S135" s="45"/>
      <c r="T135" s="45"/>
      <c r="U135" s="45"/>
      <c r="V135" s="45"/>
      <c r="W135" s="45"/>
      <c r="X135" s="45"/>
      <c r="Y135" s="45"/>
    </row>
    <row r="136" spans="1:25" ht="13.5" customHeight="1" x14ac:dyDescent="0.3">
      <c r="A136" s="45"/>
      <c r="B136" s="45"/>
      <c r="C136" s="52"/>
      <c r="D136" s="45"/>
      <c r="E136" s="45"/>
      <c r="F136" s="45"/>
      <c r="G136" s="52"/>
      <c r="H136" s="52"/>
      <c r="I136" s="45"/>
      <c r="J136" s="45"/>
      <c r="K136" s="45"/>
      <c r="L136" s="45"/>
      <c r="M136" s="45"/>
      <c r="N136" s="45"/>
      <c r="O136" s="45"/>
      <c r="P136" s="45"/>
      <c r="Q136" s="45"/>
      <c r="R136" s="45"/>
      <c r="S136" s="45"/>
      <c r="T136" s="45"/>
      <c r="U136" s="45"/>
      <c r="V136" s="45"/>
      <c r="W136" s="45"/>
      <c r="X136" s="45"/>
      <c r="Y136" s="45"/>
    </row>
    <row r="137" spans="1:25" ht="13.5" customHeight="1" x14ac:dyDescent="0.3">
      <c r="A137" s="45"/>
      <c r="B137" s="45"/>
      <c r="C137" s="52"/>
      <c r="D137" s="45"/>
      <c r="E137" s="45"/>
      <c r="F137" s="45"/>
      <c r="G137" s="52"/>
      <c r="H137" s="52"/>
      <c r="I137" s="45"/>
      <c r="J137" s="45"/>
      <c r="K137" s="45"/>
      <c r="L137" s="45"/>
      <c r="M137" s="45"/>
      <c r="N137" s="45"/>
      <c r="O137" s="45"/>
      <c r="P137" s="45"/>
      <c r="Q137" s="45"/>
      <c r="R137" s="45"/>
      <c r="S137" s="45"/>
      <c r="T137" s="45"/>
      <c r="U137" s="45"/>
      <c r="V137" s="45"/>
      <c r="W137" s="45"/>
      <c r="X137" s="45"/>
      <c r="Y137" s="45"/>
    </row>
    <row r="138" spans="1:25" ht="13.5" customHeight="1" x14ac:dyDescent="0.3">
      <c r="A138" s="45"/>
      <c r="B138" s="45"/>
      <c r="C138" s="52"/>
      <c r="D138" s="45"/>
      <c r="E138" s="45"/>
      <c r="F138" s="45"/>
      <c r="G138" s="52"/>
      <c r="H138" s="52"/>
      <c r="I138" s="45"/>
      <c r="J138" s="45"/>
      <c r="K138" s="45"/>
      <c r="L138" s="45"/>
      <c r="M138" s="45"/>
      <c r="N138" s="45"/>
      <c r="O138" s="45"/>
      <c r="P138" s="45"/>
      <c r="Q138" s="45"/>
      <c r="R138" s="45"/>
      <c r="S138" s="45"/>
      <c r="T138" s="45"/>
      <c r="U138" s="45"/>
      <c r="V138" s="45"/>
      <c r="W138" s="45"/>
      <c r="X138" s="45"/>
      <c r="Y138" s="45"/>
    </row>
    <row r="139" spans="1:25" ht="13.5" customHeight="1" x14ac:dyDescent="0.3">
      <c r="A139" s="45"/>
      <c r="B139" s="45"/>
      <c r="C139" s="52"/>
      <c r="D139" s="45"/>
      <c r="E139" s="45"/>
      <c r="F139" s="45"/>
      <c r="G139" s="52"/>
      <c r="H139" s="52"/>
      <c r="I139" s="45"/>
      <c r="J139" s="45"/>
      <c r="K139" s="45"/>
      <c r="L139" s="45"/>
      <c r="M139" s="45"/>
      <c r="N139" s="45"/>
      <c r="O139" s="45"/>
      <c r="P139" s="45"/>
      <c r="Q139" s="45"/>
      <c r="R139" s="45"/>
      <c r="S139" s="45"/>
      <c r="T139" s="45"/>
      <c r="U139" s="45"/>
      <c r="V139" s="45"/>
      <c r="W139" s="45"/>
      <c r="X139" s="45"/>
      <c r="Y139" s="45"/>
    </row>
    <row r="140" spans="1:25" ht="13.5" customHeight="1" x14ac:dyDescent="0.3">
      <c r="A140" s="45"/>
      <c r="B140" s="45"/>
      <c r="C140" s="52"/>
      <c r="D140" s="45"/>
      <c r="E140" s="45"/>
      <c r="F140" s="45"/>
      <c r="G140" s="52"/>
      <c r="H140" s="52"/>
      <c r="I140" s="45"/>
      <c r="J140" s="45"/>
      <c r="K140" s="45"/>
      <c r="L140" s="45"/>
      <c r="M140" s="45"/>
      <c r="N140" s="45"/>
      <c r="O140" s="45"/>
      <c r="P140" s="45"/>
      <c r="Q140" s="45"/>
      <c r="R140" s="45"/>
      <c r="S140" s="45"/>
      <c r="T140" s="45"/>
      <c r="U140" s="45"/>
      <c r="V140" s="45"/>
      <c r="W140" s="45"/>
      <c r="X140" s="45"/>
      <c r="Y140" s="45"/>
    </row>
    <row r="141" spans="1:25" ht="13.5" customHeight="1" x14ac:dyDescent="0.3">
      <c r="A141" s="45"/>
      <c r="B141" s="45"/>
      <c r="C141" s="52"/>
      <c r="D141" s="45"/>
      <c r="E141" s="45"/>
      <c r="F141" s="45"/>
      <c r="G141" s="52"/>
      <c r="H141" s="52"/>
      <c r="I141" s="45"/>
      <c r="J141" s="45"/>
      <c r="K141" s="45"/>
      <c r="L141" s="45"/>
      <c r="M141" s="45"/>
      <c r="N141" s="45"/>
      <c r="O141" s="45"/>
      <c r="P141" s="45"/>
      <c r="Q141" s="45"/>
      <c r="R141" s="45"/>
      <c r="S141" s="45"/>
      <c r="T141" s="45"/>
      <c r="U141" s="45"/>
      <c r="V141" s="45"/>
      <c r="W141" s="45"/>
      <c r="X141" s="45"/>
      <c r="Y141" s="45"/>
    </row>
    <row r="142" spans="1:25" ht="13.5" customHeight="1" x14ac:dyDescent="0.3">
      <c r="A142" s="45"/>
      <c r="B142" s="45"/>
      <c r="C142" s="52"/>
      <c r="D142" s="45"/>
      <c r="E142" s="45"/>
      <c r="F142" s="45"/>
      <c r="G142" s="52"/>
      <c r="H142" s="52"/>
      <c r="I142" s="45"/>
      <c r="J142" s="45"/>
      <c r="K142" s="45"/>
      <c r="L142" s="45"/>
      <c r="M142" s="45"/>
      <c r="N142" s="45"/>
      <c r="O142" s="45"/>
      <c r="P142" s="45"/>
      <c r="Q142" s="45"/>
      <c r="R142" s="45"/>
      <c r="S142" s="45"/>
      <c r="T142" s="45"/>
      <c r="U142" s="45"/>
      <c r="V142" s="45"/>
      <c r="W142" s="45"/>
      <c r="X142" s="45"/>
      <c r="Y142" s="45"/>
    </row>
    <row r="143" spans="1:25" ht="13.5" customHeight="1" x14ac:dyDescent="0.3">
      <c r="A143" s="45"/>
      <c r="B143" s="45"/>
      <c r="C143" s="52"/>
      <c r="D143" s="45"/>
      <c r="E143" s="45"/>
      <c r="F143" s="45"/>
      <c r="G143" s="52"/>
      <c r="H143" s="52"/>
      <c r="I143" s="45"/>
      <c r="J143" s="45"/>
      <c r="K143" s="45"/>
      <c r="L143" s="45"/>
      <c r="M143" s="45"/>
      <c r="N143" s="45"/>
      <c r="O143" s="45"/>
      <c r="P143" s="45"/>
      <c r="Q143" s="45"/>
      <c r="R143" s="45"/>
      <c r="S143" s="45"/>
      <c r="T143" s="45"/>
      <c r="U143" s="45"/>
      <c r="V143" s="45"/>
      <c r="W143" s="45"/>
      <c r="X143" s="45"/>
      <c r="Y143" s="45"/>
    </row>
    <row r="144" spans="1:25" ht="13.5" customHeight="1" x14ac:dyDescent="0.3">
      <c r="A144" s="45"/>
      <c r="B144" s="45"/>
      <c r="C144" s="52"/>
      <c r="D144" s="45"/>
      <c r="E144" s="45"/>
      <c r="F144" s="45"/>
      <c r="G144" s="52"/>
      <c r="H144" s="52"/>
      <c r="I144" s="45"/>
      <c r="J144" s="45"/>
      <c r="K144" s="45"/>
      <c r="L144" s="45"/>
      <c r="M144" s="45"/>
      <c r="N144" s="45"/>
      <c r="O144" s="45"/>
      <c r="P144" s="45"/>
      <c r="Q144" s="45"/>
      <c r="R144" s="45"/>
      <c r="S144" s="45"/>
      <c r="T144" s="45"/>
      <c r="U144" s="45"/>
      <c r="V144" s="45"/>
      <c r="W144" s="45"/>
      <c r="X144" s="45"/>
      <c r="Y144" s="45"/>
    </row>
    <row r="145" spans="1:25" ht="13.5" customHeight="1" x14ac:dyDescent="0.3">
      <c r="A145" s="45"/>
      <c r="B145" s="45"/>
      <c r="C145" s="52"/>
      <c r="D145" s="45"/>
      <c r="E145" s="45"/>
      <c r="F145" s="45"/>
      <c r="G145" s="52"/>
      <c r="H145" s="52"/>
      <c r="I145" s="45"/>
      <c r="J145" s="45"/>
      <c r="K145" s="45"/>
      <c r="L145" s="45"/>
      <c r="M145" s="45"/>
      <c r="N145" s="45"/>
      <c r="O145" s="45"/>
      <c r="P145" s="45"/>
      <c r="Q145" s="45"/>
      <c r="R145" s="45"/>
      <c r="S145" s="45"/>
      <c r="T145" s="45"/>
      <c r="U145" s="45"/>
      <c r="V145" s="45"/>
      <c r="W145" s="45"/>
      <c r="X145" s="45"/>
      <c r="Y145" s="45"/>
    </row>
    <row r="146" spans="1:25" ht="13.5" customHeight="1" x14ac:dyDescent="0.3">
      <c r="A146" s="45"/>
      <c r="B146" s="45"/>
      <c r="C146" s="52"/>
      <c r="D146" s="45"/>
      <c r="E146" s="45"/>
      <c r="F146" s="45"/>
      <c r="G146" s="52"/>
      <c r="H146" s="52"/>
      <c r="I146" s="45"/>
      <c r="J146" s="45"/>
      <c r="K146" s="45"/>
      <c r="L146" s="45"/>
      <c r="M146" s="45"/>
      <c r="N146" s="45"/>
      <c r="O146" s="45"/>
      <c r="P146" s="45"/>
      <c r="Q146" s="45"/>
      <c r="R146" s="45"/>
      <c r="S146" s="45"/>
      <c r="T146" s="45"/>
      <c r="U146" s="45"/>
      <c r="V146" s="45"/>
      <c r="W146" s="45"/>
      <c r="X146" s="45"/>
      <c r="Y146" s="45"/>
    </row>
    <row r="147" spans="1:25" ht="13.5" customHeight="1" x14ac:dyDescent="0.3">
      <c r="A147" s="45"/>
      <c r="B147" s="45"/>
      <c r="C147" s="52"/>
      <c r="D147" s="45"/>
      <c r="E147" s="45"/>
      <c r="F147" s="45"/>
      <c r="G147" s="52"/>
      <c r="H147" s="52"/>
      <c r="I147" s="45"/>
      <c r="J147" s="45"/>
      <c r="K147" s="45"/>
      <c r="L147" s="45"/>
      <c r="M147" s="45"/>
      <c r="N147" s="45"/>
      <c r="O147" s="45"/>
      <c r="P147" s="45"/>
      <c r="Q147" s="45"/>
      <c r="R147" s="45"/>
      <c r="S147" s="45"/>
      <c r="T147" s="45"/>
      <c r="U147" s="45"/>
      <c r="V147" s="45"/>
      <c r="W147" s="45"/>
      <c r="X147" s="45"/>
      <c r="Y147" s="45"/>
    </row>
    <row r="148" spans="1:25" ht="13.5" customHeight="1" x14ac:dyDescent="0.3">
      <c r="A148" s="45"/>
      <c r="B148" s="45"/>
      <c r="C148" s="52"/>
      <c r="D148" s="45"/>
      <c r="E148" s="45"/>
      <c r="F148" s="45"/>
      <c r="G148" s="52"/>
      <c r="H148" s="52"/>
      <c r="I148" s="45"/>
      <c r="J148" s="45"/>
      <c r="K148" s="45"/>
      <c r="L148" s="45"/>
      <c r="M148" s="45"/>
      <c r="N148" s="45"/>
      <c r="O148" s="45"/>
      <c r="P148" s="45"/>
      <c r="Q148" s="45"/>
      <c r="R148" s="45"/>
      <c r="S148" s="45"/>
      <c r="T148" s="45"/>
      <c r="U148" s="45"/>
      <c r="V148" s="45"/>
      <c r="W148" s="45"/>
      <c r="X148" s="45"/>
      <c r="Y148" s="45"/>
    </row>
    <row r="149" spans="1:25" ht="13.5" customHeight="1" x14ac:dyDescent="0.3">
      <c r="A149" s="45"/>
      <c r="B149" s="45"/>
      <c r="C149" s="52"/>
      <c r="D149" s="45"/>
      <c r="E149" s="45"/>
      <c r="F149" s="45"/>
      <c r="G149" s="52"/>
      <c r="H149" s="52"/>
      <c r="I149" s="45"/>
      <c r="J149" s="45"/>
      <c r="K149" s="45"/>
      <c r="L149" s="45"/>
      <c r="M149" s="45"/>
      <c r="N149" s="45"/>
      <c r="O149" s="45"/>
      <c r="P149" s="45"/>
      <c r="Q149" s="45"/>
      <c r="R149" s="45"/>
      <c r="S149" s="45"/>
      <c r="T149" s="45"/>
      <c r="U149" s="45"/>
      <c r="V149" s="45"/>
      <c r="W149" s="45"/>
      <c r="X149" s="45"/>
      <c r="Y149" s="45"/>
    </row>
    <row r="150" spans="1:25" ht="13.5" customHeight="1" x14ac:dyDescent="0.3">
      <c r="A150" s="45"/>
      <c r="B150" s="45"/>
      <c r="C150" s="52"/>
      <c r="D150" s="45"/>
      <c r="E150" s="45"/>
      <c r="F150" s="45"/>
      <c r="G150" s="52"/>
      <c r="H150" s="52"/>
      <c r="I150" s="45"/>
      <c r="J150" s="45"/>
      <c r="K150" s="45"/>
      <c r="L150" s="45"/>
      <c r="M150" s="45"/>
      <c r="N150" s="45"/>
      <c r="O150" s="45"/>
      <c r="P150" s="45"/>
      <c r="Q150" s="45"/>
      <c r="R150" s="45"/>
      <c r="S150" s="45"/>
      <c r="T150" s="45"/>
      <c r="U150" s="45"/>
      <c r="V150" s="45"/>
      <c r="W150" s="45"/>
      <c r="X150" s="45"/>
      <c r="Y150" s="45"/>
    </row>
    <row r="151" spans="1:25" ht="13.5" customHeight="1" x14ac:dyDescent="0.3">
      <c r="A151" s="45"/>
      <c r="B151" s="45"/>
      <c r="C151" s="52"/>
      <c r="D151" s="45"/>
      <c r="E151" s="45"/>
      <c r="F151" s="45"/>
      <c r="G151" s="52"/>
      <c r="H151" s="52"/>
      <c r="I151" s="45"/>
      <c r="J151" s="45"/>
      <c r="K151" s="45"/>
      <c r="L151" s="45"/>
      <c r="M151" s="45"/>
      <c r="N151" s="45"/>
      <c r="O151" s="45"/>
      <c r="P151" s="45"/>
      <c r="Q151" s="45"/>
      <c r="R151" s="45"/>
      <c r="S151" s="45"/>
      <c r="T151" s="45"/>
      <c r="U151" s="45"/>
      <c r="V151" s="45"/>
      <c r="W151" s="45"/>
      <c r="X151" s="45"/>
      <c r="Y151" s="45"/>
    </row>
    <row r="152" spans="1:25" ht="13.5" customHeight="1" x14ac:dyDescent="0.3">
      <c r="A152" s="45"/>
      <c r="B152" s="45"/>
      <c r="C152" s="52"/>
      <c r="D152" s="45"/>
      <c r="E152" s="45"/>
      <c r="F152" s="45"/>
      <c r="G152" s="52"/>
      <c r="H152" s="52"/>
      <c r="I152" s="45"/>
      <c r="J152" s="45"/>
      <c r="K152" s="45"/>
      <c r="L152" s="45"/>
      <c r="M152" s="45"/>
      <c r="N152" s="45"/>
      <c r="O152" s="45"/>
      <c r="P152" s="45"/>
      <c r="Q152" s="45"/>
      <c r="R152" s="45"/>
      <c r="S152" s="45"/>
      <c r="T152" s="45"/>
      <c r="U152" s="45"/>
      <c r="V152" s="45"/>
      <c r="W152" s="45"/>
      <c r="X152" s="45"/>
      <c r="Y152" s="45"/>
    </row>
    <row r="153" spans="1:25" ht="13.5" customHeight="1" x14ac:dyDescent="0.3">
      <c r="A153" s="45"/>
      <c r="B153" s="45"/>
      <c r="C153" s="52"/>
      <c r="D153" s="45"/>
      <c r="E153" s="45"/>
      <c r="F153" s="45"/>
      <c r="G153" s="52"/>
      <c r="H153" s="52"/>
      <c r="I153" s="45"/>
      <c r="J153" s="45"/>
      <c r="K153" s="45"/>
      <c r="L153" s="45"/>
      <c r="M153" s="45"/>
      <c r="N153" s="45"/>
      <c r="O153" s="45"/>
      <c r="P153" s="45"/>
      <c r="Q153" s="45"/>
      <c r="R153" s="45"/>
      <c r="S153" s="45"/>
      <c r="T153" s="45"/>
      <c r="U153" s="45"/>
      <c r="V153" s="45"/>
      <c r="W153" s="45"/>
      <c r="X153" s="45"/>
      <c r="Y153" s="45"/>
    </row>
    <row r="154" spans="1:25" ht="13.5" customHeight="1" x14ac:dyDescent="0.3">
      <c r="A154" s="45"/>
      <c r="B154" s="45"/>
      <c r="C154" s="52"/>
      <c r="D154" s="45"/>
      <c r="E154" s="45"/>
      <c r="F154" s="45"/>
      <c r="G154" s="52"/>
      <c r="H154" s="52"/>
      <c r="I154" s="45"/>
      <c r="J154" s="45"/>
      <c r="K154" s="45"/>
      <c r="L154" s="45"/>
      <c r="M154" s="45"/>
      <c r="N154" s="45"/>
      <c r="O154" s="45"/>
      <c r="P154" s="45"/>
      <c r="Q154" s="45"/>
      <c r="R154" s="45"/>
      <c r="S154" s="45"/>
      <c r="T154" s="45"/>
      <c r="U154" s="45"/>
      <c r="V154" s="45"/>
      <c r="W154" s="45"/>
      <c r="X154" s="45"/>
      <c r="Y154" s="45"/>
    </row>
    <row r="155" spans="1:25" ht="13.5" customHeight="1" x14ac:dyDescent="0.3">
      <c r="A155" s="45"/>
      <c r="B155" s="45"/>
      <c r="C155" s="52"/>
      <c r="D155" s="45"/>
      <c r="E155" s="45"/>
      <c r="F155" s="45"/>
      <c r="G155" s="52"/>
      <c r="H155" s="52"/>
      <c r="I155" s="45"/>
      <c r="J155" s="45"/>
      <c r="K155" s="45"/>
      <c r="L155" s="45"/>
      <c r="M155" s="45"/>
      <c r="N155" s="45"/>
      <c r="O155" s="45"/>
      <c r="P155" s="45"/>
      <c r="Q155" s="45"/>
      <c r="R155" s="45"/>
      <c r="S155" s="45"/>
      <c r="T155" s="45"/>
      <c r="U155" s="45"/>
      <c r="V155" s="45"/>
      <c r="W155" s="45"/>
      <c r="X155" s="45"/>
      <c r="Y155" s="45"/>
    </row>
    <row r="156" spans="1:25" ht="13.5" customHeight="1" x14ac:dyDescent="0.3">
      <c r="A156" s="45"/>
      <c r="B156" s="45"/>
      <c r="C156" s="52"/>
      <c r="D156" s="45"/>
      <c r="E156" s="45"/>
      <c r="F156" s="45"/>
      <c r="G156" s="52"/>
      <c r="H156" s="52"/>
      <c r="I156" s="45"/>
      <c r="J156" s="45"/>
      <c r="K156" s="45"/>
      <c r="L156" s="45"/>
      <c r="M156" s="45"/>
      <c r="N156" s="45"/>
      <c r="O156" s="45"/>
      <c r="P156" s="45"/>
      <c r="Q156" s="45"/>
      <c r="R156" s="45"/>
      <c r="S156" s="45"/>
      <c r="T156" s="45"/>
      <c r="U156" s="45"/>
      <c r="V156" s="45"/>
      <c r="W156" s="45"/>
      <c r="X156" s="45"/>
      <c r="Y156" s="45"/>
    </row>
    <row r="157" spans="1:25" ht="13.5" customHeight="1" x14ac:dyDescent="0.3">
      <c r="A157" s="45"/>
      <c r="B157" s="45"/>
      <c r="C157" s="52"/>
      <c r="D157" s="45"/>
      <c r="E157" s="45"/>
      <c r="F157" s="45"/>
      <c r="G157" s="52"/>
      <c r="H157" s="52"/>
      <c r="I157" s="45"/>
      <c r="J157" s="45"/>
      <c r="K157" s="45"/>
      <c r="L157" s="45"/>
      <c r="M157" s="45"/>
      <c r="N157" s="45"/>
      <c r="O157" s="45"/>
      <c r="P157" s="45"/>
      <c r="Q157" s="45"/>
      <c r="R157" s="45"/>
      <c r="S157" s="45"/>
      <c r="T157" s="45"/>
      <c r="U157" s="45"/>
      <c r="V157" s="45"/>
      <c r="W157" s="45"/>
      <c r="X157" s="45"/>
      <c r="Y157" s="45"/>
    </row>
    <row r="158" spans="1:25" ht="13.5" customHeight="1" x14ac:dyDescent="0.3">
      <c r="A158" s="45"/>
      <c r="B158" s="45"/>
      <c r="C158" s="52"/>
      <c r="D158" s="45"/>
      <c r="E158" s="45"/>
      <c r="F158" s="45"/>
      <c r="G158" s="52"/>
      <c r="H158" s="52"/>
      <c r="I158" s="45"/>
      <c r="J158" s="45"/>
      <c r="K158" s="45"/>
      <c r="L158" s="45"/>
      <c r="M158" s="45"/>
      <c r="N158" s="45"/>
      <c r="O158" s="45"/>
      <c r="P158" s="45"/>
      <c r="Q158" s="45"/>
      <c r="R158" s="45"/>
      <c r="S158" s="45"/>
      <c r="T158" s="45"/>
      <c r="U158" s="45"/>
      <c r="V158" s="45"/>
      <c r="W158" s="45"/>
      <c r="X158" s="45"/>
      <c r="Y158" s="45"/>
    </row>
    <row r="159" spans="1:25" ht="13.5" customHeight="1" x14ac:dyDescent="0.3">
      <c r="A159" s="45"/>
      <c r="B159" s="45"/>
      <c r="C159" s="52"/>
      <c r="D159" s="45"/>
      <c r="E159" s="45"/>
      <c r="F159" s="45"/>
      <c r="G159" s="52"/>
      <c r="H159" s="52"/>
      <c r="I159" s="45"/>
      <c r="J159" s="45"/>
      <c r="K159" s="45"/>
      <c r="L159" s="45"/>
      <c r="M159" s="45"/>
      <c r="N159" s="45"/>
      <c r="O159" s="45"/>
      <c r="P159" s="45"/>
      <c r="Q159" s="45"/>
      <c r="R159" s="45"/>
      <c r="S159" s="45"/>
      <c r="T159" s="45"/>
      <c r="U159" s="45"/>
      <c r="V159" s="45"/>
      <c r="W159" s="45"/>
      <c r="X159" s="45"/>
      <c r="Y159" s="45"/>
    </row>
    <row r="160" spans="1:25" ht="13.5" customHeight="1" x14ac:dyDescent="0.3">
      <c r="A160" s="45"/>
      <c r="B160" s="45"/>
      <c r="C160" s="52"/>
      <c r="D160" s="45"/>
      <c r="E160" s="45"/>
      <c r="F160" s="45"/>
      <c r="G160" s="52"/>
      <c r="H160" s="52"/>
      <c r="I160" s="45"/>
      <c r="J160" s="45"/>
      <c r="K160" s="45"/>
      <c r="L160" s="45"/>
      <c r="M160" s="45"/>
      <c r="N160" s="45"/>
      <c r="O160" s="45"/>
      <c r="P160" s="45"/>
      <c r="Q160" s="45"/>
      <c r="R160" s="45"/>
      <c r="S160" s="45"/>
      <c r="T160" s="45"/>
      <c r="U160" s="45"/>
      <c r="V160" s="45"/>
      <c r="W160" s="45"/>
      <c r="X160" s="45"/>
      <c r="Y160" s="45"/>
    </row>
    <row r="161" spans="1:25" ht="13.5" customHeight="1" x14ac:dyDescent="0.3">
      <c r="A161" s="45"/>
      <c r="B161" s="45"/>
      <c r="C161" s="52"/>
      <c r="D161" s="45"/>
      <c r="E161" s="45"/>
      <c r="F161" s="45"/>
      <c r="G161" s="52"/>
      <c r="H161" s="52"/>
      <c r="I161" s="45"/>
      <c r="J161" s="45"/>
      <c r="K161" s="45"/>
      <c r="L161" s="45"/>
      <c r="M161" s="45"/>
      <c r="N161" s="45"/>
      <c r="O161" s="45"/>
      <c r="P161" s="45"/>
      <c r="Q161" s="45"/>
      <c r="R161" s="45"/>
      <c r="S161" s="45"/>
      <c r="T161" s="45"/>
      <c r="U161" s="45"/>
      <c r="V161" s="45"/>
      <c r="W161" s="45"/>
      <c r="X161" s="45"/>
      <c r="Y161" s="45"/>
    </row>
    <row r="162" spans="1:25" ht="13.5" customHeight="1" x14ac:dyDescent="0.3">
      <c r="A162" s="45"/>
      <c r="B162" s="45"/>
      <c r="C162" s="52"/>
      <c r="D162" s="45"/>
      <c r="E162" s="45"/>
      <c r="F162" s="45"/>
      <c r="G162" s="52"/>
      <c r="H162" s="52"/>
      <c r="I162" s="45"/>
      <c r="J162" s="45"/>
      <c r="K162" s="45"/>
      <c r="L162" s="45"/>
      <c r="M162" s="45"/>
      <c r="N162" s="45"/>
      <c r="O162" s="45"/>
      <c r="P162" s="45"/>
      <c r="Q162" s="45"/>
      <c r="R162" s="45"/>
      <c r="S162" s="45"/>
      <c r="T162" s="45"/>
      <c r="U162" s="45"/>
      <c r="V162" s="45"/>
      <c r="W162" s="45"/>
      <c r="X162" s="45"/>
      <c r="Y162" s="45"/>
    </row>
    <row r="163" spans="1:25" ht="13.5" customHeight="1" x14ac:dyDescent="0.3">
      <c r="A163" s="45"/>
      <c r="B163" s="45"/>
      <c r="C163" s="52"/>
      <c r="D163" s="45"/>
      <c r="E163" s="45"/>
      <c r="F163" s="45"/>
      <c r="G163" s="52"/>
      <c r="H163" s="52"/>
      <c r="I163" s="45"/>
      <c r="J163" s="45"/>
      <c r="K163" s="45"/>
      <c r="L163" s="45"/>
      <c r="M163" s="45"/>
      <c r="N163" s="45"/>
      <c r="O163" s="45"/>
      <c r="P163" s="45"/>
      <c r="Q163" s="45"/>
      <c r="R163" s="45"/>
      <c r="S163" s="45"/>
      <c r="T163" s="45"/>
      <c r="U163" s="45"/>
      <c r="V163" s="45"/>
      <c r="W163" s="45"/>
      <c r="X163" s="45"/>
      <c r="Y163" s="45"/>
    </row>
    <row r="164" spans="1:25" ht="13.5" customHeight="1" x14ac:dyDescent="0.3">
      <c r="A164" s="45"/>
      <c r="B164" s="45"/>
      <c r="C164" s="52"/>
      <c r="D164" s="45"/>
      <c r="E164" s="45"/>
      <c r="F164" s="45"/>
      <c r="G164" s="52"/>
      <c r="H164" s="52"/>
      <c r="I164" s="45"/>
      <c r="J164" s="45"/>
      <c r="K164" s="45"/>
      <c r="L164" s="45"/>
      <c r="M164" s="45"/>
      <c r="N164" s="45"/>
      <c r="O164" s="45"/>
      <c r="P164" s="45"/>
      <c r="Q164" s="45"/>
      <c r="R164" s="45"/>
      <c r="S164" s="45"/>
      <c r="T164" s="45"/>
      <c r="U164" s="45"/>
      <c r="V164" s="45"/>
      <c r="W164" s="45"/>
      <c r="X164" s="45"/>
      <c r="Y164" s="45"/>
    </row>
    <row r="165" spans="1:25" ht="13.5" customHeight="1" x14ac:dyDescent="0.3">
      <c r="A165" s="45"/>
      <c r="B165" s="45"/>
      <c r="C165" s="52"/>
      <c r="D165" s="45"/>
      <c r="E165" s="45"/>
      <c r="F165" s="45"/>
      <c r="G165" s="52"/>
      <c r="H165" s="52"/>
      <c r="I165" s="45"/>
      <c r="J165" s="45"/>
      <c r="K165" s="45"/>
      <c r="L165" s="45"/>
      <c r="M165" s="45"/>
      <c r="N165" s="45"/>
      <c r="O165" s="45"/>
      <c r="P165" s="45"/>
      <c r="Q165" s="45"/>
      <c r="R165" s="45"/>
      <c r="S165" s="45"/>
      <c r="T165" s="45"/>
      <c r="U165" s="45"/>
      <c r="V165" s="45"/>
      <c r="W165" s="45"/>
      <c r="X165" s="45"/>
      <c r="Y165" s="45"/>
    </row>
    <row r="166" spans="1:25" ht="13.5" customHeight="1" x14ac:dyDescent="0.3">
      <c r="A166" s="45"/>
      <c r="B166" s="45"/>
      <c r="C166" s="52"/>
      <c r="D166" s="45"/>
      <c r="E166" s="45"/>
      <c r="F166" s="45"/>
      <c r="G166" s="52"/>
      <c r="H166" s="52"/>
      <c r="I166" s="45"/>
      <c r="J166" s="45"/>
      <c r="K166" s="45"/>
      <c r="L166" s="45"/>
      <c r="M166" s="45"/>
      <c r="N166" s="45"/>
      <c r="O166" s="45"/>
      <c r="P166" s="45"/>
      <c r="Q166" s="45"/>
      <c r="R166" s="45"/>
      <c r="S166" s="45"/>
      <c r="T166" s="45"/>
      <c r="U166" s="45"/>
      <c r="V166" s="45"/>
      <c r="W166" s="45"/>
      <c r="X166" s="45"/>
      <c r="Y166" s="45"/>
    </row>
    <row r="167" spans="1:25" ht="13.5" customHeight="1" x14ac:dyDescent="0.3">
      <c r="A167" s="45"/>
      <c r="B167" s="45"/>
      <c r="C167" s="52"/>
      <c r="D167" s="45"/>
      <c r="E167" s="45"/>
      <c r="F167" s="45"/>
      <c r="G167" s="52"/>
      <c r="H167" s="52"/>
      <c r="I167" s="45"/>
      <c r="J167" s="45"/>
      <c r="K167" s="45"/>
      <c r="L167" s="45"/>
      <c r="M167" s="45"/>
      <c r="N167" s="45"/>
      <c r="O167" s="45"/>
      <c r="P167" s="45"/>
      <c r="Q167" s="45"/>
      <c r="R167" s="45"/>
      <c r="S167" s="45"/>
      <c r="T167" s="45"/>
      <c r="U167" s="45"/>
      <c r="V167" s="45"/>
      <c r="W167" s="45"/>
      <c r="X167" s="45"/>
      <c r="Y167" s="45"/>
    </row>
    <row r="168" spans="1:25" ht="13.5" customHeight="1" x14ac:dyDescent="0.3">
      <c r="A168" s="45"/>
      <c r="B168" s="45"/>
      <c r="C168" s="52"/>
      <c r="D168" s="45"/>
      <c r="E168" s="45"/>
      <c r="F168" s="45"/>
      <c r="G168" s="52"/>
      <c r="H168" s="52"/>
      <c r="I168" s="45"/>
      <c r="J168" s="45"/>
      <c r="K168" s="45"/>
      <c r="L168" s="45"/>
      <c r="M168" s="45"/>
      <c r="N168" s="45"/>
      <c r="O168" s="45"/>
      <c r="P168" s="45"/>
      <c r="Q168" s="45"/>
      <c r="R168" s="45"/>
      <c r="S168" s="45"/>
      <c r="T168" s="45"/>
      <c r="U168" s="45"/>
      <c r="V168" s="45"/>
      <c r="W168" s="45"/>
      <c r="X168" s="45"/>
      <c r="Y168" s="45"/>
    </row>
    <row r="169" spans="1:25" ht="13.5" customHeight="1" x14ac:dyDescent="0.3">
      <c r="A169" s="45"/>
      <c r="B169" s="45"/>
      <c r="C169" s="52"/>
      <c r="D169" s="45"/>
      <c r="E169" s="45"/>
      <c r="F169" s="45"/>
      <c r="G169" s="52"/>
      <c r="H169" s="52"/>
      <c r="I169" s="45"/>
      <c r="J169" s="45"/>
      <c r="K169" s="45"/>
      <c r="L169" s="45"/>
      <c r="M169" s="45"/>
      <c r="N169" s="45"/>
      <c r="O169" s="45"/>
      <c r="P169" s="45"/>
      <c r="Q169" s="45"/>
      <c r="R169" s="45"/>
      <c r="S169" s="45"/>
      <c r="T169" s="45"/>
      <c r="U169" s="45"/>
      <c r="V169" s="45"/>
      <c r="W169" s="45"/>
      <c r="X169" s="45"/>
      <c r="Y169" s="45"/>
    </row>
    <row r="170" spans="1:25" ht="13.5" customHeight="1" x14ac:dyDescent="0.3">
      <c r="A170" s="45"/>
      <c r="B170" s="45"/>
      <c r="C170" s="52"/>
      <c r="D170" s="45"/>
      <c r="E170" s="45"/>
      <c r="F170" s="45"/>
      <c r="G170" s="52"/>
      <c r="H170" s="52"/>
      <c r="I170" s="45"/>
      <c r="J170" s="45"/>
      <c r="K170" s="45"/>
      <c r="L170" s="45"/>
      <c r="M170" s="45"/>
      <c r="N170" s="45"/>
      <c r="O170" s="45"/>
      <c r="P170" s="45"/>
      <c r="Q170" s="45"/>
      <c r="R170" s="45"/>
      <c r="S170" s="45"/>
      <c r="T170" s="45"/>
      <c r="U170" s="45"/>
      <c r="V170" s="45"/>
      <c r="W170" s="45"/>
      <c r="X170" s="45"/>
      <c r="Y170" s="45"/>
    </row>
    <row r="171" spans="1:25" ht="13.5" customHeight="1" x14ac:dyDescent="0.3">
      <c r="A171" s="45"/>
      <c r="B171" s="45"/>
      <c r="C171" s="52"/>
      <c r="D171" s="45"/>
      <c r="E171" s="45"/>
      <c r="F171" s="45"/>
      <c r="G171" s="52"/>
      <c r="H171" s="52"/>
      <c r="I171" s="45"/>
      <c r="J171" s="45"/>
      <c r="K171" s="45"/>
      <c r="L171" s="45"/>
      <c r="M171" s="45"/>
      <c r="N171" s="45"/>
      <c r="O171" s="45"/>
      <c r="P171" s="45"/>
      <c r="Q171" s="45"/>
      <c r="R171" s="45"/>
      <c r="S171" s="45"/>
      <c r="T171" s="45"/>
      <c r="U171" s="45"/>
      <c r="V171" s="45"/>
      <c r="W171" s="45"/>
      <c r="X171" s="45"/>
      <c r="Y171" s="45"/>
    </row>
    <row r="172" spans="1:25" ht="13.5" customHeight="1" x14ac:dyDescent="0.3">
      <c r="A172" s="45"/>
      <c r="B172" s="45"/>
      <c r="C172" s="52"/>
      <c r="D172" s="45"/>
      <c r="E172" s="45"/>
      <c r="F172" s="45"/>
      <c r="G172" s="52"/>
      <c r="H172" s="52"/>
      <c r="I172" s="45"/>
      <c r="J172" s="45"/>
      <c r="K172" s="45"/>
      <c r="L172" s="45"/>
      <c r="M172" s="45"/>
      <c r="N172" s="45"/>
      <c r="O172" s="45"/>
      <c r="P172" s="45"/>
      <c r="Q172" s="45"/>
      <c r="R172" s="45"/>
      <c r="S172" s="45"/>
      <c r="T172" s="45"/>
      <c r="U172" s="45"/>
      <c r="V172" s="45"/>
      <c r="W172" s="45"/>
      <c r="X172" s="45"/>
      <c r="Y172" s="45"/>
    </row>
    <row r="173" spans="1:25" ht="13.5" customHeight="1" x14ac:dyDescent="0.3">
      <c r="A173" s="45"/>
      <c r="B173" s="45"/>
      <c r="C173" s="52"/>
      <c r="D173" s="45"/>
      <c r="E173" s="45"/>
      <c r="F173" s="45"/>
      <c r="G173" s="52"/>
      <c r="H173" s="52"/>
      <c r="I173" s="45"/>
      <c r="J173" s="45"/>
      <c r="K173" s="45"/>
      <c r="L173" s="45"/>
      <c r="M173" s="45"/>
      <c r="N173" s="45"/>
      <c r="O173" s="45"/>
      <c r="P173" s="45"/>
      <c r="Q173" s="45"/>
      <c r="R173" s="45"/>
      <c r="S173" s="45"/>
      <c r="T173" s="45"/>
      <c r="U173" s="45"/>
      <c r="V173" s="45"/>
      <c r="W173" s="45"/>
      <c r="X173" s="45"/>
      <c r="Y173" s="45"/>
    </row>
    <row r="174" spans="1:25" ht="13.5" customHeight="1" x14ac:dyDescent="0.3">
      <c r="A174" s="45"/>
      <c r="B174" s="45"/>
      <c r="C174" s="52"/>
      <c r="D174" s="45"/>
      <c r="E174" s="45"/>
      <c r="F174" s="45"/>
      <c r="G174" s="52"/>
      <c r="H174" s="52"/>
      <c r="I174" s="45"/>
      <c r="J174" s="45"/>
      <c r="K174" s="45"/>
      <c r="L174" s="45"/>
      <c r="M174" s="45"/>
      <c r="N174" s="45"/>
      <c r="O174" s="45"/>
      <c r="P174" s="45"/>
      <c r="Q174" s="45"/>
      <c r="R174" s="45"/>
      <c r="S174" s="45"/>
      <c r="T174" s="45"/>
      <c r="U174" s="45"/>
      <c r="V174" s="45"/>
      <c r="W174" s="45"/>
      <c r="X174" s="45"/>
      <c r="Y174" s="45"/>
    </row>
    <row r="175" spans="1:25" ht="13.5" customHeight="1" x14ac:dyDescent="0.3">
      <c r="A175" s="45"/>
      <c r="B175" s="45"/>
      <c r="C175" s="52"/>
      <c r="D175" s="45"/>
      <c r="E175" s="45"/>
      <c r="F175" s="45"/>
      <c r="G175" s="52"/>
      <c r="H175" s="52"/>
      <c r="I175" s="45"/>
      <c r="J175" s="45"/>
      <c r="K175" s="45"/>
      <c r="L175" s="45"/>
      <c r="M175" s="45"/>
      <c r="N175" s="45"/>
      <c r="O175" s="45"/>
      <c r="P175" s="45"/>
      <c r="Q175" s="45"/>
      <c r="R175" s="45"/>
      <c r="S175" s="45"/>
      <c r="T175" s="45"/>
      <c r="U175" s="45"/>
      <c r="V175" s="45"/>
      <c r="W175" s="45"/>
      <c r="X175" s="45"/>
      <c r="Y175" s="45"/>
    </row>
    <row r="176" spans="1:25" ht="13.5" customHeight="1" x14ac:dyDescent="0.3">
      <c r="A176" s="45"/>
      <c r="B176" s="45"/>
      <c r="C176" s="52"/>
      <c r="D176" s="45"/>
      <c r="E176" s="45"/>
      <c r="F176" s="45"/>
      <c r="G176" s="52"/>
      <c r="H176" s="52"/>
      <c r="I176" s="45"/>
      <c r="J176" s="45"/>
      <c r="K176" s="45"/>
      <c r="L176" s="45"/>
      <c r="M176" s="45"/>
      <c r="N176" s="45"/>
      <c r="O176" s="45"/>
      <c r="P176" s="45"/>
      <c r="Q176" s="45"/>
      <c r="R176" s="45"/>
      <c r="S176" s="45"/>
      <c r="T176" s="45"/>
      <c r="U176" s="45"/>
      <c r="V176" s="45"/>
      <c r="W176" s="45"/>
      <c r="X176" s="45"/>
      <c r="Y176" s="45"/>
    </row>
    <row r="177" spans="1:25" ht="13.5" customHeight="1" x14ac:dyDescent="0.3">
      <c r="A177" s="45"/>
      <c r="B177" s="45"/>
      <c r="C177" s="52"/>
      <c r="D177" s="45"/>
      <c r="E177" s="45"/>
      <c r="F177" s="45"/>
      <c r="G177" s="52"/>
      <c r="H177" s="52"/>
      <c r="I177" s="45"/>
      <c r="J177" s="45"/>
      <c r="K177" s="45"/>
      <c r="L177" s="45"/>
      <c r="M177" s="45"/>
      <c r="N177" s="45"/>
      <c r="O177" s="45"/>
      <c r="P177" s="45"/>
      <c r="Q177" s="45"/>
      <c r="R177" s="45"/>
      <c r="S177" s="45"/>
      <c r="T177" s="45"/>
      <c r="U177" s="45"/>
      <c r="V177" s="45"/>
      <c r="W177" s="45"/>
      <c r="X177" s="45"/>
      <c r="Y177" s="45"/>
    </row>
    <row r="178" spans="1:25" ht="13.5" customHeight="1" x14ac:dyDescent="0.3">
      <c r="A178" s="45"/>
      <c r="B178" s="45"/>
      <c r="C178" s="52"/>
      <c r="D178" s="45"/>
      <c r="E178" s="45"/>
      <c r="F178" s="45"/>
      <c r="G178" s="52"/>
      <c r="H178" s="52"/>
      <c r="I178" s="45"/>
      <c r="J178" s="45"/>
      <c r="K178" s="45"/>
      <c r="L178" s="45"/>
      <c r="M178" s="45"/>
      <c r="N178" s="45"/>
      <c r="O178" s="45"/>
      <c r="P178" s="45"/>
      <c r="Q178" s="45"/>
      <c r="R178" s="45"/>
      <c r="S178" s="45"/>
      <c r="T178" s="45"/>
      <c r="U178" s="45"/>
      <c r="V178" s="45"/>
      <c r="W178" s="45"/>
      <c r="X178" s="45"/>
      <c r="Y178" s="45"/>
    </row>
    <row r="179" spans="1:25" ht="13.5" customHeight="1" x14ac:dyDescent="0.3">
      <c r="A179" s="45"/>
      <c r="B179" s="45"/>
      <c r="C179" s="52"/>
      <c r="D179" s="45"/>
      <c r="E179" s="45"/>
      <c r="F179" s="45"/>
      <c r="G179" s="52"/>
      <c r="H179" s="52"/>
      <c r="I179" s="45"/>
      <c r="J179" s="45"/>
      <c r="K179" s="45"/>
      <c r="L179" s="45"/>
      <c r="M179" s="45"/>
      <c r="N179" s="45"/>
      <c r="O179" s="45"/>
      <c r="P179" s="45"/>
      <c r="Q179" s="45"/>
      <c r="R179" s="45"/>
      <c r="S179" s="45"/>
      <c r="T179" s="45"/>
      <c r="U179" s="45"/>
      <c r="V179" s="45"/>
      <c r="W179" s="45"/>
      <c r="X179" s="45"/>
      <c r="Y179" s="45"/>
    </row>
    <row r="180" spans="1:25" ht="13.5" customHeight="1" x14ac:dyDescent="0.3">
      <c r="A180" s="45"/>
      <c r="B180" s="45"/>
      <c r="C180" s="52"/>
      <c r="D180" s="45"/>
      <c r="E180" s="45"/>
      <c r="F180" s="45"/>
      <c r="G180" s="52"/>
      <c r="H180" s="52"/>
      <c r="I180" s="45"/>
      <c r="J180" s="45"/>
      <c r="K180" s="45"/>
      <c r="L180" s="45"/>
      <c r="M180" s="45"/>
      <c r="N180" s="45"/>
      <c r="O180" s="45"/>
      <c r="P180" s="45"/>
      <c r="Q180" s="45"/>
      <c r="R180" s="45"/>
      <c r="S180" s="45"/>
      <c r="T180" s="45"/>
      <c r="U180" s="45"/>
      <c r="V180" s="45"/>
      <c r="W180" s="45"/>
      <c r="X180" s="45"/>
      <c r="Y180" s="45"/>
    </row>
    <row r="181" spans="1:25" ht="13.5" customHeight="1" x14ac:dyDescent="0.3">
      <c r="A181" s="45"/>
      <c r="B181" s="45"/>
      <c r="C181" s="52"/>
      <c r="D181" s="45"/>
      <c r="E181" s="45"/>
      <c r="F181" s="45"/>
      <c r="G181" s="52"/>
      <c r="H181" s="52"/>
      <c r="I181" s="45"/>
      <c r="J181" s="45"/>
      <c r="K181" s="45"/>
      <c r="L181" s="45"/>
      <c r="M181" s="45"/>
      <c r="N181" s="45"/>
      <c r="O181" s="45"/>
      <c r="P181" s="45"/>
      <c r="Q181" s="45"/>
      <c r="R181" s="45"/>
      <c r="S181" s="45"/>
      <c r="T181" s="45"/>
      <c r="U181" s="45"/>
      <c r="V181" s="45"/>
      <c r="W181" s="45"/>
      <c r="X181" s="45"/>
      <c r="Y181" s="45"/>
    </row>
    <row r="182" spans="1:25" ht="13.5" customHeight="1" x14ac:dyDescent="0.3">
      <c r="A182" s="45"/>
      <c r="B182" s="45"/>
      <c r="C182" s="52"/>
      <c r="D182" s="45"/>
      <c r="E182" s="45"/>
      <c r="F182" s="45"/>
      <c r="G182" s="52"/>
      <c r="H182" s="52"/>
      <c r="I182" s="45"/>
      <c r="J182" s="45"/>
      <c r="K182" s="45"/>
      <c r="L182" s="45"/>
      <c r="M182" s="45"/>
      <c r="N182" s="45"/>
      <c r="O182" s="45"/>
      <c r="P182" s="45"/>
      <c r="Q182" s="45"/>
      <c r="R182" s="45"/>
      <c r="S182" s="45"/>
      <c r="T182" s="45"/>
      <c r="U182" s="45"/>
      <c r="V182" s="45"/>
      <c r="W182" s="45"/>
      <c r="X182" s="45"/>
      <c r="Y182" s="45"/>
    </row>
    <row r="183" spans="1:25" ht="13.5" customHeight="1" x14ac:dyDescent="0.3">
      <c r="A183" s="45"/>
      <c r="B183" s="45"/>
      <c r="C183" s="52"/>
      <c r="D183" s="45"/>
      <c r="E183" s="45"/>
      <c r="F183" s="45"/>
      <c r="G183" s="52"/>
      <c r="H183" s="52"/>
      <c r="I183" s="45"/>
      <c r="J183" s="45"/>
      <c r="K183" s="45"/>
      <c r="L183" s="45"/>
      <c r="M183" s="45"/>
      <c r="N183" s="45"/>
      <c r="O183" s="45"/>
      <c r="P183" s="45"/>
      <c r="Q183" s="45"/>
      <c r="R183" s="45"/>
      <c r="S183" s="45"/>
      <c r="T183" s="45"/>
      <c r="U183" s="45"/>
      <c r="V183" s="45"/>
      <c r="W183" s="45"/>
      <c r="X183" s="45"/>
      <c r="Y183" s="45"/>
    </row>
    <row r="184" spans="1:25" ht="13.5" customHeight="1" x14ac:dyDescent="0.3">
      <c r="A184" s="45"/>
      <c r="B184" s="45"/>
      <c r="C184" s="52"/>
      <c r="D184" s="45"/>
      <c r="E184" s="45"/>
      <c r="F184" s="45"/>
      <c r="G184" s="52"/>
      <c r="H184" s="52"/>
      <c r="I184" s="45"/>
      <c r="J184" s="45"/>
      <c r="K184" s="45"/>
      <c r="L184" s="45"/>
      <c r="M184" s="45"/>
      <c r="N184" s="45"/>
      <c r="O184" s="45"/>
      <c r="P184" s="45"/>
      <c r="Q184" s="45"/>
      <c r="R184" s="45"/>
      <c r="S184" s="45"/>
      <c r="T184" s="45"/>
      <c r="U184" s="45"/>
      <c r="V184" s="45"/>
      <c r="W184" s="45"/>
      <c r="X184" s="45"/>
      <c r="Y184" s="45"/>
    </row>
    <row r="185" spans="1:25" ht="13.5" customHeight="1" x14ac:dyDescent="0.3">
      <c r="A185" s="45"/>
      <c r="B185" s="45"/>
      <c r="C185" s="52"/>
      <c r="D185" s="45"/>
      <c r="E185" s="45"/>
      <c r="F185" s="45"/>
      <c r="G185" s="52"/>
      <c r="H185" s="52"/>
      <c r="I185" s="45"/>
      <c r="J185" s="45"/>
      <c r="K185" s="45"/>
      <c r="L185" s="45"/>
      <c r="M185" s="45"/>
      <c r="N185" s="45"/>
      <c r="O185" s="45"/>
      <c r="P185" s="45"/>
      <c r="Q185" s="45"/>
      <c r="R185" s="45"/>
      <c r="S185" s="45"/>
      <c r="T185" s="45"/>
      <c r="U185" s="45"/>
      <c r="V185" s="45"/>
      <c r="W185" s="45"/>
      <c r="X185" s="45"/>
      <c r="Y185" s="45"/>
    </row>
    <row r="186" spans="1:25" ht="13.5" customHeight="1" x14ac:dyDescent="0.3">
      <c r="A186" s="45"/>
      <c r="B186" s="45"/>
      <c r="C186" s="52"/>
      <c r="D186" s="45"/>
      <c r="E186" s="45"/>
      <c r="F186" s="45"/>
      <c r="G186" s="52"/>
      <c r="H186" s="52"/>
      <c r="I186" s="45"/>
      <c r="J186" s="45"/>
      <c r="K186" s="45"/>
      <c r="L186" s="45"/>
      <c r="M186" s="45"/>
      <c r="N186" s="45"/>
      <c r="O186" s="45"/>
      <c r="P186" s="45"/>
      <c r="Q186" s="45"/>
      <c r="R186" s="45"/>
      <c r="S186" s="45"/>
      <c r="T186" s="45"/>
      <c r="U186" s="45"/>
      <c r="V186" s="45"/>
      <c r="W186" s="45"/>
      <c r="X186" s="45"/>
      <c r="Y186" s="45"/>
    </row>
    <row r="187" spans="1:25" ht="13.5" customHeight="1" x14ac:dyDescent="0.3">
      <c r="A187" s="45"/>
      <c r="B187" s="45"/>
      <c r="C187" s="52"/>
      <c r="D187" s="45"/>
      <c r="E187" s="45"/>
      <c r="F187" s="45"/>
      <c r="G187" s="52"/>
      <c r="H187" s="52"/>
      <c r="I187" s="45"/>
      <c r="J187" s="45"/>
      <c r="K187" s="45"/>
      <c r="L187" s="45"/>
      <c r="M187" s="45"/>
      <c r="N187" s="45"/>
      <c r="O187" s="45"/>
      <c r="P187" s="45"/>
      <c r="Q187" s="45"/>
      <c r="R187" s="45"/>
      <c r="S187" s="45"/>
      <c r="T187" s="45"/>
      <c r="U187" s="45"/>
      <c r="V187" s="45"/>
      <c r="W187" s="45"/>
      <c r="X187" s="45"/>
      <c r="Y187" s="45"/>
    </row>
    <row r="188" spans="1:25" ht="13.5" customHeight="1" x14ac:dyDescent="0.3">
      <c r="A188" s="45"/>
      <c r="B188" s="45"/>
      <c r="C188" s="52"/>
      <c r="D188" s="45"/>
      <c r="E188" s="45"/>
      <c r="F188" s="45"/>
      <c r="G188" s="52"/>
      <c r="H188" s="52"/>
      <c r="I188" s="45"/>
      <c r="J188" s="45"/>
      <c r="K188" s="45"/>
      <c r="L188" s="45"/>
      <c r="M188" s="45"/>
      <c r="N188" s="45"/>
      <c r="O188" s="45"/>
      <c r="P188" s="45"/>
      <c r="Q188" s="45"/>
      <c r="R188" s="45"/>
      <c r="S188" s="45"/>
      <c r="T188" s="45"/>
      <c r="U188" s="45"/>
      <c r="V188" s="45"/>
      <c r="W188" s="45"/>
      <c r="X188" s="45"/>
      <c r="Y188" s="45"/>
    </row>
    <row r="189" spans="1:25" ht="13.5" customHeight="1" x14ac:dyDescent="0.3">
      <c r="A189" s="45"/>
      <c r="B189" s="45"/>
      <c r="C189" s="52"/>
      <c r="D189" s="45"/>
      <c r="E189" s="45"/>
      <c r="F189" s="45"/>
      <c r="G189" s="52"/>
      <c r="H189" s="52"/>
      <c r="I189" s="45"/>
      <c r="J189" s="45"/>
      <c r="K189" s="45"/>
      <c r="L189" s="45"/>
      <c r="M189" s="45"/>
      <c r="N189" s="45"/>
      <c r="O189" s="45"/>
      <c r="P189" s="45"/>
      <c r="Q189" s="45"/>
      <c r="R189" s="45"/>
      <c r="S189" s="45"/>
      <c r="T189" s="45"/>
      <c r="U189" s="45"/>
      <c r="V189" s="45"/>
      <c r="W189" s="45"/>
      <c r="X189" s="45"/>
      <c r="Y189" s="45"/>
    </row>
    <row r="190" spans="1:25" ht="13.5" customHeight="1" x14ac:dyDescent="0.3">
      <c r="A190" s="45"/>
      <c r="B190" s="45"/>
      <c r="C190" s="52"/>
      <c r="D190" s="45"/>
      <c r="E190" s="45"/>
      <c r="F190" s="45"/>
      <c r="G190" s="52"/>
      <c r="H190" s="52"/>
      <c r="I190" s="45"/>
      <c r="J190" s="45"/>
      <c r="K190" s="45"/>
      <c r="L190" s="45"/>
      <c r="M190" s="45"/>
      <c r="N190" s="45"/>
      <c r="O190" s="45"/>
      <c r="P190" s="45"/>
      <c r="Q190" s="45"/>
      <c r="R190" s="45"/>
      <c r="S190" s="45"/>
      <c r="T190" s="45"/>
      <c r="U190" s="45"/>
      <c r="V190" s="45"/>
      <c r="W190" s="45"/>
      <c r="X190" s="45"/>
      <c r="Y190" s="45"/>
    </row>
    <row r="191" spans="1:25" ht="13.5" customHeight="1" x14ac:dyDescent="0.3">
      <c r="A191" s="45"/>
      <c r="B191" s="45"/>
      <c r="C191" s="52"/>
      <c r="D191" s="45"/>
      <c r="E191" s="45"/>
      <c r="F191" s="45"/>
      <c r="G191" s="52"/>
      <c r="H191" s="52"/>
      <c r="I191" s="45"/>
      <c r="J191" s="45"/>
      <c r="K191" s="45"/>
      <c r="L191" s="45"/>
      <c r="M191" s="45"/>
      <c r="N191" s="45"/>
      <c r="O191" s="45"/>
      <c r="P191" s="45"/>
      <c r="Q191" s="45"/>
      <c r="R191" s="45"/>
      <c r="S191" s="45"/>
      <c r="T191" s="45"/>
      <c r="U191" s="45"/>
      <c r="V191" s="45"/>
      <c r="W191" s="45"/>
      <c r="X191" s="45"/>
      <c r="Y191" s="45"/>
    </row>
    <row r="192" spans="1:25" ht="13.5" customHeight="1" x14ac:dyDescent="0.3">
      <c r="A192" s="45"/>
      <c r="B192" s="45"/>
      <c r="C192" s="52"/>
      <c r="D192" s="45"/>
      <c r="E192" s="45"/>
      <c r="F192" s="45"/>
      <c r="G192" s="52"/>
      <c r="H192" s="52"/>
      <c r="I192" s="45"/>
      <c r="J192" s="45"/>
      <c r="K192" s="45"/>
      <c r="L192" s="45"/>
      <c r="M192" s="45"/>
      <c r="N192" s="45"/>
      <c r="O192" s="45"/>
      <c r="P192" s="45"/>
      <c r="Q192" s="45"/>
      <c r="R192" s="45"/>
      <c r="S192" s="45"/>
      <c r="T192" s="45"/>
      <c r="U192" s="45"/>
      <c r="V192" s="45"/>
      <c r="W192" s="45"/>
      <c r="X192" s="45"/>
      <c r="Y192" s="45"/>
    </row>
    <row r="193" spans="1:25" ht="13.5" customHeight="1" x14ac:dyDescent="0.3">
      <c r="A193" s="45"/>
      <c r="B193" s="45"/>
      <c r="C193" s="52"/>
      <c r="D193" s="45"/>
      <c r="E193" s="45"/>
      <c r="F193" s="45"/>
      <c r="G193" s="52"/>
      <c r="H193" s="52"/>
      <c r="I193" s="45"/>
      <c r="J193" s="45"/>
      <c r="K193" s="45"/>
      <c r="L193" s="45"/>
      <c r="M193" s="45"/>
      <c r="N193" s="45"/>
      <c r="O193" s="45"/>
      <c r="P193" s="45"/>
      <c r="Q193" s="45"/>
      <c r="R193" s="45"/>
      <c r="S193" s="45"/>
      <c r="T193" s="45"/>
      <c r="U193" s="45"/>
      <c r="V193" s="45"/>
      <c r="W193" s="45"/>
      <c r="X193" s="45"/>
      <c r="Y193" s="45"/>
    </row>
    <row r="194" spans="1:25" ht="13.5" customHeight="1" x14ac:dyDescent="0.3">
      <c r="A194" s="45"/>
      <c r="B194" s="45"/>
      <c r="C194" s="52"/>
      <c r="D194" s="45"/>
      <c r="E194" s="45"/>
      <c r="F194" s="45"/>
      <c r="G194" s="52"/>
      <c r="H194" s="52"/>
      <c r="I194" s="45"/>
      <c r="J194" s="45"/>
      <c r="K194" s="45"/>
      <c r="L194" s="45"/>
      <c r="M194" s="45"/>
      <c r="N194" s="45"/>
      <c r="O194" s="45"/>
      <c r="P194" s="45"/>
      <c r="Q194" s="45"/>
      <c r="R194" s="45"/>
      <c r="S194" s="45"/>
      <c r="T194" s="45"/>
      <c r="U194" s="45"/>
      <c r="V194" s="45"/>
      <c r="W194" s="45"/>
      <c r="X194" s="45"/>
      <c r="Y194" s="45"/>
    </row>
    <row r="195" spans="1:25" ht="13.5" customHeight="1" x14ac:dyDescent="0.3">
      <c r="A195" s="45"/>
      <c r="B195" s="45"/>
      <c r="C195" s="52"/>
      <c r="D195" s="45"/>
      <c r="E195" s="45"/>
      <c r="F195" s="45"/>
      <c r="G195" s="52"/>
      <c r="H195" s="52"/>
      <c r="I195" s="45"/>
      <c r="J195" s="45"/>
      <c r="K195" s="45"/>
      <c r="L195" s="45"/>
      <c r="M195" s="45"/>
      <c r="N195" s="45"/>
      <c r="O195" s="45"/>
      <c r="P195" s="45"/>
      <c r="Q195" s="45"/>
      <c r="R195" s="45"/>
      <c r="S195" s="45"/>
      <c r="T195" s="45"/>
      <c r="U195" s="45"/>
      <c r="V195" s="45"/>
      <c r="W195" s="45"/>
      <c r="X195" s="45"/>
      <c r="Y195" s="45"/>
    </row>
    <row r="196" spans="1:25" ht="13.5" customHeight="1" x14ac:dyDescent="0.3">
      <c r="A196" s="45"/>
      <c r="B196" s="45"/>
      <c r="C196" s="52"/>
      <c r="D196" s="45"/>
      <c r="E196" s="45"/>
      <c r="F196" s="45"/>
      <c r="G196" s="52"/>
      <c r="H196" s="52"/>
      <c r="I196" s="45"/>
      <c r="J196" s="45"/>
      <c r="K196" s="45"/>
      <c r="L196" s="45"/>
      <c r="M196" s="45"/>
      <c r="N196" s="45"/>
      <c r="O196" s="45"/>
      <c r="P196" s="45"/>
      <c r="Q196" s="45"/>
      <c r="R196" s="45"/>
      <c r="S196" s="45"/>
      <c r="T196" s="45"/>
      <c r="U196" s="45"/>
      <c r="V196" s="45"/>
      <c r="W196" s="45"/>
      <c r="X196" s="45"/>
      <c r="Y196" s="45"/>
    </row>
    <row r="197" spans="1:25" ht="13.5" customHeight="1" x14ac:dyDescent="0.3">
      <c r="A197" s="45"/>
      <c r="B197" s="45"/>
      <c r="C197" s="52"/>
      <c r="D197" s="45"/>
      <c r="E197" s="45"/>
      <c r="F197" s="45"/>
      <c r="G197" s="52"/>
      <c r="H197" s="52"/>
      <c r="I197" s="45"/>
      <c r="J197" s="45"/>
      <c r="K197" s="45"/>
      <c r="L197" s="45"/>
      <c r="M197" s="45"/>
      <c r="N197" s="45"/>
      <c r="O197" s="45"/>
      <c r="P197" s="45"/>
      <c r="Q197" s="45"/>
      <c r="R197" s="45"/>
      <c r="S197" s="45"/>
      <c r="T197" s="45"/>
      <c r="U197" s="45"/>
      <c r="V197" s="45"/>
      <c r="W197" s="45"/>
      <c r="X197" s="45"/>
      <c r="Y197" s="45"/>
    </row>
    <row r="198" spans="1:25" ht="13.5" customHeight="1" x14ac:dyDescent="0.3">
      <c r="A198" s="45"/>
      <c r="B198" s="45"/>
      <c r="C198" s="52"/>
      <c r="D198" s="45"/>
      <c r="E198" s="45"/>
      <c r="F198" s="45"/>
      <c r="G198" s="52"/>
      <c r="H198" s="52"/>
      <c r="I198" s="45"/>
      <c r="J198" s="45"/>
      <c r="K198" s="45"/>
      <c r="L198" s="45"/>
      <c r="M198" s="45"/>
      <c r="N198" s="45"/>
      <c r="O198" s="45"/>
      <c r="P198" s="45"/>
      <c r="Q198" s="45"/>
      <c r="R198" s="45"/>
      <c r="S198" s="45"/>
      <c r="T198" s="45"/>
      <c r="U198" s="45"/>
      <c r="V198" s="45"/>
      <c r="W198" s="45"/>
      <c r="X198" s="45"/>
      <c r="Y198" s="45"/>
    </row>
    <row r="199" spans="1:25" ht="13.5" customHeight="1" x14ac:dyDescent="0.3">
      <c r="A199" s="45"/>
      <c r="B199" s="45"/>
      <c r="C199" s="52"/>
      <c r="D199" s="45"/>
      <c r="E199" s="45"/>
      <c r="F199" s="45"/>
      <c r="G199" s="52"/>
      <c r="H199" s="52"/>
      <c r="I199" s="45"/>
      <c r="J199" s="45"/>
      <c r="K199" s="45"/>
      <c r="L199" s="45"/>
      <c r="M199" s="45"/>
      <c r="N199" s="45"/>
      <c r="O199" s="45"/>
      <c r="P199" s="45"/>
      <c r="Q199" s="45"/>
      <c r="R199" s="45"/>
      <c r="S199" s="45"/>
      <c r="T199" s="45"/>
      <c r="U199" s="45"/>
      <c r="V199" s="45"/>
      <c r="W199" s="45"/>
      <c r="X199" s="45"/>
      <c r="Y199" s="45"/>
    </row>
    <row r="200" spans="1:25" ht="13.5" customHeight="1" x14ac:dyDescent="0.3">
      <c r="A200" s="45"/>
      <c r="B200" s="45"/>
      <c r="C200" s="52"/>
      <c r="D200" s="45"/>
      <c r="E200" s="45"/>
      <c r="F200" s="45"/>
      <c r="G200" s="52"/>
      <c r="H200" s="52"/>
      <c r="I200" s="45"/>
      <c r="J200" s="45"/>
      <c r="K200" s="45"/>
      <c r="L200" s="45"/>
      <c r="M200" s="45"/>
      <c r="N200" s="45"/>
      <c r="O200" s="45"/>
      <c r="P200" s="45"/>
      <c r="Q200" s="45"/>
      <c r="R200" s="45"/>
      <c r="S200" s="45"/>
      <c r="T200" s="45"/>
      <c r="U200" s="45"/>
      <c r="V200" s="45"/>
      <c r="W200" s="45"/>
      <c r="X200" s="45"/>
      <c r="Y200" s="45"/>
    </row>
    <row r="201" spans="1:25" ht="13.5" customHeight="1" x14ac:dyDescent="0.3">
      <c r="A201" s="45"/>
      <c r="B201" s="45"/>
      <c r="C201" s="52"/>
      <c r="D201" s="45"/>
      <c r="E201" s="45"/>
      <c r="F201" s="45"/>
      <c r="G201" s="52"/>
      <c r="H201" s="52"/>
      <c r="I201" s="45"/>
      <c r="J201" s="45"/>
      <c r="K201" s="45"/>
      <c r="L201" s="45"/>
      <c r="M201" s="45"/>
      <c r="N201" s="45"/>
      <c r="O201" s="45"/>
      <c r="P201" s="45"/>
      <c r="Q201" s="45"/>
      <c r="R201" s="45"/>
      <c r="S201" s="45"/>
      <c r="T201" s="45"/>
      <c r="U201" s="45"/>
      <c r="V201" s="45"/>
      <c r="W201" s="45"/>
      <c r="X201" s="45"/>
      <c r="Y201" s="45"/>
    </row>
    <row r="202" spans="1:25" ht="13.5" customHeight="1" x14ac:dyDescent="0.3">
      <c r="A202" s="45"/>
      <c r="B202" s="45"/>
      <c r="C202" s="52"/>
      <c r="D202" s="45"/>
      <c r="E202" s="45"/>
      <c r="F202" s="45"/>
      <c r="G202" s="52"/>
      <c r="H202" s="52"/>
      <c r="I202" s="45"/>
      <c r="J202" s="45"/>
      <c r="K202" s="45"/>
      <c r="L202" s="45"/>
      <c r="M202" s="45"/>
      <c r="N202" s="45"/>
      <c r="O202" s="45"/>
      <c r="P202" s="45"/>
      <c r="Q202" s="45"/>
      <c r="R202" s="45"/>
      <c r="S202" s="45"/>
      <c r="T202" s="45"/>
      <c r="U202" s="45"/>
      <c r="V202" s="45"/>
      <c r="W202" s="45"/>
      <c r="X202" s="45"/>
      <c r="Y202" s="45"/>
    </row>
    <row r="203" spans="1:25" ht="13.5" customHeight="1" x14ac:dyDescent="0.3">
      <c r="A203" s="45"/>
      <c r="B203" s="45"/>
      <c r="C203" s="52"/>
      <c r="D203" s="45"/>
      <c r="E203" s="45"/>
      <c r="F203" s="45"/>
      <c r="G203" s="52"/>
      <c r="H203" s="52"/>
      <c r="I203" s="45"/>
      <c r="J203" s="45"/>
      <c r="K203" s="45"/>
      <c r="L203" s="45"/>
      <c r="M203" s="45"/>
      <c r="N203" s="45"/>
      <c r="O203" s="45"/>
      <c r="P203" s="45"/>
      <c r="Q203" s="45"/>
      <c r="R203" s="45"/>
      <c r="S203" s="45"/>
      <c r="T203" s="45"/>
      <c r="U203" s="45"/>
      <c r="V203" s="45"/>
      <c r="W203" s="45"/>
      <c r="X203" s="45"/>
      <c r="Y203" s="45"/>
    </row>
    <row r="204" spans="1:25" ht="13.5" customHeight="1" x14ac:dyDescent="0.3">
      <c r="A204" s="45"/>
      <c r="B204" s="45"/>
      <c r="C204" s="52"/>
      <c r="D204" s="45"/>
      <c r="E204" s="45"/>
      <c r="F204" s="45"/>
      <c r="G204" s="52"/>
      <c r="H204" s="52"/>
      <c r="I204" s="45"/>
      <c r="J204" s="45"/>
      <c r="K204" s="45"/>
      <c r="L204" s="45"/>
      <c r="M204" s="45"/>
      <c r="N204" s="45"/>
      <c r="O204" s="45"/>
      <c r="P204" s="45"/>
      <c r="Q204" s="45"/>
      <c r="R204" s="45"/>
      <c r="S204" s="45"/>
      <c r="T204" s="45"/>
      <c r="U204" s="45"/>
      <c r="V204" s="45"/>
      <c r="W204" s="45"/>
      <c r="X204" s="45"/>
      <c r="Y204" s="45"/>
    </row>
    <row r="205" spans="1:25" ht="13.5" customHeight="1" x14ac:dyDescent="0.3">
      <c r="A205" s="45"/>
      <c r="B205" s="45"/>
      <c r="C205" s="52"/>
      <c r="D205" s="45"/>
      <c r="E205" s="45"/>
      <c r="F205" s="45"/>
      <c r="G205" s="52"/>
      <c r="H205" s="52"/>
      <c r="I205" s="45"/>
      <c r="J205" s="45"/>
      <c r="K205" s="45"/>
      <c r="L205" s="45"/>
      <c r="M205" s="45"/>
      <c r="N205" s="45"/>
      <c r="O205" s="45"/>
      <c r="P205" s="45"/>
      <c r="Q205" s="45"/>
      <c r="R205" s="45"/>
      <c r="S205" s="45"/>
      <c r="T205" s="45"/>
      <c r="U205" s="45"/>
      <c r="V205" s="45"/>
      <c r="W205" s="45"/>
      <c r="X205" s="45"/>
      <c r="Y205" s="45"/>
    </row>
    <row r="206" spans="1:25" ht="13.5" customHeight="1" x14ac:dyDescent="0.3">
      <c r="A206" s="45"/>
      <c r="B206" s="45"/>
      <c r="C206" s="52"/>
      <c r="D206" s="45"/>
      <c r="E206" s="45"/>
      <c r="F206" s="45"/>
      <c r="G206" s="52"/>
      <c r="H206" s="52"/>
      <c r="I206" s="45"/>
      <c r="J206" s="45"/>
      <c r="K206" s="45"/>
      <c r="L206" s="45"/>
      <c r="M206" s="45"/>
      <c r="N206" s="45"/>
      <c r="O206" s="45"/>
      <c r="P206" s="45"/>
      <c r="Q206" s="45"/>
      <c r="R206" s="45"/>
      <c r="S206" s="45"/>
      <c r="T206" s="45"/>
      <c r="U206" s="45"/>
      <c r="V206" s="45"/>
      <c r="W206" s="45"/>
      <c r="X206" s="45"/>
      <c r="Y206" s="45"/>
    </row>
    <row r="207" spans="1:25" ht="13.5" customHeight="1" x14ac:dyDescent="0.3">
      <c r="A207" s="45"/>
      <c r="B207" s="45"/>
      <c r="C207" s="52"/>
      <c r="D207" s="45"/>
      <c r="E207" s="45"/>
      <c r="F207" s="45"/>
      <c r="G207" s="52"/>
      <c r="H207" s="52"/>
      <c r="I207" s="45"/>
      <c r="J207" s="45"/>
      <c r="K207" s="45"/>
      <c r="L207" s="45"/>
      <c r="M207" s="45"/>
      <c r="N207" s="45"/>
      <c r="O207" s="45"/>
      <c r="P207" s="45"/>
      <c r="Q207" s="45"/>
      <c r="R207" s="45"/>
      <c r="S207" s="45"/>
      <c r="T207" s="45"/>
      <c r="U207" s="45"/>
      <c r="V207" s="45"/>
      <c r="W207" s="45"/>
      <c r="X207" s="45"/>
      <c r="Y207" s="45"/>
    </row>
    <row r="208" spans="1:25" ht="13.5" customHeight="1" x14ac:dyDescent="0.3">
      <c r="A208" s="45"/>
      <c r="B208" s="45"/>
      <c r="C208" s="52"/>
      <c r="D208" s="45"/>
      <c r="E208" s="45"/>
      <c r="F208" s="45"/>
      <c r="G208" s="52"/>
      <c r="H208" s="52"/>
      <c r="I208" s="45"/>
      <c r="J208" s="45"/>
      <c r="K208" s="45"/>
      <c r="L208" s="45"/>
      <c r="M208" s="45"/>
      <c r="N208" s="45"/>
      <c r="O208" s="45"/>
      <c r="P208" s="45"/>
      <c r="Q208" s="45"/>
      <c r="R208" s="45"/>
      <c r="S208" s="45"/>
      <c r="T208" s="45"/>
      <c r="U208" s="45"/>
      <c r="V208" s="45"/>
      <c r="W208" s="45"/>
      <c r="X208" s="45"/>
      <c r="Y208" s="45"/>
    </row>
    <row r="209" spans="1:25" ht="13.5" customHeight="1" x14ac:dyDescent="0.3">
      <c r="A209" s="45"/>
      <c r="B209" s="45"/>
      <c r="C209" s="52"/>
      <c r="D209" s="45"/>
      <c r="E209" s="45"/>
      <c r="F209" s="45"/>
      <c r="G209" s="52"/>
      <c r="H209" s="52"/>
      <c r="I209" s="45"/>
      <c r="J209" s="45"/>
      <c r="K209" s="45"/>
      <c r="L209" s="45"/>
      <c r="M209" s="45"/>
      <c r="N209" s="45"/>
      <c r="O209" s="45"/>
      <c r="P209" s="45"/>
      <c r="Q209" s="45"/>
      <c r="R209" s="45"/>
      <c r="S209" s="45"/>
      <c r="T209" s="45"/>
      <c r="U209" s="45"/>
      <c r="V209" s="45"/>
      <c r="W209" s="45"/>
      <c r="X209" s="45"/>
      <c r="Y209" s="45"/>
    </row>
    <row r="210" spans="1:25" ht="13.5" customHeight="1" x14ac:dyDescent="0.3">
      <c r="A210" s="45"/>
      <c r="B210" s="45"/>
      <c r="C210" s="52"/>
      <c r="D210" s="45"/>
      <c r="E210" s="45"/>
      <c r="F210" s="45"/>
      <c r="G210" s="52"/>
      <c r="H210" s="52"/>
      <c r="I210" s="45"/>
      <c r="J210" s="45"/>
      <c r="K210" s="45"/>
      <c r="L210" s="45"/>
      <c r="M210" s="45"/>
      <c r="N210" s="45"/>
      <c r="O210" s="45"/>
      <c r="P210" s="45"/>
      <c r="Q210" s="45"/>
      <c r="R210" s="45"/>
      <c r="S210" s="45"/>
      <c r="T210" s="45"/>
      <c r="U210" s="45"/>
      <c r="V210" s="45"/>
      <c r="W210" s="45"/>
      <c r="X210" s="45"/>
      <c r="Y210" s="45"/>
    </row>
    <row r="211" spans="1:25" ht="13.5" customHeight="1" x14ac:dyDescent="0.3">
      <c r="A211" s="45"/>
      <c r="B211" s="45"/>
      <c r="C211" s="52"/>
      <c r="D211" s="45"/>
      <c r="E211" s="45"/>
      <c r="F211" s="45"/>
      <c r="G211" s="52"/>
      <c r="H211" s="52"/>
      <c r="I211" s="45"/>
      <c r="J211" s="45"/>
      <c r="K211" s="45"/>
      <c r="L211" s="45"/>
      <c r="M211" s="45"/>
      <c r="N211" s="45"/>
      <c r="O211" s="45"/>
      <c r="P211" s="45"/>
      <c r="Q211" s="45"/>
      <c r="R211" s="45"/>
      <c r="S211" s="45"/>
      <c r="T211" s="45"/>
      <c r="U211" s="45"/>
      <c r="V211" s="45"/>
      <c r="W211" s="45"/>
      <c r="X211" s="45"/>
      <c r="Y211" s="45"/>
    </row>
    <row r="212" spans="1:25" ht="13.5" customHeight="1" x14ac:dyDescent="0.3">
      <c r="A212" s="45"/>
      <c r="B212" s="45"/>
      <c r="C212" s="52"/>
      <c r="D212" s="45"/>
      <c r="E212" s="45"/>
      <c r="F212" s="45"/>
      <c r="G212" s="52"/>
      <c r="H212" s="52"/>
      <c r="I212" s="45"/>
      <c r="J212" s="45"/>
      <c r="K212" s="45"/>
      <c r="L212" s="45"/>
      <c r="M212" s="45"/>
      <c r="N212" s="45"/>
      <c r="O212" s="45"/>
      <c r="P212" s="45"/>
      <c r="Q212" s="45"/>
      <c r="R212" s="45"/>
      <c r="S212" s="45"/>
      <c r="T212" s="45"/>
      <c r="U212" s="45"/>
      <c r="V212" s="45"/>
      <c r="W212" s="45"/>
      <c r="X212" s="45"/>
      <c r="Y212" s="45"/>
    </row>
    <row r="213" spans="1:25" ht="13.5" customHeight="1" x14ac:dyDescent="0.3">
      <c r="A213" s="45"/>
      <c r="B213" s="45"/>
      <c r="C213" s="52"/>
      <c r="D213" s="45"/>
      <c r="E213" s="45"/>
      <c r="F213" s="45"/>
      <c r="G213" s="52"/>
      <c r="H213" s="52"/>
      <c r="I213" s="45"/>
      <c r="J213" s="45"/>
      <c r="K213" s="45"/>
      <c r="L213" s="45"/>
      <c r="M213" s="45"/>
      <c r="N213" s="45"/>
      <c r="O213" s="45"/>
      <c r="P213" s="45"/>
      <c r="Q213" s="45"/>
      <c r="R213" s="45"/>
      <c r="S213" s="45"/>
      <c r="T213" s="45"/>
      <c r="U213" s="45"/>
      <c r="V213" s="45"/>
      <c r="W213" s="45"/>
      <c r="X213" s="45"/>
      <c r="Y213" s="45"/>
    </row>
    <row r="214" spans="1:25" ht="13.5" customHeight="1" x14ac:dyDescent="0.3">
      <c r="A214" s="45"/>
      <c r="B214" s="45"/>
      <c r="C214" s="52"/>
      <c r="D214" s="45"/>
      <c r="E214" s="45"/>
      <c r="F214" s="45"/>
      <c r="G214" s="52"/>
      <c r="H214" s="52"/>
      <c r="I214" s="45"/>
      <c r="J214" s="45"/>
      <c r="K214" s="45"/>
      <c r="L214" s="45"/>
      <c r="M214" s="45"/>
      <c r="N214" s="45"/>
      <c r="O214" s="45"/>
      <c r="P214" s="45"/>
      <c r="Q214" s="45"/>
      <c r="R214" s="45"/>
      <c r="S214" s="45"/>
      <c r="T214" s="45"/>
      <c r="U214" s="45"/>
      <c r="V214" s="45"/>
      <c r="W214" s="45"/>
      <c r="X214" s="45"/>
      <c r="Y214" s="45"/>
    </row>
    <row r="215" spans="1:25" ht="13.5" customHeight="1" x14ac:dyDescent="0.3">
      <c r="A215" s="45"/>
      <c r="B215" s="45"/>
      <c r="C215" s="52"/>
      <c r="D215" s="45"/>
      <c r="E215" s="45"/>
      <c r="F215" s="45"/>
      <c r="G215" s="52"/>
      <c r="H215" s="52"/>
      <c r="I215" s="45"/>
      <c r="J215" s="45"/>
      <c r="K215" s="45"/>
      <c r="L215" s="45"/>
      <c r="M215" s="45"/>
      <c r="N215" s="45"/>
      <c r="O215" s="45"/>
      <c r="P215" s="45"/>
      <c r="Q215" s="45"/>
      <c r="R215" s="45"/>
      <c r="S215" s="45"/>
      <c r="T215" s="45"/>
      <c r="U215" s="45"/>
      <c r="V215" s="45"/>
      <c r="W215" s="45"/>
      <c r="X215" s="45"/>
      <c r="Y215" s="45"/>
    </row>
    <row r="216" spans="1:25" ht="13.5" customHeight="1" x14ac:dyDescent="0.3">
      <c r="A216" s="45"/>
      <c r="B216" s="45"/>
      <c r="C216" s="52"/>
      <c r="D216" s="45"/>
      <c r="E216" s="45"/>
      <c r="F216" s="45"/>
      <c r="G216" s="52"/>
      <c r="H216" s="52"/>
      <c r="I216" s="45"/>
      <c r="J216" s="45"/>
      <c r="K216" s="45"/>
      <c r="L216" s="45"/>
      <c r="M216" s="45"/>
      <c r="N216" s="45"/>
      <c r="O216" s="45"/>
      <c r="P216" s="45"/>
      <c r="Q216" s="45"/>
      <c r="R216" s="45"/>
      <c r="S216" s="45"/>
      <c r="T216" s="45"/>
      <c r="U216" s="45"/>
      <c r="V216" s="45"/>
      <c r="W216" s="45"/>
      <c r="X216" s="45"/>
      <c r="Y216" s="45"/>
    </row>
    <row r="217" spans="1:25" ht="13.5" customHeight="1" x14ac:dyDescent="0.3">
      <c r="A217" s="45"/>
      <c r="B217" s="45"/>
      <c r="C217" s="52"/>
      <c r="D217" s="45"/>
      <c r="E217" s="45"/>
      <c r="F217" s="45"/>
      <c r="G217" s="52"/>
      <c r="H217" s="52"/>
      <c r="I217" s="45"/>
      <c r="J217" s="45"/>
      <c r="K217" s="45"/>
      <c r="L217" s="45"/>
      <c r="M217" s="45"/>
      <c r="N217" s="45"/>
      <c r="O217" s="45"/>
      <c r="P217" s="45"/>
      <c r="Q217" s="45"/>
      <c r="R217" s="45"/>
      <c r="S217" s="45"/>
      <c r="T217" s="45"/>
      <c r="U217" s="45"/>
      <c r="V217" s="45"/>
      <c r="W217" s="45"/>
      <c r="X217" s="45"/>
      <c r="Y217" s="45"/>
    </row>
    <row r="218" spans="1:25" ht="13.5" customHeight="1" x14ac:dyDescent="0.3">
      <c r="A218" s="45"/>
      <c r="B218" s="45"/>
      <c r="C218" s="52"/>
      <c r="D218" s="45"/>
      <c r="E218" s="45"/>
      <c r="F218" s="45"/>
      <c r="G218" s="52"/>
      <c r="H218" s="52"/>
      <c r="I218" s="45"/>
      <c r="J218" s="45"/>
      <c r="K218" s="45"/>
      <c r="L218" s="45"/>
      <c r="M218" s="45"/>
      <c r="N218" s="45"/>
      <c r="O218" s="45"/>
      <c r="P218" s="45"/>
      <c r="Q218" s="45"/>
      <c r="R218" s="45"/>
      <c r="S218" s="45"/>
      <c r="T218" s="45"/>
      <c r="U218" s="45"/>
      <c r="V218" s="45"/>
      <c r="W218" s="45"/>
      <c r="X218" s="45"/>
      <c r="Y218" s="45"/>
    </row>
    <row r="219" spans="1:25" ht="13.5" customHeight="1" x14ac:dyDescent="0.3">
      <c r="A219" s="45"/>
      <c r="B219" s="45"/>
      <c r="C219" s="52"/>
      <c r="D219" s="45"/>
      <c r="E219" s="45"/>
      <c r="F219" s="45"/>
      <c r="G219" s="52"/>
      <c r="H219" s="52"/>
      <c r="I219" s="45"/>
      <c r="J219" s="45"/>
      <c r="K219" s="45"/>
      <c r="L219" s="45"/>
      <c r="M219" s="45"/>
      <c r="N219" s="45"/>
      <c r="O219" s="45"/>
      <c r="P219" s="45"/>
      <c r="Q219" s="45"/>
      <c r="R219" s="45"/>
      <c r="S219" s="45"/>
      <c r="T219" s="45"/>
      <c r="U219" s="45"/>
      <c r="V219" s="45"/>
      <c r="W219" s="45"/>
      <c r="X219" s="45"/>
      <c r="Y219" s="45"/>
    </row>
    <row r="220" spans="1:25" ht="13.5" customHeight="1" x14ac:dyDescent="0.3">
      <c r="A220" s="45"/>
      <c r="B220" s="45"/>
      <c r="C220" s="52"/>
      <c r="D220" s="45"/>
      <c r="E220" s="45"/>
      <c r="F220" s="45"/>
      <c r="G220" s="52"/>
      <c r="H220" s="52"/>
      <c r="I220" s="45"/>
      <c r="J220" s="45"/>
      <c r="K220" s="45"/>
      <c r="L220" s="45"/>
      <c r="M220" s="45"/>
      <c r="N220" s="45"/>
      <c r="O220" s="45"/>
      <c r="P220" s="45"/>
      <c r="Q220" s="45"/>
      <c r="R220" s="45"/>
      <c r="S220" s="45"/>
      <c r="T220" s="45"/>
      <c r="U220" s="45"/>
      <c r="V220" s="45"/>
      <c r="W220" s="45"/>
      <c r="X220" s="45"/>
      <c r="Y220" s="45"/>
    </row>
    <row r="221" spans="1:25" ht="13.5" customHeight="1" x14ac:dyDescent="0.3">
      <c r="A221" s="45"/>
      <c r="B221" s="45"/>
      <c r="C221" s="52"/>
      <c r="D221" s="45"/>
      <c r="E221" s="45"/>
      <c r="F221" s="45"/>
      <c r="G221" s="52"/>
      <c r="H221" s="52"/>
      <c r="I221" s="45"/>
      <c r="J221" s="45"/>
      <c r="K221" s="45"/>
      <c r="L221" s="45"/>
      <c r="M221" s="45"/>
      <c r="N221" s="45"/>
      <c r="O221" s="45"/>
      <c r="P221" s="45"/>
      <c r="Q221" s="45"/>
      <c r="R221" s="45"/>
      <c r="S221" s="45"/>
      <c r="T221" s="45"/>
      <c r="U221" s="45"/>
      <c r="V221" s="45"/>
      <c r="W221" s="45"/>
      <c r="X221" s="45"/>
      <c r="Y221" s="45"/>
    </row>
    <row r="222" spans="1:25" ht="13.5" customHeight="1" x14ac:dyDescent="0.3">
      <c r="A222" s="45"/>
      <c r="B222" s="45"/>
      <c r="C222" s="52"/>
      <c r="D222" s="45"/>
      <c r="E222" s="45"/>
      <c r="F222" s="45"/>
      <c r="G222" s="52"/>
      <c r="H222" s="52"/>
      <c r="I222" s="45"/>
      <c r="J222" s="45"/>
      <c r="K222" s="45"/>
      <c r="L222" s="45"/>
      <c r="M222" s="45"/>
      <c r="N222" s="45"/>
      <c r="O222" s="45"/>
      <c r="P222" s="45"/>
      <c r="Q222" s="45"/>
      <c r="R222" s="45"/>
      <c r="S222" s="45"/>
      <c r="T222" s="45"/>
      <c r="U222" s="45"/>
      <c r="V222" s="45"/>
      <c r="W222" s="45"/>
      <c r="X222" s="45"/>
      <c r="Y222" s="45"/>
    </row>
    <row r="223" spans="1:25" ht="13.5" customHeight="1" x14ac:dyDescent="0.3">
      <c r="A223" s="45"/>
      <c r="B223" s="45"/>
      <c r="C223" s="52"/>
      <c r="D223" s="45"/>
      <c r="E223" s="45"/>
      <c r="F223" s="45"/>
      <c r="G223" s="52"/>
      <c r="H223" s="52"/>
      <c r="I223" s="45"/>
      <c r="J223" s="45"/>
      <c r="K223" s="45"/>
      <c r="L223" s="45"/>
      <c r="M223" s="45"/>
      <c r="N223" s="45"/>
      <c r="O223" s="45"/>
      <c r="P223" s="45"/>
      <c r="Q223" s="45"/>
      <c r="R223" s="45"/>
      <c r="S223" s="45"/>
      <c r="T223" s="45"/>
      <c r="U223" s="45"/>
      <c r="V223" s="45"/>
      <c r="W223" s="45"/>
      <c r="X223" s="45"/>
      <c r="Y223" s="45"/>
    </row>
    <row r="224" spans="1:25" ht="13.5" customHeight="1" x14ac:dyDescent="0.3">
      <c r="A224" s="45"/>
      <c r="B224" s="45"/>
      <c r="C224" s="52"/>
      <c r="D224" s="45"/>
      <c r="E224" s="45"/>
      <c r="F224" s="45"/>
      <c r="G224" s="52"/>
      <c r="H224" s="52"/>
      <c r="I224" s="45"/>
      <c r="J224" s="45"/>
      <c r="K224" s="45"/>
      <c r="L224" s="45"/>
      <c r="M224" s="45"/>
      <c r="N224" s="45"/>
      <c r="O224" s="45"/>
      <c r="P224" s="45"/>
      <c r="Q224" s="45"/>
      <c r="R224" s="45"/>
      <c r="S224" s="45"/>
      <c r="T224" s="45"/>
      <c r="U224" s="45"/>
      <c r="V224" s="45"/>
      <c r="W224" s="45"/>
      <c r="X224" s="45"/>
      <c r="Y224" s="45"/>
    </row>
    <row r="225" spans="1:25" ht="13.5" customHeight="1" x14ac:dyDescent="0.3">
      <c r="A225" s="45"/>
      <c r="B225" s="45"/>
      <c r="C225" s="52"/>
      <c r="D225" s="45"/>
      <c r="E225" s="45"/>
      <c r="F225" s="45"/>
      <c r="G225" s="52"/>
      <c r="H225" s="52"/>
      <c r="I225" s="45"/>
      <c r="J225" s="45"/>
      <c r="K225" s="45"/>
      <c r="L225" s="45"/>
      <c r="M225" s="45"/>
      <c r="N225" s="45"/>
      <c r="O225" s="45"/>
      <c r="P225" s="45"/>
      <c r="Q225" s="45"/>
      <c r="R225" s="45"/>
      <c r="S225" s="45"/>
      <c r="T225" s="45"/>
      <c r="U225" s="45"/>
      <c r="V225" s="45"/>
      <c r="W225" s="45"/>
      <c r="X225" s="45"/>
      <c r="Y225" s="45"/>
    </row>
    <row r="226" spans="1:25" ht="13.5" customHeight="1" x14ac:dyDescent="0.3">
      <c r="A226" s="45"/>
      <c r="B226" s="45"/>
      <c r="C226" s="52"/>
      <c r="D226" s="45"/>
      <c r="E226" s="45"/>
      <c r="F226" s="45"/>
      <c r="G226" s="52"/>
      <c r="H226" s="52"/>
      <c r="I226" s="45"/>
      <c r="J226" s="45"/>
      <c r="K226" s="45"/>
      <c r="L226" s="45"/>
      <c r="M226" s="45"/>
      <c r="N226" s="45"/>
      <c r="O226" s="45"/>
      <c r="P226" s="45"/>
      <c r="Q226" s="45"/>
      <c r="R226" s="45"/>
      <c r="S226" s="45"/>
      <c r="T226" s="45"/>
      <c r="U226" s="45"/>
      <c r="V226" s="45"/>
      <c r="W226" s="45"/>
      <c r="X226" s="45"/>
      <c r="Y226" s="45"/>
    </row>
    <row r="227" spans="1:25" ht="13.5" customHeight="1" x14ac:dyDescent="0.3">
      <c r="A227" s="45"/>
      <c r="B227" s="45"/>
      <c r="C227" s="52"/>
      <c r="D227" s="45"/>
      <c r="E227" s="45"/>
      <c r="F227" s="45"/>
      <c r="G227" s="52"/>
      <c r="H227" s="52"/>
      <c r="I227" s="45"/>
      <c r="J227" s="45"/>
      <c r="K227" s="45"/>
      <c r="L227" s="45"/>
      <c r="M227" s="45"/>
      <c r="N227" s="45"/>
      <c r="O227" s="45"/>
      <c r="P227" s="45"/>
      <c r="Q227" s="45"/>
      <c r="R227" s="45"/>
      <c r="S227" s="45"/>
      <c r="T227" s="45"/>
      <c r="U227" s="45"/>
      <c r="V227" s="45"/>
      <c r="W227" s="45"/>
      <c r="X227" s="45"/>
      <c r="Y227" s="45"/>
    </row>
    <row r="228" spans="1:25" ht="13.5" customHeight="1" x14ac:dyDescent="0.3">
      <c r="A228" s="45"/>
      <c r="B228" s="45"/>
      <c r="C228" s="52"/>
      <c r="D228" s="45"/>
      <c r="E228" s="45"/>
      <c r="F228" s="45"/>
      <c r="G228" s="52"/>
      <c r="H228" s="52"/>
      <c r="I228" s="45"/>
      <c r="J228" s="45"/>
      <c r="K228" s="45"/>
      <c r="L228" s="45"/>
      <c r="M228" s="45"/>
      <c r="N228" s="45"/>
      <c r="O228" s="45"/>
      <c r="P228" s="45"/>
      <c r="Q228" s="45"/>
      <c r="R228" s="45"/>
      <c r="S228" s="45"/>
      <c r="T228" s="45"/>
      <c r="U228" s="45"/>
      <c r="V228" s="45"/>
      <c r="W228" s="45"/>
      <c r="X228" s="45"/>
      <c r="Y228" s="45"/>
    </row>
    <row r="229" spans="1:25" ht="13.5" customHeight="1" x14ac:dyDescent="0.3">
      <c r="A229" s="45"/>
      <c r="B229" s="45"/>
      <c r="C229" s="52"/>
      <c r="D229" s="45"/>
      <c r="E229" s="45"/>
      <c r="F229" s="45"/>
      <c r="G229" s="52"/>
      <c r="H229" s="52"/>
      <c r="I229" s="45"/>
      <c r="J229" s="45"/>
      <c r="K229" s="45"/>
      <c r="L229" s="45"/>
      <c r="M229" s="45"/>
      <c r="N229" s="45"/>
      <c r="O229" s="45"/>
      <c r="P229" s="45"/>
      <c r="Q229" s="45"/>
      <c r="R229" s="45"/>
      <c r="S229" s="45"/>
      <c r="T229" s="45"/>
      <c r="U229" s="45"/>
      <c r="V229" s="45"/>
      <c r="W229" s="45"/>
      <c r="X229" s="45"/>
      <c r="Y229" s="45"/>
    </row>
    <row r="230" spans="1:25" ht="13.5" customHeight="1" x14ac:dyDescent="0.3">
      <c r="A230" s="45"/>
      <c r="B230" s="45"/>
      <c r="C230" s="52"/>
      <c r="D230" s="45"/>
      <c r="E230" s="45"/>
      <c r="F230" s="45"/>
      <c r="G230" s="52"/>
      <c r="H230" s="52"/>
      <c r="I230" s="45"/>
      <c r="J230" s="45"/>
      <c r="K230" s="45"/>
      <c r="L230" s="45"/>
      <c r="M230" s="45"/>
      <c r="N230" s="45"/>
      <c r="O230" s="45"/>
      <c r="P230" s="45"/>
      <c r="Q230" s="45"/>
      <c r="R230" s="45"/>
      <c r="S230" s="45"/>
      <c r="T230" s="45"/>
      <c r="U230" s="45"/>
      <c r="V230" s="45"/>
      <c r="W230" s="45"/>
      <c r="X230" s="45"/>
      <c r="Y230" s="45"/>
    </row>
    <row r="231" spans="1:25" ht="13.5" customHeight="1" x14ac:dyDescent="0.3">
      <c r="A231" s="45"/>
      <c r="B231" s="45"/>
      <c r="C231" s="52"/>
      <c r="D231" s="45"/>
      <c r="E231" s="45"/>
      <c r="F231" s="45"/>
      <c r="G231" s="52"/>
      <c r="H231" s="52"/>
      <c r="I231" s="45"/>
      <c r="J231" s="45"/>
      <c r="K231" s="45"/>
      <c r="L231" s="45"/>
      <c r="M231" s="45"/>
      <c r="N231" s="45"/>
      <c r="O231" s="45"/>
      <c r="P231" s="45"/>
      <c r="Q231" s="45"/>
      <c r="R231" s="45"/>
      <c r="S231" s="45"/>
      <c r="T231" s="45"/>
      <c r="U231" s="45"/>
      <c r="V231" s="45"/>
      <c r="W231" s="45"/>
      <c r="X231" s="45"/>
      <c r="Y231" s="45"/>
    </row>
    <row r="232" spans="1:25" ht="13.5" customHeight="1" x14ac:dyDescent="0.3">
      <c r="A232" s="45"/>
      <c r="B232" s="45"/>
      <c r="C232" s="52"/>
      <c r="D232" s="45"/>
      <c r="E232" s="45"/>
      <c r="F232" s="45"/>
      <c r="G232" s="52"/>
      <c r="H232" s="52"/>
      <c r="I232" s="45"/>
      <c r="J232" s="45"/>
      <c r="K232" s="45"/>
      <c r="L232" s="45"/>
      <c r="M232" s="45"/>
      <c r="N232" s="45"/>
      <c r="O232" s="45"/>
      <c r="P232" s="45"/>
      <c r="Q232" s="45"/>
      <c r="R232" s="45"/>
      <c r="S232" s="45"/>
      <c r="T232" s="45"/>
      <c r="U232" s="45"/>
      <c r="V232" s="45"/>
      <c r="W232" s="45"/>
      <c r="X232" s="45"/>
      <c r="Y232" s="45"/>
    </row>
    <row r="233" spans="1:25" ht="13.5" customHeight="1" x14ac:dyDescent="0.3">
      <c r="A233" s="45"/>
      <c r="B233" s="45"/>
      <c r="C233" s="52"/>
      <c r="D233" s="45"/>
      <c r="E233" s="45"/>
      <c r="F233" s="45"/>
      <c r="G233" s="52"/>
      <c r="H233" s="52"/>
      <c r="I233" s="45"/>
      <c r="J233" s="45"/>
      <c r="K233" s="45"/>
      <c r="L233" s="45"/>
      <c r="M233" s="45"/>
      <c r="N233" s="45"/>
      <c r="O233" s="45"/>
      <c r="P233" s="45"/>
      <c r="Q233" s="45"/>
      <c r="R233" s="45"/>
      <c r="S233" s="45"/>
      <c r="T233" s="45"/>
      <c r="U233" s="45"/>
      <c r="V233" s="45"/>
      <c r="W233" s="45"/>
      <c r="X233" s="45"/>
      <c r="Y233" s="45"/>
    </row>
    <row r="234" spans="1:25" ht="13.5" customHeight="1" x14ac:dyDescent="0.3">
      <c r="A234" s="45"/>
      <c r="B234" s="45"/>
      <c r="C234" s="52"/>
      <c r="D234" s="45"/>
      <c r="E234" s="45"/>
      <c r="F234" s="45"/>
      <c r="G234" s="52"/>
      <c r="H234" s="52"/>
      <c r="I234" s="45"/>
      <c r="J234" s="45"/>
      <c r="K234" s="45"/>
      <c r="L234" s="45"/>
      <c r="M234" s="45"/>
      <c r="N234" s="45"/>
      <c r="O234" s="45"/>
      <c r="P234" s="45"/>
      <c r="Q234" s="45"/>
      <c r="R234" s="45"/>
      <c r="S234" s="45"/>
      <c r="T234" s="45"/>
      <c r="U234" s="45"/>
      <c r="V234" s="45"/>
      <c r="W234" s="45"/>
      <c r="X234" s="45"/>
      <c r="Y234" s="45"/>
    </row>
    <row r="235" spans="1:25" ht="13.5" customHeight="1" x14ac:dyDescent="0.3">
      <c r="A235" s="45"/>
      <c r="B235" s="45"/>
      <c r="C235" s="52"/>
      <c r="D235" s="45"/>
      <c r="E235" s="45"/>
      <c r="F235" s="45"/>
      <c r="G235" s="52"/>
      <c r="H235" s="52"/>
      <c r="I235" s="45"/>
      <c r="J235" s="45"/>
      <c r="K235" s="45"/>
      <c r="L235" s="45"/>
      <c r="M235" s="45"/>
      <c r="N235" s="45"/>
      <c r="O235" s="45"/>
      <c r="P235" s="45"/>
      <c r="Q235" s="45"/>
      <c r="R235" s="45"/>
      <c r="S235" s="45"/>
      <c r="T235" s="45"/>
      <c r="U235" s="45"/>
      <c r="V235" s="45"/>
      <c r="W235" s="45"/>
      <c r="X235" s="45"/>
      <c r="Y235" s="45"/>
    </row>
    <row r="236" spans="1:25" ht="13.5" customHeight="1" x14ac:dyDescent="0.3">
      <c r="A236" s="45"/>
      <c r="B236" s="45"/>
      <c r="C236" s="52"/>
      <c r="D236" s="45"/>
      <c r="E236" s="45"/>
      <c r="F236" s="45"/>
      <c r="G236" s="52"/>
      <c r="H236" s="52"/>
      <c r="I236" s="45"/>
      <c r="J236" s="45"/>
      <c r="K236" s="45"/>
      <c r="L236" s="45"/>
      <c r="M236" s="45"/>
      <c r="N236" s="45"/>
      <c r="O236" s="45"/>
      <c r="P236" s="45"/>
      <c r="Q236" s="45"/>
      <c r="R236" s="45"/>
      <c r="S236" s="45"/>
      <c r="T236" s="45"/>
      <c r="U236" s="45"/>
      <c r="V236" s="45"/>
      <c r="W236" s="45"/>
      <c r="X236" s="45"/>
      <c r="Y236" s="45"/>
    </row>
    <row r="237" spans="1:25" ht="13.5" customHeight="1" x14ac:dyDescent="0.3">
      <c r="A237" s="45"/>
      <c r="B237" s="45"/>
      <c r="C237" s="52"/>
      <c r="D237" s="45"/>
      <c r="E237" s="45"/>
      <c r="F237" s="45"/>
      <c r="G237" s="52"/>
      <c r="H237" s="52"/>
      <c r="I237" s="45"/>
      <c r="J237" s="45"/>
      <c r="K237" s="45"/>
      <c r="L237" s="45"/>
      <c r="M237" s="45"/>
      <c r="N237" s="45"/>
      <c r="O237" s="45"/>
      <c r="P237" s="45"/>
      <c r="Q237" s="45"/>
      <c r="R237" s="45"/>
      <c r="S237" s="45"/>
      <c r="T237" s="45"/>
      <c r="U237" s="45"/>
      <c r="V237" s="45"/>
      <c r="W237" s="45"/>
      <c r="X237" s="45"/>
      <c r="Y237" s="45"/>
    </row>
    <row r="238" spans="1:25" ht="13.5" customHeight="1" x14ac:dyDescent="0.3">
      <c r="A238" s="45"/>
      <c r="B238" s="45"/>
      <c r="C238" s="52"/>
      <c r="D238" s="45"/>
      <c r="E238" s="45"/>
      <c r="F238" s="45"/>
      <c r="G238" s="52"/>
      <c r="H238" s="52"/>
      <c r="I238" s="45"/>
      <c r="J238" s="45"/>
      <c r="K238" s="45"/>
      <c r="L238" s="45"/>
      <c r="M238" s="45"/>
      <c r="N238" s="45"/>
      <c r="O238" s="45"/>
      <c r="P238" s="45"/>
      <c r="Q238" s="45"/>
      <c r="R238" s="45"/>
      <c r="S238" s="45"/>
      <c r="T238" s="45"/>
      <c r="U238" s="45"/>
      <c r="V238" s="45"/>
      <c r="W238" s="45"/>
      <c r="X238" s="45"/>
      <c r="Y238" s="45"/>
    </row>
    <row r="239" spans="1:25" ht="13.5" customHeight="1" x14ac:dyDescent="0.3">
      <c r="A239" s="45"/>
      <c r="B239" s="45"/>
      <c r="C239" s="52"/>
      <c r="D239" s="45"/>
      <c r="E239" s="45"/>
      <c r="F239" s="45"/>
      <c r="G239" s="52"/>
      <c r="H239" s="52"/>
      <c r="I239" s="45"/>
      <c r="J239" s="45"/>
      <c r="K239" s="45"/>
      <c r="L239" s="45"/>
      <c r="M239" s="45"/>
      <c r="N239" s="45"/>
      <c r="O239" s="45"/>
      <c r="P239" s="45"/>
      <c r="Q239" s="45"/>
      <c r="R239" s="45"/>
      <c r="S239" s="45"/>
      <c r="T239" s="45"/>
      <c r="U239" s="45"/>
      <c r="V239" s="45"/>
      <c r="W239" s="45"/>
      <c r="X239" s="45"/>
      <c r="Y239" s="45"/>
    </row>
    <row r="240" spans="1:25" ht="13.5" customHeight="1" x14ac:dyDescent="0.3">
      <c r="A240" s="45"/>
      <c r="B240" s="45"/>
      <c r="C240" s="52"/>
      <c r="D240" s="45"/>
      <c r="E240" s="45"/>
      <c r="F240" s="45"/>
      <c r="G240" s="52"/>
      <c r="H240" s="52"/>
      <c r="I240" s="45"/>
      <c r="J240" s="45"/>
      <c r="K240" s="45"/>
      <c r="L240" s="45"/>
      <c r="M240" s="45"/>
      <c r="N240" s="45"/>
      <c r="O240" s="45"/>
      <c r="P240" s="45"/>
      <c r="Q240" s="45"/>
      <c r="R240" s="45"/>
      <c r="S240" s="45"/>
      <c r="T240" s="45"/>
      <c r="U240" s="45"/>
      <c r="V240" s="45"/>
      <c r="W240" s="45"/>
      <c r="X240" s="45"/>
      <c r="Y240" s="45"/>
    </row>
    <row r="241" spans="1:25" ht="13.5" customHeight="1" x14ac:dyDescent="0.3">
      <c r="A241" s="45"/>
      <c r="B241" s="45"/>
      <c r="C241" s="52"/>
      <c r="D241" s="45"/>
      <c r="E241" s="45"/>
      <c r="F241" s="45"/>
      <c r="G241" s="52"/>
      <c r="H241" s="52"/>
      <c r="I241" s="45"/>
      <c r="J241" s="45"/>
      <c r="K241" s="45"/>
      <c r="L241" s="45"/>
      <c r="M241" s="45"/>
      <c r="N241" s="45"/>
      <c r="O241" s="45"/>
      <c r="P241" s="45"/>
      <c r="Q241" s="45"/>
      <c r="R241" s="45"/>
      <c r="S241" s="45"/>
      <c r="T241" s="45"/>
      <c r="U241" s="45"/>
      <c r="V241" s="45"/>
      <c r="W241" s="45"/>
      <c r="X241" s="45"/>
      <c r="Y241" s="45"/>
    </row>
    <row r="242" spans="1:25" ht="13.5" customHeight="1" x14ac:dyDescent="0.3">
      <c r="A242" s="45"/>
      <c r="B242" s="45"/>
      <c r="C242" s="52"/>
      <c r="D242" s="45"/>
      <c r="E242" s="45"/>
      <c r="F242" s="45"/>
      <c r="G242" s="52"/>
      <c r="H242" s="52"/>
      <c r="I242" s="45"/>
      <c r="J242" s="45"/>
      <c r="K242" s="45"/>
      <c r="L242" s="45"/>
      <c r="M242" s="45"/>
      <c r="N242" s="45"/>
      <c r="O242" s="45"/>
      <c r="P242" s="45"/>
      <c r="Q242" s="45"/>
      <c r="R242" s="45"/>
      <c r="S242" s="45"/>
      <c r="T242" s="45"/>
      <c r="U242" s="45"/>
      <c r="V242" s="45"/>
      <c r="W242" s="45"/>
      <c r="X242" s="45"/>
      <c r="Y242" s="45"/>
    </row>
    <row r="243" spans="1:25" ht="13.5" customHeight="1" x14ac:dyDescent="0.3">
      <c r="A243" s="45"/>
      <c r="B243" s="45"/>
      <c r="C243" s="52"/>
      <c r="D243" s="45"/>
      <c r="E243" s="45"/>
      <c r="F243" s="45"/>
      <c r="G243" s="52"/>
      <c r="H243" s="52"/>
      <c r="I243" s="45"/>
      <c r="J243" s="45"/>
      <c r="K243" s="45"/>
      <c r="L243" s="45"/>
      <c r="M243" s="45"/>
      <c r="N243" s="45"/>
      <c r="O243" s="45"/>
      <c r="P243" s="45"/>
      <c r="Q243" s="45"/>
      <c r="R243" s="45"/>
      <c r="S243" s="45"/>
      <c r="T243" s="45"/>
      <c r="U243" s="45"/>
      <c r="V243" s="45"/>
      <c r="W243" s="45"/>
      <c r="X243" s="45"/>
      <c r="Y243" s="45"/>
    </row>
    <row r="244" spans="1:25" ht="13.5" customHeight="1" x14ac:dyDescent="0.3">
      <c r="A244" s="45"/>
      <c r="B244" s="45"/>
      <c r="C244" s="52"/>
      <c r="D244" s="45"/>
      <c r="E244" s="45"/>
      <c r="F244" s="45"/>
      <c r="G244" s="52"/>
      <c r="H244" s="52"/>
      <c r="I244" s="45"/>
      <c r="J244" s="45"/>
      <c r="K244" s="45"/>
      <c r="L244" s="45"/>
      <c r="M244" s="45"/>
      <c r="N244" s="45"/>
      <c r="O244" s="45"/>
      <c r="P244" s="45"/>
      <c r="Q244" s="45"/>
      <c r="R244" s="45"/>
      <c r="S244" s="45"/>
      <c r="T244" s="45"/>
      <c r="U244" s="45"/>
      <c r="V244" s="45"/>
      <c r="W244" s="45"/>
      <c r="X244" s="45"/>
      <c r="Y244" s="45"/>
    </row>
    <row r="245" spans="1:25" ht="13.5" customHeight="1" x14ac:dyDescent="0.3">
      <c r="A245" s="45"/>
      <c r="B245" s="45"/>
      <c r="C245" s="52"/>
      <c r="D245" s="45"/>
      <c r="E245" s="45"/>
      <c r="F245" s="45"/>
      <c r="G245" s="52"/>
      <c r="H245" s="52"/>
      <c r="I245" s="45"/>
      <c r="J245" s="45"/>
      <c r="K245" s="45"/>
      <c r="L245" s="45"/>
      <c r="M245" s="45"/>
      <c r="N245" s="45"/>
      <c r="O245" s="45"/>
      <c r="P245" s="45"/>
      <c r="Q245" s="45"/>
      <c r="R245" s="45"/>
      <c r="S245" s="45"/>
      <c r="T245" s="45"/>
      <c r="U245" s="45"/>
      <c r="V245" s="45"/>
      <c r="W245" s="45"/>
      <c r="X245" s="45"/>
      <c r="Y245" s="45"/>
    </row>
    <row r="246" spans="1:25" ht="13.5" customHeight="1" x14ac:dyDescent="0.3">
      <c r="A246" s="45"/>
      <c r="B246" s="45"/>
      <c r="C246" s="52"/>
      <c r="D246" s="45"/>
      <c r="E246" s="45"/>
      <c r="F246" s="45"/>
      <c r="G246" s="52"/>
      <c r="H246" s="52"/>
      <c r="I246" s="45"/>
      <c r="J246" s="45"/>
      <c r="K246" s="45"/>
      <c r="L246" s="45"/>
      <c r="M246" s="45"/>
      <c r="N246" s="45"/>
      <c r="O246" s="45"/>
      <c r="P246" s="45"/>
      <c r="Q246" s="45"/>
      <c r="R246" s="45"/>
      <c r="S246" s="45"/>
      <c r="T246" s="45"/>
      <c r="U246" s="45"/>
      <c r="V246" s="45"/>
      <c r="W246" s="45"/>
      <c r="X246" s="45"/>
      <c r="Y246" s="45"/>
    </row>
    <row r="247" spans="1:25" ht="13.5" customHeight="1" x14ac:dyDescent="0.3">
      <c r="A247" s="45"/>
      <c r="B247" s="45"/>
      <c r="C247" s="52"/>
      <c r="D247" s="45"/>
      <c r="E247" s="45"/>
      <c r="F247" s="45"/>
      <c r="G247" s="52"/>
      <c r="H247" s="52"/>
      <c r="I247" s="45"/>
      <c r="J247" s="45"/>
      <c r="K247" s="45"/>
      <c r="L247" s="45"/>
      <c r="M247" s="45"/>
      <c r="N247" s="45"/>
      <c r="O247" s="45"/>
      <c r="P247" s="45"/>
      <c r="Q247" s="45"/>
      <c r="R247" s="45"/>
      <c r="S247" s="45"/>
      <c r="T247" s="45"/>
      <c r="U247" s="45"/>
      <c r="V247" s="45"/>
      <c r="W247" s="45"/>
      <c r="X247" s="45"/>
      <c r="Y247" s="45"/>
    </row>
    <row r="248" spans="1:25" ht="13.5" customHeight="1" x14ac:dyDescent="0.3">
      <c r="A248" s="45"/>
      <c r="B248" s="45"/>
      <c r="C248" s="52"/>
      <c r="D248" s="45"/>
      <c r="E248" s="45"/>
      <c r="F248" s="45"/>
      <c r="G248" s="52"/>
      <c r="H248" s="52"/>
      <c r="I248" s="45"/>
      <c r="J248" s="45"/>
      <c r="K248" s="45"/>
      <c r="L248" s="45"/>
      <c r="M248" s="45"/>
      <c r="N248" s="45"/>
      <c r="O248" s="45"/>
      <c r="P248" s="45"/>
      <c r="Q248" s="45"/>
      <c r="R248" s="45"/>
      <c r="S248" s="45"/>
      <c r="T248" s="45"/>
      <c r="U248" s="45"/>
      <c r="V248" s="45"/>
      <c r="W248" s="45"/>
      <c r="X248" s="45"/>
      <c r="Y248" s="45"/>
    </row>
    <row r="249" spans="1:25" ht="13.5" customHeight="1" x14ac:dyDescent="0.3">
      <c r="A249" s="45"/>
      <c r="B249" s="45"/>
      <c r="C249" s="52"/>
      <c r="D249" s="45"/>
      <c r="E249" s="45"/>
      <c r="F249" s="45"/>
      <c r="G249" s="52"/>
      <c r="H249" s="52"/>
      <c r="I249" s="45"/>
      <c r="J249" s="45"/>
      <c r="K249" s="45"/>
      <c r="L249" s="45"/>
      <c r="M249" s="45"/>
      <c r="N249" s="45"/>
      <c r="O249" s="45"/>
      <c r="P249" s="45"/>
      <c r="Q249" s="45"/>
      <c r="R249" s="45"/>
      <c r="S249" s="45"/>
      <c r="T249" s="45"/>
      <c r="U249" s="45"/>
      <c r="V249" s="45"/>
      <c r="W249" s="45"/>
      <c r="X249" s="45"/>
      <c r="Y249" s="45"/>
    </row>
    <row r="250" spans="1:25" ht="13.5" customHeight="1" x14ac:dyDescent="0.3">
      <c r="A250" s="45"/>
      <c r="B250" s="45"/>
      <c r="C250" s="52"/>
      <c r="D250" s="45"/>
      <c r="E250" s="45"/>
      <c r="F250" s="45"/>
      <c r="G250" s="52"/>
      <c r="H250" s="52"/>
      <c r="I250" s="45"/>
      <c r="J250" s="45"/>
      <c r="K250" s="45"/>
      <c r="L250" s="45"/>
      <c r="M250" s="45"/>
      <c r="N250" s="45"/>
      <c r="O250" s="45"/>
      <c r="P250" s="45"/>
      <c r="Q250" s="45"/>
      <c r="R250" s="45"/>
      <c r="S250" s="45"/>
      <c r="T250" s="45"/>
      <c r="U250" s="45"/>
      <c r="V250" s="45"/>
      <c r="W250" s="45"/>
      <c r="X250" s="45"/>
      <c r="Y250" s="45"/>
    </row>
    <row r="251" spans="1:25" ht="13.5" customHeight="1" x14ac:dyDescent="0.3">
      <c r="A251" s="45"/>
      <c r="B251" s="45"/>
      <c r="C251" s="52"/>
      <c r="D251" s="45"/>
      <c r="E251" s="45"/>
      <c r="F251" s="45"/>
      <c r="G251" s="52"/>
      <c r="H251" s="52"/>
      <c r="I251" s="45"/>
      <c r="J251" s="45"/>
      <c r="K251" s="45"/>
      <c r="L251" s="45"/>
      <c r="M251" s="45"/>
      <c r="N251" s="45"/>
      <c r="O251" s="45"/>
      <c r="P251" s="45"/>
      <c r="Q251" s="45"/>
      <c r="R251" s="45"/>
      <c r="S251" s="45"/>
      <c r="T251" s="45"/>
      <c r="U251" s="45"/>
      <c r="V251" s="45"/>
      <c r="W251" s="45"/>
      <c r="X251" s="45"/>
      <c r="Y251" s="45"/>
    </row>
    <row r="252" spans="1:25" ht="13.5" customHeight="1" x14ac:dyDescent="0.3">
      <c r="A252" s="45"/>
      <c r="B252" s="45"/>
      <c r="C252" s="52"/>
      <c r="D252" s="45"/>
      <c r="E252" s="45"/>
      <c r="F252" s="45"/>
      <c r="G252" s="52"/>
      <c r="H252" s="52"/>
      <c r="I252" s="45"/>
      <c r="J252" s="45"/>
      <c r="K252" s="45"/>
      <c r="L252" s="45"/>
      <c r="M252" s="45"/>
      <c r="N252" s="45"/>
      <c r="O252" s="45"/>
      <c r="P252" s="45"/>
      <c r="Q252" s="45"/>
      <c r="R252" s="45"/>
      <c r="S252" s="45"/>
      <c r="T252" s="45"/>
      <c r="U252" s="45"/>
      <c r="V252" s="45"/>
      <c r="W252" s="45"/>
      <c r="X252" s="45"/>
      <c r="Y252" s="45"/>
    </row>
    <row r="253" spans="1:25" ht="13.5" customHeight="1" x14ac:dyDescent="0.3">
      <c r="A253" s="45"/>
      <c r="B253" s="45"/>
      <c r="C253" s="52"/>
      <c r="D253" s="45"/>
      <c r="E253" s="45"/>
      <c r="F253" s="45"/>
      <c r="G253" s="52"/>
      <c r="H253" s="52"/>
      <c r="I253" s="45"/>
      <c r="J253" s="45"/>
      <c r="K253" s="45"/>
      <c r="L253" s="45"/>
      <c r="M253" s="45"/>
      <c r="N253" s="45"/>
      <c r="O253" s="45"/>
      <c r="P253" s="45"/>
      <c r="Q253" s="45"/>
      <c r="R253" s="45"/>
      <c r="S253" s="45"/>
      <c r="T253" s="45"/>
      <c r="U253" s="45"/>
      <c r="V253" s="45"/>
      <c r="W253" s="45"/>
      <c r="X253" s="45"/>
      <c r="Y253" s="45"/>
    </row>
    <row r="254" spans="1:25" ht="13.5" customHeight="1" x14ac:dyDescent="0.3">
      <c r="A254" s="45"/>
      <c r="B254" s="45"/>
      <c r="C254" s="52"/>
      <c r="D254" s="45"/>
      <c r="E254" s="45"/>
      <c r="F254" s="45"/>
      <c r="G254" s="52"/>
      <c r="H254" s="52"/>
      <c r="I254" s="45"/>
      <c r="J254" s="45"/>
      <c r="K254" s="45"/>
      <c r="L254" s="45"/>
      <c r="M254" s="45"/>
      <c r="N254" s="45"/>
      <c r="O254" s="45"/>
      <c r="P254" s="45"/>
      <c r="Q254" s="45"/>
      <c r="R254" s="45"/>
      <c r="S254" s="45"/>
      <c r="T254" s="45"/>
      <c r="U254" s="45"/>
      <c r="V254" s="45"/>
      <c r="W254" s="45"/>
      <c r="X254" s="45"/>
      <c r="Y254" s="45"/>
    </row>
    <row r="255" spans="1:25" ht="13.5" customHeight="1" x14ac:dyDescent="0.3">
      <c r="A255" s="45"/>
      <c r="B255" s="45"/>
      <c r="C255" s="52"/>
      <c r="D255" s="45"/>
      <c r="E255" s="45"/>
      <c r="F255" s="45"/>
      <c r="G255" s="52"/>
      <c r="H255" s="52"/>
      <c r="I255" s="45"/>
      <c r="J255" s="45"/>
      <c r="K255" s="45"/>
      <c r="L255" s="45"/>
      <c r="M255" s="45"/>
      <c r="N255" s="45"/>
      <c r="O255" s="45"/>
      <c r="P255" s="45"/>
      <c r="Q255" s="45"/>
      <c r="R255" s="45"/>
      <c r="S255" s="45"/>
      <c r="T255" s="45"/>
      <c r="U255" s="45"/>
      <c r="V255" s="45"/>
      <c r="W255" s="45"/>
      <c r="X255" s="45"/>
      <c r="Y255" s="45"/>
    </row>
    <row r="256" spans="1:25" ht="13.5" customHeight="1" x14ac:dyDescent="0.3">
      <c r="A256" s="45"/>
      <c r="B256" s="45"/>
      <c r="C256" s="52"/>
      <c r="D256" s="45"/>
      <c r="E256" s="45"/>
      <c r="F256" s="45"/>
      <c r="G256" s="52"/>
      <c r="H256" s="52"/>
      <c r="I256" s="45"/>
      <c r="J256" s="45"/>
      <c r="K256" s="45"/>
      <c r="L256" s="45"/>
      <c r="M256" s="45"/>
      <c r="N256" s="45"/>
      <c r="O256" s="45"/>
      <c r="P256" s="45"/>
      <c r="Q256" s="45"/>
      <c r="R256" s="45"/>
      <c r="S256" s="45"/>
      <c r="T256" s="45"/>
      <c r="U256" s="45"/>
      <c r="V256" s="45"/>
      <c r="W256" s="45"/>
      <c r="X256" s="45"/>
      <c r="Y256" s="45"/>
    </row>
    <row r="257" spans="1:25" ht="13.5" customHeight="1" x14ac:dyDescent="0.3">
      <c r="A257" s="45"/>
      <c r="B257" s="45"/>
      <c r="C257" s="52"/>
      <c r="D257" s="45"/>
      <c r="E257" s="45"/>
      <c r="F257" s="45"/>
      <c r="G257" s="52"/>
      <c r="H257" s="52"/>
      <c r="I257" s="45"/>
      <c r="J257" s="45"/>
      <c r="K257" s="45"/>
      <c r="L257" s="45"/>
      <c r="M257" s="45"/>
      <c r="N257" s="45"/>
      <c r="O257" s="45"/>
      <c r="P257" s="45"/>
      <c r="Q257" s="45"/>
      <c r="R257" s="45"/>
      <c r="S257" s="45"/>
      <c r="T257" s="45"/>
      <c r="U257" s="45"/>
      <c r="V257" s="45"/>
      <c r="W257" s="45"/>
      <c r="X257" s="45"/>
      <c r="Y257" s="45"/>
    </row>
    <row r="258" spans="1:25" ht="13.5" customHeight="1" x14ac:dyDescent="0.3">
      <c r="A258" s="45"/>
      <c r="B258" s="45"/>
      <c r="C258" s="52"/>
      <c r="D258" s="45"/>
      <c r="E258" s="45"/>
      <c r="F258" s="45"/>
      <c r="G258" s="52"/>
      <c r="H258" s="52"/>
      <c r="I258" s="45"/>
      <c r="J258" s="45"/>
      <c r="K258" s="45"/>
      <c r="L258" s="45"/>
      <c r="M258" s="45"/>
      <c r="N258" s="45"/>
      <c r="O258" s="45"/>
      <c r="P258" s="45"/>
      <c r="Q258" s="45"/>
      <c r="R258" s="45"/>
      <c r="S258" s="45"/>
      <c r="T258" s="45"/>
      <c r="U258" s="45"/>
      <c r="V258" s="45"/>
      <c r="W258" s="45"/>
      <c r="X258" s="45"/>
      <c r="Y258" s="45"/>
    </row>
    <row r="259" spans="1:25" ht="13.5" customHeight="1" x14ac:dyDescent="0.3">
      <c r="A259" s="45"/>
      <c r="B259" s="45"/>
      <c r="C259" s="52"/>
      <c r="D259" s="45"/>
      <c r="E259" s="45"/>
      <c r="F259" s="45"/>
      <c r="G259" s="52"/>
      <c r="H259" s="52"/>
      <c r="I259" s="45"/>
      <c r="J259" s="45"/>
      <c r="K259" s="45"/>
      <c r="L259" s="45"/>
      <c r="M259" s="45"/>
      <c r="N259" s="45"/>
      <c r="O259" s="45"/>
      <c r="P259" s="45"/>
      <c r="Q259" s="45"/>
      <c r="R259" s="45"/>
      <c r="S259" s="45"/>
      <c r="T259" s="45"/>
      <c r="U259" s="45"/>
      <c r="V259" s="45"/>
      <c r="W259" s="45"/>
      <c r="X259" s="45"/>
      <c r="Y259" s="45"/>
    </row>
    <row r="260" spans="1:25" ht="13.5" customHeight="1" x14ac:dyDescent="0.3">
      <c r="A260" s="45"/>
      <c r="B260" s="45"/>
      <c r="C260" s="52"/>
      <c r="D260" s="45"/>
      <c r="E260" s="45"/>
      <c r="F260" s="45"/>
      <c r="G260" s="52"/>
      <c r="H260" s="52"/>
      <c r="I260" s="45"/>
      <c r="J260" s="45"/>
      <c r="K260" s="45"/>
      <c r="L260" s="45"/>
      <c r="M260" s="45"/>
      <c r="N260" s="45"/>
      <c r="O260" s="45"/>
      <c r="P260" s="45"/>
      <c r="Q260" s="45"/>
      <c r="R260" s="45"/>
      <c r="S260" s="45"/>
      <c r="T260" s="45"/>
      <c r="U260" s="45"/>
      <c r="V260" s="45"/>
      <c r="W260" s="45"/>
      <c r="X260" s="45"/>
      <c r="Y260" s="45"/>
    </row>
    <row r="261" spans="1:25" ht="13.5" customHeight="1" x14ac:dyDescent="0.3">
      <c r="A261" s="45"/>
      <c r="B261" s="45"/>
      <c r="C261" s="52"/>
      <c r="D261" s="45"/>
      <c r="E261" s="45"/>
      <c r="F261" s="45"/>
      <c r="G261" s="52"/>
      <c r="H261" s="52"/>
      <c r="I261" s="45"/>
      <c r="J261" s="45"/>
      <c r="K261" s="45"/>
      <c r="L261" s="45"/>
      <c r="M261" s="45"/>
      <c r="N261" s="45"/>
      <c r="O261" s="45"/>
      <c r="P261" s="45"/>
      <c r="Q261" s="45"/>
      <c r="R261" s="45"/>
      <c r="S261" s="45"/>
      <c r="T261" s="45"/>
      <c r="U261" s="45"/>
      <c r="V261" s="45"/>
      <c r="W261" s="45"/>
      <c r="X261" s="45"/>
      <c r="Y261" s="45"/>
    </row>
    <row r="262" spans="1:25" ht="13.5" customHeight="1" x14ac:dyDescent="0.3">
      <c r="A262" s="45"/>
      <c r="B262" s="45"/>
      <c r="C262" s="52"/>
      <c r="D262" s="45"/>
      <c r="E262" s="45"/>
      <c r="F262" s="45"/>
      <c r="G262" s="52"/>
      <c r="H262" s="52"/>
      <c r="I262" s="45"/>
      <c r="J262" s="45"/>
      <c r="K262" s="45"/>
      <c r="L262" s="45"/>
      <c r="M262" s="45"/>
      <c r="N262" s="45"/>
      <c r="O262" s="45"/>
      <c r="P262" s="45"/>
      <c r="Q262" s="45"/>
      <c r="R262" s="45"/>
      <c r="S262" s="45"/>
      <c r="T262" s="45"/>
      <c r="U262" s="45"/>
      <c r="V262" s="45"/>
      <c r="W262" s="45"/>
      <c r="X262" s="45"/>
      <c r="Y262" s="45"/>
    </row>
    <row r="263" spans="1:25" ht="13.5" customHeight="1" x14ac:dyDescent="0.3">
      <c r="A263" s="45"/>
      <c r="B263" s="45"/>
      <c r="C263" s="52"/>
      <c r="D263" s="45"/>
      <c r="E263" s="45"/>
      <c r="F263" s="45"/>
      <c r="G263" s="52"/>
      <c r="H263" s="52"/>
      <c r="I263" s="45"/>
      <c r="J263" s="45"/>
      <c r="K263" s="45"/>
      <c r="L263" s="45"/>
      <c r="M263" s="45"/>
      <c r="N263" s="45"/>
      <c r="O263" s="45"/>
      <c r="P263" s="45"/>
      <c r="Q263" s="45"/>
      <c r="R263" s="45"/>
      <c r="S263" s="45"/>
      <c r="T263" s="45"/>
      <c r="U263" s="45"/>
      <c r="V263" s="45"/>
      <c r="W263" s="45"/>
      <c r="X263" s="45"/>
      <c r="Y263" s="45"/>
    </row>
    <row r="264" spans="1:25" ht="13.5" customHeight="1" x14ac:dyDescent="0.3">
      <c r="A264" s="45"/>
      <c r="B264" s="45"/>
      <c r="C264" s="52"/>
      <c r="D264" s="45"/>
      <c r="E264" s="45"/>
      <c r="F264" s="45"/>
      <c r="G264" s="52"/>
      <c r="H264" s="52"/>
      <c r="I264" s="45"/>
      <c r="J264" s="45"/>
      <c r="K264" s="45"/>
      <c r="L264" s="45"/>
      <c r="M264" s="45"/>
      <c r="N264" s="45"/>
      <c r="O264" s="45"/>
      <c r="P264" s="45"/>
      <c r="Q264" s="45"/>
      <c r="R264" s="45"/>
      <c r="S264" s="45"/>
      <c r="T264" s="45"/>
      <c r="U264" s="45"/>
      <c r="V264" s="45"/>
      <c r="W264" s="45"/>
      <c r="X264" s="45"/>
      <c r="Y264" s="45"/>
    </row>
    <row r="265" spans="1:25" ht="13.5" customHeight="1" x14ac:dyDescent="0.3">
      <c r="A265" s="45"/>
      <c r="B265" s="45"/>
      <c r="C265" s="52"/>
      <c r="D265" s="45"/>
      <c r="E265" s="45"/>
      <c r="F265" s="45"/>
      <c r="G265" s="52"/>
      <c r="H265" s="52"/>
      <c r="I265" s="45"/>
      <c r="J265" s="45"/>
      <c r="K265" s="45"/>
      <c r="L265" s="45"/>
      <c r="M265" s="45"/>
      <c r="N265" s="45"/>
      <c r="O265" s="45"/>
      <c r="P265" s="45"/>
      <c r="Q265" s="45"/>
      <c r="R265" s="45"/>
      <c r="S265" s="45"/>
      <c r="T265" s="45"/>
      <c r="U265" s="45"/>
      <c r="V265" s="45"/>
      <c r="W265" s="45"/>
      <c r="X265" s="45"/>
      <c r="Y265" s="45"/>
    </row>
    <row r="266" spans="1:25" ht="13.5" customHeight="1" x14ac:dyDescent="0.3">
      <c r="A266" s="45"/>
      <c r="B266" s="45"/>
      <c r="C266" s="52"/>
      <c r="D266" s="45"/>
      <c r="E266" s="45"/>
      <c r="F266" s="45"/>
      <c r="G266" s="52"/>
      <c r="H266" s="52"/>
      <c r="I266" s="45"/>
      <c r="J266" s="45"/>
      <c r="K266" s="45"/>
      <c r="L266" s="45"/>
      <c r="M266" s="45"/>
      <c r="N266" s="45"/>
      <c r="O266" s="45"/>
      <c r="P266" s="45"/>
      <c r="Q266" s="45"/>
      <c r="R266" s="45"/>
      <c r="S266" s="45"/>
      <c r="T266" s="45"/>
      <c r="U266" s="45"/>
      <c r="V266" s="45"/>
      <c r="W266" s="45"/>
      <c r="X266" s="45"/>
      <c r="Y266" s="45"/>
    </row>
    <row r="267" spans="1:25" ht="13.5" customHeight="1" x14ac:dyDescent="0.3">
      <c r="A267" s="45"/>
      <c r="B267" s="45"/>
      <c r="C267" s="52"/>
      <c r="D267" s="45"/>
      <c r="E267" s="45"/>
      <c r="F267" s="45"/>
      <c r="G267" s="52"/>
      <c r="H267" s="52"/>
      <c r="I267" s="45"/>
      <c r="J267" s="45"/>
      <c r="K267" s="45"/>
      <c r="L267" s="45"/>
      <c r="M267" s="45"/>
      <c r="N267" s="45"/>
      <c r="O267" s="45"/>
      <c r="P267" s="45"/>
      <c r="Q267" s="45"/>
      <c r="R267" s="45"/>
      <c r="S267" s="45"/>
      <c r="T267" s="45"/>
      <c r="U267" s="45"/>
      <c r="V267" s="45"/>
      <c r="W267" s="45"/>
      <c r="X267" s="45"/>
      <c r="Y267" s="45"/>
    </row>
    <row r="268" spans="1:25" ht="13.5" customHeight="1" x14ac:dyDescent="0.3">
      <c r="A268" s="45"/>
      <c r="B268" s="45"/>
      <c r="C268" s="52"/>
      <c r="D268" s="45"/>
      <c r="E268" s="45"/>
      <c r="F268" s="45"/>
      <c r="G268" s="52"/>
      <c r="H268" s="52"/>
      <c r="I268" s="45"/>
      <c r="J268" s="45"/>
      <c r="K268" s="45"/>
      <c r="L268" s="45"/>
      <c r="M268" s="45"/>
      <c r="N268" s="45"/>
      <c r="O268" s="45"/>
      <c r="P268" s="45"/>
      <c r="Q268" s="45"/>
      <c r="R268" s="45"/>
      <c r="S268" s="45"/>
      <c r="T268" s="45"/>
      <c r="U268" s="45"/>
      <c r="V268" s="45"/>
      <c r="W268" s="45"/>
      <c r="X268" s="45"/>
      <c r="Y268" s="45"/>
    </row>
    <row r="269" spans="1:25" ht="13.5" customHeight="1" x14ac:dyDescent="0.3">
      <c r="A269" s="45"/>
      <c r="B269" s="45"/>
      <c r="C269" s="52"/>
      <c r="D269" s="45"/>
      <c r="E269" s="45"/>
      <c r="F269" s="45"/>
      <c r="G269" s="52"/>
      <c r="H269" s="52"/>
      <c r="I269" s="45"/>
      <c r="J269" s="45"/>
      <c r="K269" s="45"/>
      <c r="L269" s="45"/>
      <c r="M269" s="45"/>
      <c r="N269" s="45"/>
      <c r="O269" s="45"/>
      <c r="P269" s="45"/>
      <c r="Q269" s="45"/>
      <c r="R269" s="45"/>
      <c r="S269" s="45"/>
      <c r="T269" s="45"/>
      <c r="U269" s="45"/>
      <c r="V269" s="45"/>
      <c r="W269" s="45"/>
      <c r="X269" s="45"/>
      <c r="Y269" s="45"/>
    </row>
    <row r="270" spans="1:25" ht="13.5" customHeight="1" x14ac:dyDescent="0.3">
      <c r="A270" s="45"/>
      <c r="B270" s="45"/>
      <c r="C270" s="52"/>
      <c r="D270" s="45"/>
      <c r="E270" s="45"/>
      <c r="F270" s="45"/>
      <c r="G270" s="52"/>
      <c r="H270" s="52"/>
      <c r="I270" s="45"/>
      <c r="J270" s="45"/>
      <c r="K270" s="45"/>
      <c r="L270" s="45"/>
      <c r="M270" s="45"/>
      <c r="N270" s="45"/>
      <c r="O270" s="45"/>
      <c r="P270" s="45"/>
      <c r="Q270" s="45"/>
      <c r="R270" s="45"/>
      <c r="S270" s="45"/>
      <c r="T270" s="45"/>
      <c r="U270" s="45"/>
      <c r="V270" s="45"/>
      <c r="W270" s="45"/>
      <c r="X270" s="45"/>
      <c r="Y270" s="45"/>
    </row>
    <row r="271" spans="1:25" ht="13.5" customHeight="1" x14ac:dyDescent="0.3">
      <c r="A271" s="45"/>
      <c r="B271" s="45"/>
      <c r="C271" s="52"/>
      <c r="D271" s="45"/>
      <c r="E271" s="45"/>
      <c r="F271" s="45"/>
      <c r="G271" s="52"/>
      <c r="H271" s="52"/>
      <c r="I271" s="45"/>
      <c r="J271" s="45"/>
      <c r="K271" s="45"/>
      <c r="L271" s="45"/>
      <c r="M271" s="45"/>
      <c r="N271" s="45"/>
      <c r="O271" s="45"/>
      <c r="P271" s="45"/>
      <c r="Q271" s="45"/>
      <c r="R271" s="45"/>
      <c r="S271" s="45"/>
      <c r="T271" s="45"/>
      <c r="U271" s="45"/>
      <c r="V271" s="45"/>
      <c r="W271" s="45"/>
      <c r="X271" s="45"/>
      <c r="Y271" s="45"/>
    </row>
    <row r="272" spans="1:25" ht="13.5" customHeight="1" x14ac:dyDescent="0.3">
      <c r="A272" s="45"/>
      <c r="B272" s="45"/>
      <c r="C272" s="52"/>
      <c r="D272" s="45"/>
      <c r="E272" s="45"/>
      <c r="F272" s="45"/>
      <c r="G272" s="52"/>
      <c r="H272" s="52"/>
      <c r="I272" s="45"/>
      <c r="J272" s="45"/>
      <c r="K272" s="45"/>
      <c r="L272" s="45"/>
      <c r="M272" s="45"/>
      <c r="N272" s="45"/>
      <c r="O272" s="45"/>
      <c r="P272" s="45"/>
      <c r="Q272" s="45"/>
      <c r="R272" s="45"/>
      <c r="S272" s="45"/>
      <c r="T272" s="45"/>
      <c r="U272" s="45"/>
      <c r="V272" s="45"/>
      <c r="W272" s="45"/>
      <c r="X272" s="45"/>
      <c r="Y272" s="45"/>
    </row>
    <row r="273" spans="1:25" ht="13.5" customHeight="1" x14ac:dyDescent="0.3">
      <c r="A273" s="45"/>
      <c r="B273" s="45"/>
      <c r="C273" s="52"/>
      <c r="D273" s="45"/>
      <c r="E273" s="45"/>
      <c r="F273" s="45"/>
      <c r="G273" s="52"/>
      <c r="H273" s="52"/>
      <c r="I273" s="45"/>
      <c r="J273" s="45"/>
      <c r="K273" s="45"/>
      <c r="L273" s="45"/>
      <c r="M273" s="45"/>
      <c r="N273" s="45"/>
      <c r="O273" s="45"/>
      <c r="P273" s="45"/>
      <c r="Q273" s="45"/>
      <c r="R273" s="45"/>
      <c r="S273" s="45"/>
      <c r="T273" s="45"/>
      <c r="U273" s="45"/>
      <c r="V273" s="45"/>
      <c r="W273" s="45"/>
      <c r="X273" s="45"/>
      <c r="Y273" s="45"/>
    </row>
    <row r="274" spans="1:25" ht="13.5" customHeight="1" x14ac:dyDescent="0.3">
      <c r="A274" s="45"/>
      <c r="B274" s="45"/>
      <c r="C274" s="52"/>
      <c r="D274" s="45"/>
      <c r="E274" s="45"/>
      <c r="F274" s="45"/>
      <c r="G274" s="52"/>
      <c r="H274" s="52"/>
      <c r="I274" s="45"/>
      <c r="J274" s="45"/>
      <c r="K274" s="45"/>
      <c r="L274" s="45"/>
      <c r="M274" s="45"/>
      <c r="N274" s="45"/>
      <c r="O274" s="45"/>
      <c r="P274" s="45"/>
      <c r="Q274" s="45"/>
      <c r="R274" s="45"/>
      <c r="S274" s="45"/>
      <c r="T274" s="45"/>
      <c r="U274" s="45"/>
      <c r="V274" s="45"/>
      <c r="W274" s="45"/>
      <c r="X274" s="45"/>
      <c r="Y274" s="45"/>
    </row>
    <row r="275" spans="1:25" ht="13.5" customHeight="1" x14ac:dyDescent="0.3">
      <c r="A275" s="45"/>
      <c r="B275" s="45"/>
      <c r="C275" s="52"/>
      <c r="D275" s="45"/>
      <c r="E275" s="45"/>
      <c r="F275" s="45"/>
      <c r="G275" s="52"/>
      <c r="H275" s="52"/>
      <c r="I275" s="45"/>
      <c r="J275" s="45"/>
      <c r="K275" s="45"/>
      <c r="L275" s="45"/>
      <c r="M275" s="45"/>
      <c r="N275" s="45"/>
      <c r="O275" s="45"/>
      <c r="P275" s="45"/>
      <c r="Q275" s="45"/>
      <c r="R275" s="45"/>
      <c r="S275" s="45"/>
      <c r="T275" s="45"/>
      <c r="U275" s="45"/>
      <c r="V275" s="45"/>
      <c r="W275" s="45"/>
      <c r="X275" s="45"/>
      <c r="Y275" s="45"/>
    </row>
    <row r="276" spans="1:25" ht="13.5" customHeight="1" x14ac:dyDescent="0.3">
      <c r="A276" s="45"/>
      <c r="B276" s="45"/>
      <c r="C276" s="52"/>
      <c r="D276" s="45"/>
      <c r="E276" s="45"/>
      <c r="F276" s="45"/>
      <c r="G276" s="52"/>
      <c r="H276" s="52"/>
      <c r="I276" s="45"/>
      <c r="J276" s="45"/>
      <c r="K276" s="45"/>
      <c r="L276" s="45"/>
      <c r="M276" s="45"/>
      <c r="N276" s="45"/>
      <c r="O276" s="45"/>
      <c r="P276" s="45"/>
      <c r="Q276" s="45"/>
      <c r="R276" s="45"/>
      <c r="S276" s="45"/>
      <c r="T276" s="45"/>
      <c r="U276" s="45"/>
      <c r="V276" s="45"/>
      <c r="W276" s="45"/>
      <c r="X276" s="45"/>
      <c r="Y276" s="45"/>
    </row>
    <row r="277" spans="1:25" ht="13.5" customHeight="1" x14ac:dyDescent="0.3">
      <c r="A277" s="45"/>
      <c r="B277" s="45"/>
      <c r="C277" s="52"/>
      <c r="D277" s="45"/>
      <c r="E277" s="45"/>
      <c r="F277" s="45"/>
      <c r="G277" s="52"/>
      <c r="H277" s="52"/>
      <c r="I277" s="45"/>
      <c r="J277" s="45"/>
      <c r="K277" s="45"/>
      <c r="L277" s="45"/>
      <c r="M277" s="45"/>
      <c r="N277" s="45"/>
      <c r="O277" s="45"/>
      <c r="P277" s="45"/>
      <c r="Q277" s="45"/>
      <c r="R277" s="45"/>
      <c r="S277" s="45"/>
      <c r="T277" s="45"/>
      <c r="U277" s="45"/>
      <c r="V277" s="45"/>
      <c r="W277" s="45"/>
      <c r="X277" s="45"/>
      <c r="Y277" s="45"/>
    </row>
    <row r="278" spans="1:25" ht="13.5" customHeight="1" x14ac:dyDescent="0.3">
      <c r="A278" s="45"/>
      <c r="B278" s="45"/>
      <c r="C278" s="52"/>
      <c r="D278" s="45"/>
      <c r="E278" s="45"/>
      <c r="F278" s="45"/>
      <c r="G278" s="52"/>
      <c r="H278" s="52"/>
      <c r="I278" s="45"/>
      <c r="J278" s="45"/>
      <c r="K278" s="45"/>
      <c r="L278" s="45"/>
      <c r="M278" s="45"/>
      <c r="N278" s="45"/>
      <c r="O278" s="45"/>
      <c r="P278" s="45"/>
      <c r="Q278" s="45"/>
      <c r="R278" s="45"/>
      <c r="S278" s="45"/>
      <c r="T278" s="45"/>
      <c r="U278" s="45"/>
      <c r="V278" s="45"/>
      <c r="W278" s="45"/>
      <c r="X278" s="45"/>
      <c r="Y278" s="45"/>
    </row>
    <row r="279" spans="1:25" ht="13.5" customHeight="1" x14ac:dyDescent="0.3">
      <c r="A279" s="45"/>
      <c r="B279" s="45"/>
      <c r="C279" s="52"/>
      <c r="D279" s="45"/>
      <c r="E279" s="45"/>
      <c r="F279" s="45"/>
      <c r="G279" s="52"/>
      <c r="H279" s="52"/>
      <c r="I279" s="45"/>
      <c r="J279" s="45"/>
      <c r="K279" s="45"/>
      <c r="L279" s="45"/>
      <c r="M279" s="45"/>
      <c r="N279" s="45"/>
      <c r="O279" s="45"/>
      <c r="P279" s="45"/>
      <c r="Q279" s="45"/>
      <c r="R279" s="45"/>
      <c r="S279" s="45"/>
      <c r="T279" s="45"/>
      <c r="U279" s="45"/>
      <c r="V279" s="45"/>
      <c r="W279" s="45"/>
      <c r="X279" s="45"/>
      <c r="Y279" s="45"/>
    </row>
    <row r="280" spans="1:25" ht="13.5" customHeight="1" x14ac:dyDescent="0.3">
      <c r="A280" s="45"/>
      <c r="B280" s="45"/>
      <c r="C280" s="52"/>
      <c r="D280" s="45"/>
      <c r="E280" s="45"/>
      <c r="F280" s="45"/>
      <c r="G280" s="52"/>
      <c r="H280" s="52"/>
      <c r="I280" s="45"/>
      <c r="J280" s="45"/>
      <c r="K280" s="45"/>
      <c r="L280" s="45"/>
      <c r="M280" s="45"/>
      <c r="N280" s="45"/>
      <c r="O280" s="45"/>
      <c r="P280" s="45"/>
      <c r="Q280" s="45"/>
      <c r="R280" s="45"/>
      <c r="S280" s="45"/>
      <c r="T280" s="45"/>
      <c r="U280" s="45"/>
      <c r="V280" s="45"/>
      <c r="W280" s="45"/>
      <c r="X280" s="45"/>
      <c r="Y280" s="45"/>
    </row>
    <row r="281" spans="1:25" ht="13.5" customHeight="1" x14ac:dyDescent="0.3">
      <c r="A281" s="45"/>
      <c r="B281" s="45"/>
      <c r="C281" s="52"/>
      <c r="D281" s="45"/>
      <c r="E281" s="45"/>
      <c r="F281" s="45"/>
      <c r="G281" s="52"/>
      <c r="H281" s="52"/>
      <c r="I281" s="45"/>
      <c r="J281" s="45"/>
      <c r="K281" s="45"/>
      <c r="L281" s="45"/>
      <c r="M281" s="45"/>
      <c r="N281" s="45"/>
      <c r="O281" s="45"/>
      <c r="P281" s="45"/>
      <c r="Q281" s="45"/>
      <c r="R281" s="45"/>
      <c r="S281" s="45"/>
      <c r="T281" s="45"/>
      <c r="U281" s="45"/>
      <c r="V281" s="45"/>
      <c r="W281" s="45"/>
      <c r="X281" s="45"/>
      <c r="Y281" s="45"/>
    </row>
    <row r="282" spans="1:25" ht="13.5" customHeight="1" x14ac:dyDescent="0.3">
      <c r="A282" s="45"/>
      <c r="B282" s="45"/>
      <c r="C282" s="52"/>
      <c r="D282" s="45"/>
      <c r="E282" s="45"/>
      <c r="F282" s="45"/>
      <c r="G282" s="52"/>
      <c r="H282" s="52"/>
      <c r="I282" s="45"/>
      <c r="J282" s="45"/>
      <c r="K282" s="45"/>
      <c r="L282" s="45"/>
      <c r="M282" s="45"/>
      <c r="N282" s="45"/>
      <c r="O282" s="45"/>
      <c r="P282" s="45"/>
      <c r="Q282" s="45"/>
      <c r="R282" s="45"/>
      <c r="S282" s="45"/>
      <c r="T282" s="45"/>
      <c r="U282" s="45"/>
      <c r="V282" s="45"/>
      <c r="W282" s="45"/>
      <c r="X282" s="45"/>
      <c r="Y282" s="45"/>
    </row>
    <row r="283" spans="1:25" ht="13.5" customHeight="1" x14ac:dyDescent="0.3">
      <c r="A283" s="45"/>
      <c r="B283" s="45"/>
      <c r="C283" s="52"/>
      <c r="D283" s="45"/>
      <c r="E283" s="45"/>
      <c r="F283" s="45"/>
      <c r="G283" s="52"/>
      <c r="H283" s="52"/>
      <c r="I283" s="45"/>
      <c r="J283" s="45"/>
      <c r="K283" s="45"/>
      <c r="L283" s="45"/>
      <c r="M283" s="45"/>
      <c r="N283" s="45"/>
      <c r="O283" s="45"/>
      <c r="P283" s="45"/>
      <c r="Q283" s="45"/>
      <c r="R283" s="45"/>
      <c r="S283" s="45"/>
      <c r="T283" s="45"/>
      <c r="U283" s="45"/>
      <c r="V283" s="45"/>
      <c r="W283" s="45"/>
      <c r="X283" s="45"/>
      <c r="Y283" s="45"/>
    </row>
    <row r="284" spans="1:25" ht="13.5" customHeight="1" x14ac:dyDescent="0.3">
      <c r="A284" s="45"/>
      <c r="B284" s="45"/>
      <c r="C284" s="52"/>
      <c r="D284" s="45"/>
      <c r="E284" s="45"/>
      <c r="F284" s="45"/>
      <c r="G284" s="52"/>
      <c r="H284" s="52"/>
      <c r="I284" s="45"/>
      <c r="J284" s="45"/>
      <c r="K284" s="45"/>
      <c r="L284" s="45"/>
      <c r="M284" s="45"/>
      <c r="N284" s="45"/>
      <c r="O284" s="45"/>
      <c r="P284" s="45"/>
      <c r="Q284" s="45"/>
      <c r="R284" s="45"/>
      <c r="S284" s="45"/>
      <c r="T284" s="45"/>
      <c r="U284" s="45"/>
      <c r="V284" s="45"/>
      <c r="W284" s="45"/>
      <c r="X284" s="45"/>
      <c r="Y284" s="45"/>
    </row>
    <row r="285" spans="1:25" ht="13.5" customHeight="1" x14ac:dyDescent="0.3">
      <c r="A285" s="45"/>
      <c r="B285" s="45"/>
      <c r="C285" s="52"/>
      <c r="D285" s="45"/>
      <c r="E285" s="45"/>
      <c r="F285" s="45"/>
      <c r="G285" s="52"/>
      <c r="H285" s="52"/>
      <c r="I285" s="45"/>
      <c r="J285" s="45"/>
      <c r="K285" s="45"/>
      <c r="L285" s="45"/>
      <c r="M285" s="45"/>
      <c r="N285" s="45"/>
      <c r="O285" s="45"/>
      <c r="P285" s="45"/>
      <c r="Q285" s="45"/>
      <c r="R285" s="45"/>
      <c r="S285" s="45"/>
      <c r="T285" s="45"/>
      <c r="U285" s="45"/>
      <c r="V285" s="45"/>
      <c r="W285" s="45"/>
      <c r="X285" s="45"/>
      <c r="Y285" s="45"/>
    </row>
    <row r="286" spans="1:25" ht="13.5" customHeight="1" x14ac:dyDescent="0.3">
      <c r="A286" s="45"/>
      <c r="B286" s="45"/>
      <c r="C286" s="52"/>
      <c r="D286" s="45"/>
      <c r="E286" s="45"/>
      <c r="F286" s="45"/>
      <c r="G286" s="52"/>
      <c r="H286" s="52"/>
      <c r="I286" s="45"/>
      <c r="J286" s="45"/>
      <c r="K286" s="45"/>
      <c r="L286" s="45"/>
      <c r="M286" s="45"/>
      <c r="N286" s="45"/>
      <c r="O286" s="45"/>
      <c r="P286" s="45"/>
      <c r="Q286" s="45"/>
      <c r="R286" s="45"/>
      <c r="S286" s="45"/>
      <c r="T286" s="45"/>
      <c r="U286" s="45"/>
      <c r="V286" s="45"/>
      <c r="W286" s="45"/>
      <c r="X286" s="45"/>
      <c r="Y286" s="45"/>
    </row>
    <row r="287" spans="1:25" ht="13.5" customHeight="1" x14ac:dyDescent="0.3">
      <c r="A287" s="45"/>
      <c r="B287" s="45"/>
      <c r="C287" s="52"/>
      <c r="D287" s="45"/>
      <c r="E287" s="45"/>
      <c r="F287" s="45"/>
      <c r="G287" s="52"/>
      <c r="H287" s="52"/>
      <c r="I287" s="45"/>
      <c r="J287" s="45"/>
      <c r="K287" s="45"/>
      <c r="L287" s="45"/>
      <c r="M287" s="45"/>
      <c r="N287" s="45"/>
      <c r="O287" s="45"/>
      <c r="P287" s="45"/>
      <c r="Q287" s="45"/>
      <c r="R287" s="45"/>
      <c r="S287" s="45"/>
      <c r="T287" s="45"/>
      <c r="U287" s="45"/>
      <c r="V287" s="45"/>
      <c r="W287" s="45"/>
      <c r="X287" s="45"/>
      <c r="Y287" s="45"/>
    </row>
    <row r="288" spans="1:25" ht="13.5" customHeight="1" x14ac:dyDescent="0.3">
      <c r="A288" s="45"/>
      <c r="B288" s="45"/>
      <c r="C288" s="52"/>
      <c r="D288" s="45"/>
      <c r="E288" s="45"/>
      <c r="F288" s="45"/>
      <c r="G288" s="52"/>
      <c r="H288" s="52"/>
      <c r="I288" s="45"/>
      <c r="J288" s="45"/>
      <c r="K288" s="45"/>
      <c r="L288" s="45"/>
      <c r="M288" s="45"/>
      <c r="N288" s="45"/>
      <c r="O288" s="45"/>
      <c r="P288" s="45"/>
      <c r="Q288" s="45"/>
      <c r="R288" s="45"/>
      <c r="S288" s="45"/>
      <c r="T288" s="45"/>
      <c r="U288" s="45"/>
      <c r="V288" s="45"/>
      <c r="W288" s="45"/>
      <c r="X288" s="45"/>
      <c r="Y288" s="45"/>
    </row>
    <row r="289" spans="1:25" ht="13.5" customHeight="1" x14ac:dyDescent="0.3">
      <c r="A289" s="45"/>
      <c r="B289" s="45"/>
      <c r="C289" s="52"/>
      <c r="D289" s="45"/>
      <c r="E289" s="45"/>
      <c r="F289" s="45"/>
      <c r="G289" s="52"/>
      <c r="H289" s="52"/>
      <c r="I289" s="45"/>
      <c r="J289" s="45"/>
      <c r="K289" s="45"/>
      <c r="L289" s="45"/>
      <c r="M289" s="45"/>
      <c r="N289" s="45"/>
      <c r="O289" s="45"/>
      <c r="P289" s="45"/>
      <c r="Q289" s="45"/>
      <c r="R289" s="45"/>
      <c r="S289" s="45"/>
      <c r="T289" s="45"/>
      <c r="U289" s="45"/>
      <c r="V289" s="45"/>
      <c r="W289" s="45"/>
      <c r="X289" s="45"/>
      <c r="Y289" s="45"/>
    </row>
    <row r="290" spans="1:25" ht="13.5" customHeight="1" x14ac:dyDescent="0.3">
      <c r="A290" s="45"/>
      <c r="B290" s="45"/>
      <c r="C290" s="52"/>
      <c r="D290" s="45"/>
      <c r="E290" s="45"/>
      <c r="F290" s="45"/>
      <c r="G290" s="52"/>
      <c r="H290" s="52"/>
      <c r="I290" s="45"/>
      <c r="J290" s="45"/>
      <c r="K290" s="45"/>
      <c r="L290" s="45"/>
      <c r="M290" s="45"/>
      <c r="N290" s="45"/>
      <c r="O290" s="45"/>
      <c r="P290" s="45"/>
      <c r="Q290" s="45"/>
      <c r="R290" s="45"/>
      <c r="S290" s="45"/>
      <c r="T290" s="45"/>
      <c r="U290" s="45"/>
      <c r="V290" s="45"/>
      <c r="W290" s="45"/>
      <c r="X290" s="45"/>
      <c r="Y290" s="45"/>
    </row>
    <row r="291" spans="1:25" ht="13.5" customHeight="1" x14ac:dyDescent="0.3">
      <c r="A291" s="45"/>
      <c r="B291" s="45"/>
      <c r="C291" s="52"/>
      <c r="D291" s="45"/>
      <c r="E291" s="45"/>
      <c r="F291" s="45"/>
      <c r="G291" s="52"/>
      <c r="H291" s="52"/>
      <c r="I291" s="45"/>
      <c r="J291" s="45"/>
      <c r="K291" s="45"/>
      <c r="L291" s="45"/>
      <c r="M291" s="45"/>
      <c r="N291" s="45"/>
      <c r="O291" s="45"/>
      <c r="P291" s="45"/>
      <c r="Q291" s="45"/>
      <c r="R291" s="45"/>
      <c r="S291" s="45"/>
      <c r="T291" s="45"/>
      <c r="U291" s="45"/>
      <c r="V291" s="45"/>
      <c r="W291" s="45"/>
      <c r="X291" s="45"/>
      <c r="Y291" s="45"/>
    </row>
    <row r="292" spans="1:25" ht="13.5" customHeight="1" x14ac:dyDescent="0.3">
      <c r="A292" s="45"/>
      <c r="B292" s="45"/>
      <c r="C292" s="52"/>
      <c r="D292" s="45"/>
      <c r="E292" s="45"/>
      <c r="F292" s="45"/>
      <c r="G292" s="52"/>
      <c r="H292" s="52"/>
      <c r="I292" s="45"/>
      <c r="J292" s="45"/>
      <c r="K292" s="45"/>
      <c r="L292" s="45"/>
      <c r="M292" s="45"/>
      <c r="N292" s="45"/>
      <c r="O292" s="45"/>
      <c r="P292" s="45"/>
      <c r="Q292" s="45"/>
      <c r="R292" s="45"/>
      <c r="S292" s="45"/>
      <c r="T292" s="45"/>
      <c r="U292" s="45"/>
      <c r="V292" s="45"/>
      <c r="W292" s="45"/>
      <c r="X292" s="45"/>
      <c r="Y292" s="45"/>
    </row>
    <row r="293" spans="1:25" ht="13.5" customHeight="1" x14ac:dyDescent="0.3">
      <c r="A293" s="45"/>
      <c r="B293" s="45"/>
      <c r="C293" s="52"/>
      <c r="D293" s="45"/>
      <c r="E293" s="45"/>
      <c r="F293" s="45"/>
      <c r="G293" s="52"/>
      <c r="H293" s="52"/>
      <c r="I293" s="45"/>
      <c r="J293" s="45"/>
      <c r="K293" s="45"/>
      <c r="L293" s="45"/>
      <c r="M293" s="45"/>
      <c r="N293" s="45"/>
      <c r="O293" s="45"/>
      <c r="P293" s="45"/>
      <c r="Q293" s="45"/>
      <c r="R293" s="45"/>
      <c r="S293" s="45"/>
      <c r="T293" s="45"/>
      <c r="U293" s="45"/>
      <c r="V293" s="45"/>
      <c r="W293" s="45"/>
      <c r="X293" s="45"/>
      <c r="Y293" s="45"/>
    </row>
    <row r="294" spans="1:25" ht="13.5" customHeight="1" x14ac:dyDescent="0.3">
      <c r="A294" s="45"/>
      <c r="B294" s="45"/>
      <c r="C294" s="52"/>
      <c r="D294" s="45"/>
      <c r="E294" s="45"/>
      <c r="F294" s="45"/>
      <c r="G294" s="52"/>
      <c r="H294" s="52"/>
      <c r="I294" s="45"/>
      <c r="J294" s="45"/>
      <c r="K294" s="45"/>
      <c r="L294" s="45"/>
      <c r="M294" s="45"/>
      <c r="N294" s="45"/>
      <c r="O294" s="45"/>
      <c r="P294" s="45"/>
      <c r="Q294" s="45"/>
      <c r="R294" s="45"/>
      <c r="S294" s="45"/>
      <c r="T294" s="45"/>
      <c r="U294" s="45"/>
      <c r="V294" s="45"/>
      <c r="W294" s="45"/>
      <c r="X294" s="45"/>
      <c r="Y294" s="45"/>
    </row>
    <row r="295" spans="1:25" ht="13.5" customHeight="1" x14ac:dyDescent="0.3">
      <c r="A295" s="45"/>
      <c r="B295" s="45"/>
      <c r="C295" s="52"/>
      <c r="D295" s="45"/>
      <c r="E295" s="45"/>
      <c r="F295" s="45"/>
      <c r="G295" s="52"/>
      <c r="H295" s="52"/>
      <c r="I295" s="45"/>
      <c r="J295" s="45"/>
      <c r="K295" s="45"/>
      <c r="L295" s="45"/>
      <c r="M295" s="45"/>
      <c r="N295" s="45"/>
      <c r="O295" s="45"/>
      <c r="P295" s="45"/>
      <c r="Q295" s="45"/>
      <c r="R295" s="45"/>
      <c r="S295" s="45"/>
      <c r="T295" s="45"/>
      <c r="U295" s="45"/>
      <c r="V295" s="45"/>
      <c r="W295" s="45"/>
      <c r="X295" s="45"/>
      <c r="Y295" s="45"/>
    </row>
    <row r="296" spans="1:25" ht="13.5" customHeight="1" x14ac:dyDescent="0.3">
      <c r="A296" s="45"/>
      <c r="B296" s="45"/>
      <c r="C296" s="52"/>
      <c r="D296" s="45"/>
      <c r="E296" s="45"/>
      <c r="F296" s="45"/>
      <c r="G296" s="52"/>
      <c r="H296" s="52"/>
      <c r="I296" s="45"/>
      <c r="J296" s="45"/>
      <c r="K296" s="45"/>
      <c r="L296" s="45"/>
      <c r="M296" s="45"/>
      <c r="N296" s="45"/>
      <c r="O296" s="45"/>
      <c r="P296" s="45"/>
      <c r="Q296" s="45"/>
      <c r="R296" s="45"/>
      <c r="S296" s="45"/>
      <c r="T296" s="45"/>
      <c r="U296" s="45"/>
      <c r="V296" s="45"/>
      <c r="W296" s="45"/>
      <c r="X296" s="45"/>
      <c r="Y296" s="45"/>
    </row>
    <row r="297" spans="1:25" ht="13.5" customHeight="1" x14ac:dyDescent="0.3">
      <c r="A297" s="45"/>
      <c r="B297" s="45"/>
      <c r="C297" s="52"/>
      <c r="D297" s="45"/>
      <c r="E297" s="45"/>
      <c r="F297" s="45"/>
      <c r="G297" s="52"/>
      <c r="H297" s="52"/>
      <c r="I297" s="45"/>
      <c r="J297" s="45"/>
      <c r="K297" s="45"/>
      <c r="L297" s="45"/>
      <c r="M297" s="45"/>
      <c r="N297" s="45"/>
      <c r="O297" s="45"/>
      <c r="P297" s="45"/>
      <c r="Q297" s="45"/>
      <c r="R297" s="45"/>
      <c r="S297" s="45"/>
      <c r="T297" s="45"/>
      <c r="U297" s="45"/>
      <c r="V297" s="45"/>
      <c r="W297" s="45"/>
      <c r="X297" s="45"/>
      <c r="Y297" s="45"/>
    </row>
    <row r="298" spans="1:25" ht="13.5" customHeight="1" x14ac:dyDescent="0.3">
      <c r="A298" s="45"/>
      <c r="B298" s="45"/>
      <c r="C298" s="52"/>
      <c r="D298" s="45"/>
      <c r="E298" s="45"/>
      <c r="F298" s="45"/>
      <c r="G298" s="52"/>
      <c r="H298" s="52"/>
      <c r="I298" s="45"/>
      <c r="J298" s="45"/>
      <c r="K298" s="45"/>
      <c r="L298" s="45"/>
      <c r="M298" s="45"/>
      <c r="N298" s="45"/>
      <c r="O298" s="45"/>
      <c r="P298" s="45"/>
      <c r="Q298" s="45"/>
      <c r="R298" s="45"/>
      <c r="S298" s="45"/>
      <c r="T298" s="45"/>
      <c r="U298" s="45"/>
      <c r="V298" s="45"/>
      <c r="W298" s="45"/>
      <c r="X298" s="45"/>
      <c r="Y298" s="45"/>
    </row>
    <row r="299" spans="1:25" ht="13.5" customHeight="1" x14ac:dyDescent="0.3">
      <c r="A299" s="45"/>
      <c r="B299" s="45"/>
      <c r="C299" s="52"/>
      <c r="D299" s="45"/>
      <c r="E299" s="45"/>
      <c r="F299" s="45"/>
      <c r="G299" s="52"/>
      <c r="H299" s="52"/>
      <c r="I299" s="45"/>
      <c r="J299" s="45"/>
      <c r="K299" s="45"/>
      <c r="L299" s="45"/>
      <c r="M299" s="45"/>
      <c r="N299" s="45"/>
      <c r="O299" s="45"/>
      <c r="P299" s="45"/>
      <c r="Q299" s="45"/>
      <c r="R299" s="45"/>
      <c r="S299" s="45"/>
      <c r="T299" s="45"/>
      <c r="U299" s="45"/>
      <c r="V299" s="45"/>
      <c r="W299" s="45"/>
      <c r="X299" s="45"/>
      <c r="Y299" s="45"/>
    </row>
    <row r="300" spans="1:25" ht="13.5" customHeight="1" x14ac:dyDescent="0.3">
      <c r="A300" s="45"/>
      <c r="B300" s="45"/>
      <c r="C300" s="52"/>
      <c r="D300" s="45"/>
      <c r="E300" s="45"/>
      <c r="F300" s="45"/>
      <c r="G300" s="52"/>
      <c r="H300" s="52"/>
      <c r="I300" s="45"/>
      <c r="J300" s="45"/>
      <c r="K300" s="45"/>
      <c r="L300" s="45"/>
      <c r="M300" s="45"/>
      <c r="N300" s="45"/>
      <c r="O300" s="45"/>
      <c r="P300" s="45"/>
      <c r="Q300" s="45"/>
      <c r="R300" s="45"/>
      <c r="S300" s="45"/>
      <c r="T300" s="45"/>
      <c r="U300" s="45"/>
      <c r="V300" s="45"/>
      <c r="W300" s="45"/>
      <c r="X300" s="45"/>
      <c r="Y300" s="45"/>
    </row>
    <row r="301" spans="1:25" ht="13.5" customHeight="1" x14ac:dyDescent="0.3">
      <c r="A301" s="45"/>
      <c r="B301" s="45"/>
      <c r="C301" s="52"/>
      <c r="D301" s="45"/>
      <c r="E301" s="45"/>
      <c r="F301" s="45"/>
      <c r="G301" s="52"/>
      <c r="H301" s="52"/>
      <c r="I301" s="45"/>
      <c r="J301" s="45"/>
      <c r="K301" s="45"/>
      <c r="L301" s="45"/>
      <c r="M301" s="45"/>
      <c r="N301" s="45"/>
      <c r="O301" s="45"/>
      <c r="P301" s="45"/>
      <c r="Q301" s="45"/>
      <c r="R301" s="45"/>
      <c r="S301" s="45"/>
      <c r="T301" s="45"/>
      <c r="U301" s="45"/>
      <c r="V301" s="45"/>
      <c r="W301" s="45"/>
      <c r="X301" s="45"/>
      <c r="Y301" s="45"/>
    </row>
    <row r="302" spans="1:25" ht="13.5" customHeight="1" x14ac:dyDescent="0.3">
      <c r="A302" s="45"/>
      <c r="B302" s="45"/>
      <c r="C302" s="52"/>
      <c r="D302" s="45"/>
      <c r="E302" s="45"/>
      <c r="F302" s="45"/>
      <c r="G302" s="52"/>
      <c r="H302" s="52"/>
      <c r="I302" s="45"/>
      <c r="J302" s="45"/>
      <c r="K302" s="45"/>
      <c r="L302" s="45"/>
      <c r="M302" s="45"/>
      <c r="N302" s="45"/>
      <c r="O302" s="45"/>
      <c r="P302" s="45"/>
      <c r="Q302" s="45"/>
      <c r="R302" s="45"/>
      <c r="S302" s="45"/>
      <c r="T302" s="45"/>
      <c r="U302" s="45"/>
      <c r="V302" s="45"/>
      <c r="W302" s="45"/>
      <c r="X302" s="45"/>
      <c r="Y302" s="45"/>
    </row>
    <row r="303" spans="1:25" ht="13.5" customHeight="1" x14ac:dyDescent="0.3">
      <c r="A303" s="45"/>
      <c r="B303" s="45"/>
      <c r="C303" s="52"/>
      <c r="D303" s="45"/>
      <c r="E303" s="45"/>
      <c r="F303" s="45"/>
      <c r="G303" s="52"/>
      <c r="H303" s="52"/>
      <c r="I303" s="45"/>
      <c r="J303" s="45"/>
      <c r="K303" s="45"/>
      <c r="L303" s="45"/>
      <c r="M303" s="45"/>
      <c r="N303" s="45"/>
      <c r="O303" s="45"/>
      <c r="P303" s="45"/>
      <c r="Q303" s="45"/>
      <c r="R303" s="45"/>
      <c r="S303" s="45"/>
      <c r="T303" s="45"/>
      <c r="U303" s="45"/>
      <c r="V303" s="45"/>
      <c r="W303" s="45"/>
      <c r="X303" s="45"/>
      <c r="Y303" s="45"/>
    </row>
    <row r="304" spans="1:25" ht="13.5" customHeight="1" x14ac:dyDescent="0.3">
      <c r="A304" s="45"/>
      <c r="B304" s="45"/>
      <c r="C304" s="52"/>
      <c r="D304" s="45"/>
      <c r="E304" s="45"/>
      <c r="F304" s="45"/>
      <c r="G304" s="52"/>
      <c r="H304" s="52"/>
      <c r="I304" s="45"/>
      <c r="J304" s="45"/>
      <c r="K304" s="45"/>
      <c r="L304" s="45"/>
      <c r="M304" s="45"/>
      <c r="N304" s="45"/>
      <c r="O304" s="45"/>
      <c r="P304" s="45"/>
      <c r="Q304" s="45"/>
      <c r="R304" s="45"/>
      <c r="S304" s="45"/>
      <c r="T304" s="45"/>
      <c r="U304" s="45"/>
      <c r="V304" s="45"/>
      <c r="W304" s="45"/>
      <c r="X304" s="45"/>
      <c r="Y304" s="45"/>
    </row>
    <row r="305" spans="1:25" ht="13.5" customHeight="1" x14ac:dyDescent="0.3">
      <c r="A305" s="45"/>
      <c r="B305" s="45"/>
      <c r="C305" s="52"/>
      <c r="D305" s="45"/>
      <c r="E305" s="45"/>
      <c r="F305" s="45"/>
      <c r="G305" s="52"/>
      <c r="H305" s="52"/>
      <c r="I305" s="45"/>
      <c r="J305" s="45"/>
      <c r="K305" s="45"/>
      <c r="L305" s="45"/>
      <c r="M305" s="45"/>
      <c r="N305" s="45"/>
      <c r="O305" s="45"/>
      <c r="P305" s="45"/>
      <c r="Q305" s="45"/>
      <c r="R305" s="45"/>
      <c r="S305" s="45"/>
      <c r="T305" s="45"/>
      <c r="U305" s="45"/>
      <c r="V305" s="45"/>
      <c r="W305" s="45"/>
      <c r="X305" s="45"/>
      <c r="Y305" s="45"/>
    </row>
    <row r="306" spans="1:25" ht="13.5" customHeight="1" x14ac:dyDescent="0.3">
      <c r="A306" s="45"/>
      <c r="B306" s="45"/>
      <c r="C306" s="52"/>
      <c r="D306" s="45"/>
      <c r="E306" s="45"/>
      <c r="F306" s="45"/>
      <c r="G306" s="52"/>
      <c r="H306" s="52"/>
      <c r="I306" s="45"/>
      <c r="J306" s="45"/>
      <c r="K306" s="45"/>
      <c r="L306" s="45"/>
      <c r="M306" s="45"/>
      <c r="N306" s="45"/>
      <c r="O306" s="45"/>
      <c r="P306" s="45"/>
      <c r="Q306" s="45"/>
      <c r="R306" s="45"/>
      <c r="S306" s="45"/>
      <c r="T306" s="45"/>
      <c r="U306" s="45"/>
      <c r="V306" s="45"/>
      <c r="W306" s="45"/>
      <c r="X306" s="45"/>
      <c r="Y306" s="45"/>
    </row>
    <row r="307" spans="1:25" ht="13.5" customHeight="1" x14ac:dyDescent="0.3">
      <c r="A307" s="45"/>
      <c r="B307" s="45"/>
      <c r="C307" s="52"/>
      <c r="D307" s="45"/>
      <c r="E307" s="45"/>
      <c r="F307" s="45"/>
      <c r="G307" s="52"/>
      <c r="H307" s="52"/>
      <c r="I307" s="45"/>
      <c r="J307" s="45"/>
      <c r="K307" s="45"/>
      <c r="L307" s="45"/>
      <c r="M307" s="45"/>
      <c r="N307" s="45"/>
      <c r="O307" s="45"/>
      <c r="P307" s="45"/>
      <c r="Q307" s="45"/>
      <c r="R307" s="45"/>
      <c r="S307" s="45"/>
      <c r="T307" s="45"/>
      <c r="U307" s="45"/>
      <c r="V307" s="45"/>
      <c r="W307" s="45"/>
      <c r="X307" s="45"/>
      <c r="Y307" s="45"/>
    </row>
    <row r="308" spans="1:25" ht="13.5" customHeight="1" x14ac:dyDescent="0.3">
      <c r="A308" s="45"/>
      <c r="B308" s="45"/>
      <c r="C308" s="52"/>
      <c r="D308" s="45"/>
      <c r="E308" s="45"/>
      <c r="F308" s="45"/>
      <c r="G308" s="52"/>
      <c r="H308" s="52"/>
      <c r="I308" s="45"/>
      <c r="J308" s="45"/>
      <c r="K308" s="45"/>
      <c r="L308" s="45"/>
      <c r="M308" s="45"/>
      <c r="N308" s="45"/>
      <c r="O308" s="45"/>
      <c r="P308" s="45"/>
      <c r="Q308" s="45"/>
      <c r="R308" s="45"/>
      <c r="S308" s="45"/>
      <c r="T308" s="45"/>
      <c r="U308" s="45"/>
      <c r="V308" s="45"/>
      <c r="W308" s="45"/>
      <c r="X308" s="45"/>
      <c r="Y308" s="45"/>
    </row>
    <row r="309" spans="1:25" ht="13.5" customHeight="1" x14ac:dyDescent="0.3">
      <c r="A309" s="45"/>
      <c r="B309" s="45"/>
      <c r="C309" s="52"/>
      <c r="D309" s="45"/>
      <c r="E309" s="45"/>
      <c r="F309" s="45"/>
      <c r="G309" s="52"/>
      <c r="H309" s="52"/>
      <c r="I309" s="45"/>
      <c r="J309" s="45"/>
      <c r="K309" s="45"/>
      <c r="L309" s="45"/>
      <c r="M309" s="45"/>
      <c r="N309" s="45"/>
      <c r="O309" s="45"/>
      <c r="P309" s="45"/>
      <c r="Q309" s="45"/>
      <c r="R309" s="45"/>
      <c r="S309" s="45"/>
      <c r="T309" s="45"/>
      <c r="U309" s="45"/>
      <c r="V309" s="45"/>
      <c r="W309" s="45"/>
      <c r="X309" s="45"/>
      <c r="Y309" s="45"/>
    </row>
    <row r="310" spans="1:25" ht="13.5" customHeight="1" x14ac:dyDescent="0.3">
      <c r="A310" s="45"/>
      <c r="B310" s="45"/>
      <c r="C310" s="52"/>
      <c r="D310" s="45"/>
      <c r="E310" s="45"/>
      <c r="F310" s="45"/>
      <c r="G310" s="52"/>
      <c r="H310" s="52"/>
      <c r="I310" s="45"/>
      <c r="J310" s="45"/>
      <c r="K310" s="45"/>
      <c r="L310" s="45"/>
      <c r="M310" s="45"/>
      <c r="N310" s="45"/>
      <c r="O310" s="45"/>
      <c r="P310" s="45"/>
      <c r="Q310" s="45"/>
      <c r="R310" s="45"/>
      <c r="S310" s="45"/>
      <c r="T310" s="45"/>
      <c r="U310" s="45"/>
      <c r="V310" s="45"/>
      <c r="W310" s="45"/>
      <c r="X310" s="45"/>
      <c r="Y310" s="45"/>
    </row>
    <row r="311" spans="1:25" ht="13.5" customHeight="1" x14ac:dyDescent="0.3">
      <c r="A311" s="45"/>
      <c r="B311" s="45"/>
      <c r="C311" s="52"/>
      <c r="D311" s="45"/>
      <c r="E311" s="45"/>
      <c r="F311" s="45"/>
      <c r="G311" s="52"/>
      <c r="H311" s="52"/>
      <c r="I311" s="45"/>
      <c r="J311" s="45"/>
      <c r="K311" s="45"/>
      <c r="L311" s="45"/>
      <c r="M311" s="45"/>
      <c r="N311" s="45"/>
      <c r="O311" s="45"/>
      <c r="P311" s="45"/>
      <c r="Q311" s="45"/>
      <c r="R311" s="45"/>
      <c r="S311" s="45"/>
      <c r="T311" s="45"/>
      <c r="U311" s="45"/>
      <c r="V311" s="45"/>
      <c r="W311" s="45"/>
      <c r="X311" s="45"/>
      <c r="Y311" s="45"/>
    </row>
    <row r="312" spans="1:25" ht="13.5" customHeight="1" x14ac:dyDescent="0.3">
      <c r="A312" s="45"/>
      <c r="B312" s="45"/>
      <c r="C312" s="52"/>
      <c r="D312" s="45"/>
      <c r="E312" s="45"/>
      <c r="F312" s="45"/>
      <c r="G312" s="52"/>
      <c r="H312" s="52"/>
      <c r="I312" s="45"/>
      <c r="J312" s="45"/>
      <c r="K312" s="45"/>
      <c r="L312" s="45"/>
      <c r="M312" s="45"/>
      <c r="N312" s="45"/>
      <c r="O312" s="45"/>
      <c r="P312" s="45"/>
      <c r="Q312" s="45"/>
      <c r="R312" s="45"/>
      <c r="S312" s="45"/>
      <c r="T312" s="45"/>
      <c r="U312" s="45"/>
      <c r="V312" s="45"/>
      <c r="W312" s="45"/>
      <c r="X312" s="45"/>
      <c r="Y312" s="45"/>
    </row>
    <row r="313" spans="1:25" ht="13.5" customHeight="1" x14ac:dyDescent="0.3">
      <c r="A313" s="45"/>
      <c r="B313" s="45"/>
      <c r="C313" s="52"/>
      <c r="D313" s="45"/>
      <c r="E313" s="45"/>
      <c r="F313" s="45"/>
      <c r="G313" s="52"/>
      <c r="H313" s="52"/>
      <c r="I313" s="45"/>
      <c r="J313" s="45"/>
      <c r="K313" s="45"/>
      <c r="L313" s="45"/>
      <c r="M313" s="45"/>
      <c r="N313" s="45"/>
      <c r="O313" s="45"/>
      <c r="P313" s="45"/>
      <c r="Q313" s="45"/>
      <c r="R313" s="45"/>
      <c r="S313" s="45"/>
      <c r="T313" s="45"/>
      <c r="U313" s="45"/>
      <c r="V313" s="45"/>
      <c r="W313" s="45"/>
      <c r="X313" s="45"/>
      <c r="Y313" s="45"/>
    </row>
    <row r="314" spans="1:25" ht="13.5" customHeight="1" x14ac:dyDescent="0.3">
      <c r="A314" s="45"/>
      <c r="B314" s="45"/>
      <c r="C314" s="52"/>
      <c r="D314" s="45"/>
      <c r="E314" s="45"/>
      <c r="F314" s="45"/>
      <c r="G314" s="52"/>
      <c r="H314" s="52"/>
      <c r="I314" s="45"/>
      <c r="J314" s="45"/>
      <c r="K314" s="45"/>
      <c r="L314" s="45"/>
      <c r="M314" s="45"/>
      <c r="N314" s="45"/>
      <c r="O314" s="45"/>
      <c r="P314" s="45"/>
      <c r="Q314" s="45"/>
      <c r="R314" s="45"/>
      <c r="S314" s="45"/>
      <c r="T314" s="45"/>
      <c r="U314" s="45"/>
      <c r="V314" s="45"/>
      <c r="W314" s="45"/>
      <c r="X314" s="45"/>
      <c r="Y314" s="45"/>
    </row>
    <row r="315" spans="1:25" ht="13.5" customHeight="1" x14ac:dyDescent="0.3">
      <c r="A315" s="45"/>
      <c r="B315" s="45"/>
      <c r="C315" s="52"/>
      <c r="D315" s="45"/>
      <c r="E315" s="45"/>
      <c r="F315" s="45"/>
      <c r="G315" s="52"/>
      <c r="H315" s="52"/>
      <c r="I315" s="45"/>
      <c r="J315" s="45"/>
      <c r="K315" s="45"/>
      <c r="L315" s="45"/>
      <c r="M315" s="45"/>
      <c r="N315" s="45"/>
      <c r="O315" s="45"/>
      <c r="P315" s="45"/>
      <c r="Q315" s="45"/>
      <c r="R315" s="45"/>
      <c r="S315" s="45"/>
      <c r="T315" s="45"/>
      <c r="U315" s="45"/>
      <c r="V315" s="45"/>
      <c r="W315" s="45"/>
      <c r="X315" s="45"/>
      <c r="Y315" s="45"/>
    </row>
    <row r="316" spans="1:25" ht="13.5" customHeight="1" x14ac:dyDescent="0.3">
      <c r="A316" s="45"/>
      <c r="B316" s="45"/>
      <c r="C316" s="52"/>
      <c r="D316" s="45"/>
      <c r="E316" s="45"/>
      <c r="F316" s="45"/>
      <c r="G316" s="52"/>
      <c r="H316" s="52"/>
      <c r="I316" s="45"/>
      <c r="J316" s="45"/>
      <c r="K316" s="45"/>
      <c r="L316" s="45"/>
      <c r="M316" s="45"/>
      <c r="N316" s="45"/>
      <c r="O316" s="45"/>
      <c r="P316" s="45"/>
      <c r="Q316" s="45"/>
      <c r="R316" s="45"/>
      <c r="S316" s="45"/>
      <c r="T316" s="45"/>
      <c r="U316" s="45"/>
      <c r="V316" s="45"/>
      <c r="W316" s="45"/>
      <c r="X316" s="45"/>
      <c r="Y316" s="45"/>
    </row>
    <row r="317" spans="1:25" ht="13.5" customHeight="1" x14ac:dyDescent="0.3">
      <c r="A317" s="45"/>
      <c r="B317" s="45"/>
      <c r="C317" s="52"/>
      <c r="D317" s="45"/>
      <c r="E317" s="45"/>
      <c r="F317" s="45"/>
      <c r="G317" s="52"/>
      <c r="H317" s="52"/>
      <c r="I317" s="45"/>
      <c r="J317" s="45"/>
      <c r="K317" s="45"/>
      <c r="L317" s="45"/>
      <c r="M317" s="45"/>
      <c r="N317" s="45"/>
      <c r="O317" s="45"/>
      <c r="P317" s="45"/>
      <c r="Q317" s="45"/>
      <c r="R317" s="45"/>
      <c r="S317" s="45"/>
      <c r="T317" s="45"/>
      <c r="U317" s="45"/>
      <c r="V317" s="45"/>
      <c r="W317" s="45"/>
      <c r="X317" s="45"/>
      <c r="Y317" s="45"/>
    </row>
    <row r="318" spans="1:25" ht="13.5" customHeight="1" x14ac:dyDescent="0.3">
      <c r="A318" s="45"/>
      <c r="B318" s="45"/>
      <c r="C318" s="52"/>
      <c r="D318" s="45"/>
      <c r="E318" s="45"/>
      <c r="F318" s="45"/>
      <c r="G318" s="52"/>
      <c r="H318" s="52"/>
      <c r="I318" s="45"/>
      <c r="J318" s="45"/>
      <c r="K318" s="45"/>
      <c r="L318" s="45"/>
      <c r="M318" s="45"/>
      <c r="N318" s="45"/>
      <c r="O318" s="45"/>
      <c r="P318" s="45"/>
      <c r="Q318" s="45"/>
      <c r="R318" s="45"/>
      <c r="S318" s="45"/>
      <c r="T318" s="45"/>
      <c r="U318" s="45"/>
      <c r="V318" s="45"/>
      <c r="W318" s="45"/>
      <c r="X318" s="45"/>
      <c r="Y318" s="45"/>
    </row>
    <row r="319" spans="1:25" ht="13.5" customHeight="1" x14ac:dyDescent="0.3">
      <c r="A319" s="45"/>
      <c r="B319" s="45"/>
      <c r="C319" s="52"/>
      <c r="D319" s="45"/>
      <c r="E319" s="45"/>
      <c r="F319" s="45"/>
      <c r="G319" s="52"/>
      <c r="H319" s="52"/>
      <c r="I319" s="45"/>
      <c r="J319" s="45"/>
      <c r="K319" s="45"/>
      <c r="L319" s="45"/>
      <c r="M319" s="45"/>
      <c r="N319" s="45"/>
      <c r="O319" s="45"/>
      <c r="P319" s="45"/>
      <c r="Q319" s="45"/>
      <c r="R319" s="45"/>
      <c r="S319" s="45"/>
      <c r="T319" s="45"/>
      <c r="U319" s="45"/>
      <c r="V319" s="45"/>
      <c r="W319" s="45"/>
      <c r="X319" s="45"/>
      <c r="Y319" s="45"/>
    </row>
    <row r="320" spans="1:25" ht="13.5" customHeight="1" x14ac:dyDescent="0.3">
      <c r="A320" s="45"/>
      <c r="B320" s="45"/>
      <c r="C320" s="52"/>
      <c r="D320" s="45"/>
      <c r="E320" s="45"/>
      <c r="F320" s="45"/>
      <c r="G320" s="52"/>
      <c r="H320" s="52"/>
      <c r="I320" s="45"/>
      <c r="J320" s="45"/>
      <c r="K320" s="45"/>
      <c r="L320" s="45"/>
      <c r="M320" s="45"/>
      <c r="N320" s="45"/>
      <c r="O320" s="45"/>
      <c r="P320" s="45"/>
      <c r="Q320" s="45"/>
      <c r="R320" s="45"/>
      <c r="S320" s="45"/>
      <c r="T320" s="45"/>
      <c r="U320" s="45"/>
      <c r="V320" s="45"/>
      <c r="W320" s="45"/>
      <c r="X320" s="45"/>
      <c r="Y320" s="45"/>
    </row>
    <row r="321" spans="1:25" ht="13.5" customHeight="1" x14ac:dyDescent="0.3">
      <c r="A321" s="45"/>
      <c r="B321" s="45"/>
      <c r="C321" s="52"/>
      <c r="D321" s="45"/>
      <c r="E321" s="45"/>
      <c r="F321" s="45"/>
      <c r="G321" s="52"/>
      <c r="H321" s="52"/>
      <c r="I321" s="45"/>
      <c r="J321" s="45"/>
      <c r="K321" s="45"/>
      <c r="L321" s="45"/>
      <c r="M321" s="45"/>
      <c r="N321" s="45"/>
      <c r="O321" s="45"/>
      <c r="P321" s="45"/>
      <c r="Q321" s="45"/>
      <c r="R321" s="45"/>
      <c r="S321" s="45"/>
      <c r="T321" s="45"/>
      <c r="U321" s="45"/>
      <c r="V321" s="45"/>
      <c r="W321" s="45"/>
      <c r="X321" s="45"/>
      <c r="Y321" s="45"/>
    </row>
    <row r="322" spans="1:25" ht="13.5" customHeight="1" x14ac:dyDescent="0.3">
      <c r="A322" s="45"/>
      <c r="B322" s="45"/>
      <c r="C322" s="52"/>
      <c r="D322" s="45"/>
      <c r="E322" s="45"/>
      <c r="F322" s="45"/>
      <c r="G322" s="52"/>
      <c r="H322" s="52"/>
      <c r="I322" s="45"/>
      <c r="J322" s="45"/>
      <c r="K322" s="45"/>
      <c r="L322" s="45"/>
      <c r="M322" s="45"/>
      <c r="N322" s="45"/>
      <c r="O322" s="45"/>
      <c r="P322" s="45"/>
      <c r="Q322" s="45"/>
      <c r="R322" s="45"/>
      <c r="S322" s="45"/>
      <c r="T322" s="45"/>
      <c r="U322" s="45"/>
      <c r="V322" s="45"/>
      <c r="W322" s="45"/>
      <c r="X322" s="45"/>
      <c r="Y322" s="45"/>
    </row>
    <row r="323" spans="1:25" ht="13.5" customHeight="1" x14ac:dyDescent="0.3">
      <c r="A323" s="45"/>
      <c r="B323" s="45"/>
      <c r="C323" s="52"/>
      <c r="D323" s="45"/>
      <c r="E323" s="45"/>
      <c r="F323" s="45"/>
      <c r="G323" s="52"/>
      <c r="H323" s="52"/>
      <c r="I323" s="45"/>
      <c r="J323" s="45"/>
      <c r="K323" s="45"/>
      <c r="L323" s="45"/>
      <c r="M323" s="45"/>
      <c r="N323" s="45"/>
      <c r="O323" s="45"/>
      <c r="P323" s="45"/>
      <c r="Q323" s="45"/>
      <c r="R323" s="45"/>
      <c r="S323" s="45"/>
      <c r="T323" s="45"/>
      <c r="U323" s="45"/>
      <c r="V323" s="45"/>
      <c r="W323" s="45"/>
      <c r="X323" s="45"/>
      <c r="Y323" s="45"/>
    </row>
    <row r="324" spans="1:25" ht="13.5" customHeight="1" x14ac:dyDescent="0.3">
      <c r="A324" s="45"/>
      <c r="B324" s="45"/>
      <c r="C324" s="52"/>
      <c r="D324" s="45"/>
      <c r="E324" s="45"/>
      <c r="F324" s="45"/>
      <c r="G324" s="52"/>
      <c r="H324" s="52"/>
      <c r="I324" s="45"/>
      <c r="J324" s="45"/>
      <c r="K324" s="45"/>
      <c r="L324" s="45"/>
      <c r="M324" s="45"/>
      <c r="N324" s="45"/>
      <c r="O324" s="45"/>
      <c r="P324" s="45"/>
      <c r="Q324" s="45"/>
      <c r="R324" s="45"/>
      <c r="S324" s="45"/>
      <c r="T324" s="45"/>
      <c r="U324" s="45"/>
      <c r="V324" s="45"/>
      <c r="W324" s="45"/>
      <c r="X324" s="45"/>
      <c r="Y324" s="45"/>
    </row>
    <row r="325" spans="1:25" ht="13.5" customHeight="1" x14ac:dyDescent="0.3">
      <c r="A325" s="45"/>
      <c r="B325" s="45"/>
      <c r="C325" s="52"/>
      <c r="D325" s="45"/>
      <c r="E325" s="45"/>
      <c r="F325" s="45"/>
      <c r="G325" s="52"/>
      <c r="H325" s="52"/>
      <c r="I325" s="45"/>
      <c r="J325" s="45"/>
      <c r="K325" s="45"/>
      <c r="L325" s="45"/>
      <c r="M325" s="45"/>
      <c r="N325" s="45"/>
      <c r="O325" s="45"/>
      <c r="P325" s="45"/>
      <c r="Q325" s="45"/>
      <c r="R325" s="45"/>
      <c r="S325" s="45"/>
      <c r="T325" s="45"/>
      <c r="U325" s="45"/>
      <c r="V325" s="45"/>
      <c r="W325" s="45"/>
      <c r="X325" s="45"/>
      <c r="Y325" s="45"/>
    </row>
    <row r="326" spans="1:25" ht="13.5" customHeight="1" x14ac:dyDescent="0.3">
      <c r="A326" s="45"/>
      <c r="B326" s="45"/>
      <c r="C326" s="52"/>
      <c r="D326" s="45"/>
      <c r="E326" s="45"/>
      <c r="F326" s="45"/>
      <c r="G326" s="52"/>
      <c r="H326" s="52"/>
      <c r="I326" s="45"/>
      <c r="J326" s="45"/>
      <c r="K326" s="45"/>
      <c r="L326" s="45"/>
      <c r="M326" s="45"/>
      <c r="N326" s="45"/>
      <c r="O326" s="45"/>
      <c r="P326" s="45"/>
      <c r="Q326" s="45"/>
      <c r="R326" s="45"/>
      <c r="S326" s="45"/>
      <c r="T326" s="45"/>
      <c r="U326" s="45"/>
      <c r="V326" s="45"/>
      <c r="W326" s="45"/>
      <c r="X326" s="45"/>
      <c r="Y326" s="45"/>
    </row>
    <row r="327" spans="1:25" ht="13.5" customHeight="1" x14ac:dyDescent="0.3">
      <c r="A327" s="45"/>
      <c r="B327" s="45"/>
      <c r="C327" s="52"/>
      <c r="D327" s="45"/>
      <c r="E327" s="45"/>
      <c r="F327" s="45"/>
      <c r="G327" s="52"/>
      <c r="H327" s="52"/>
      <c r="I327" s="45"/>
      <c r="J327" s="45"/>
      <c r="K327" s="45"/>
      <c r="L327" s="45"/>
      <c r="M327" s="45"/>
      <c r="N327" s="45"/>
      <c r="O327" s="45"/>
      <c r="P327" s="45"/>
      <c r="Q327" s="45"/>
      <c r="R327" s="45"/>
      <c r="S327" s="45"/>
      <c r="T327" s="45"/>
      <c r="U327" s="45"/>
      <c r="V327" s="45"/>
      <c r="W327" s="45"/>
      <c r="X327" s="45"/>
      <c r="Y327" s="45"/>
    </row>
    <row r="328" spans="1:25" ht="13.5" customHeight="1" x14ac:dyDescent="0.3">
      <c r="A328" s="45"/>
      <c r="B328" s="45"/>
      <c r="C328" s="52"/>
      <c r="D328" s="45"/>
      <c r="E328" s="45"/>
      <c r="F328" s="45"/>
      <c r="G328" s="52"/>
      <c r="H328" s="52"/>
      <c r="I328" s="45"/>
      <c r="J328" s="45"/>
      <c r="K328" s="45"/>
      <c r="L328" s="45"/>
      <c r="M328" s="45"/>
      <c r="N328" s="45"/>
      <c r="O328" s="45"/>
      <c r="P328" s="45"/>
      <c r="Q328" s="45"/>
      <c r="R328" s="45"/>
      <c r="S328" s="45"/>
      <c r="T328" s="45"/>
      <c r="U328" s="45"/>
      <c r="V328" s="45"/>
      <c r="W328" s="45"/>
      <c r="X328" s="45"/>
      <c r="Y328" s="45"/>
    </row>
    <row r="329" spans="1:25" ht="13.5" customHeight="1" x14ac:dyDescent="0.3">
      <c r="A329" s="45"/>
      <c r="B329" s="45"/>
      <c r="C329" s="52"/>
      <c r="D329" s="45"/>
      <c r="E329" s="45"/>
      <c r="F329" s="45"/>
      <c r="G329" s="52"/>
      <c r="H329" s="52"/>
      <c r="I329" s="45"/>
      <c r="J329" s="45"/>
      <c r="K329" s="45"/>
      <c r="L329" s="45"/>
      <c r="M329" s="45"/>
      <c r="N329" s="45"/>
      <c r="O329" s="45"/>
      <c r="P329" s="45"/>
      <c r="Q329" s="45"/>
      <c r="R329" s="45"/>
      <c r="S329" s="45"/>
      <c r="T329" s="45"/>
      <c r="U329" s="45"/>
      <c r="V329" s="45"/>
      <c r="W329" s="45"/>
      <c r="X329" s="45"/>
      <c r="Y329" s="45"/>
    </row>
    <row r="330" spans="1:25" ht="13.5" customHeight="1" x14ac:dyDescent="0.3">
      <c r="A330" s="45"/>
      <c r="B330" s="45"/>
      <c r="C330" s="52"/>
      <c r="D330" s="45"/>
      <c r="E330" s="45"/>
      <c r="F330" s="45"/>
      <c r="G330" s="52"/>
      <c r="H330" s="52"/>
      <c r="I330" s="45"/>
      <c r="J330" s="45"/>
      <c r="K330" s="45"/>
      <c r="L330" s="45"/>
      <c r="M330" s="45"/>
      <c r="N330" s="45"/>
      <c r="O330" s="45"/>
      <c r="P330" s="45"/>
      <c r="Q330" s="45"/>
      <c r="R330" s="45"/>
      <c r="S330" s="45"/>
      <c r="T330" s="45"/>
      <c r="U330" s="45"/>
      <c r="V330" s="45"/>
      <c r="W330" s="45"/>
      <c r="X330" s="45"/>
      <c r="Y330" s="45"/>
    </row>
    <row r="331" spans="1:25" ht="13.5" customHeight="1" x14ac:dyDescent="0.3">
      <c r="A331" s="45"/>
      <c r="B331" s="45"/>
      <c r="C331" s="52"/>
      <c r="D331" s="45"/>
      <c r="E331" s="45"/>
      <c r="F331" s="45"/>
      <c r="G331" s="52"/>
      <c r="H331" s="52"/>
      <c r="I331" s="45"/>
      <c r="J331" s="45"/>
      <c r="K331" s="45"/>
      <c r="L331" s="45"/>
      <c r="M331" s="45"/>
      <c r="N331" s="45"/>
      <c r="O331" s="45"/>
      <c r="P331" s="45"/>
      <c r="Q331" s="45"/>
      <c r="R331" s="45"/>
      <c r="S331" s="45"/>
      <c r="T331" s="45"/>
      <c r="U331" s="45"/>
      <c r="V331" s="45"/>
      <c r="W331" s="45"/>
      <c r="X331" s="45"/>
      <c r="Y331" s="45"/>
    </row>
    <row r="332" spans="1:25" ht="13.5" customHeight="1" x14ac:dyDescent="0.3">
      <c r="A332" s="45"/>
      <c r="B332" s="45"/>
      <c r="C332" s="52"/>
      <c r="D332" s="45"/>
      <c r="E332" s="45"/>
      <c r="F332" s="45"/>
      <c r="G332" s="52"/>
      <c r="H332" s="52"/>
      <c r="I332" s="45"/>
      <c r="J332" s="45"/>
      <c r="K332" s="45"/>
      <c r="L332" s="45"/>
      <c r="M332" s="45"/>
      <c r="N332" s="45"/>
      <c r="O332" s="45"/>
      <c r="P332" s="45"/>
      <c r="Q332" s="45"/>
      <c r="R332" s="45"/>
      <c r="S332" s="45"/>
      <c r="T332" s="45"/>
      <c r="U332" s="45"/>
      <c r="V332" s="45"/>
      <c r="W332" s="45"/>
      <c r="X332" s="45"/>
      <c r="Y332" s="45"/>
    </row>
    <row r="333" spans="1:25" ht="13.5" customHeight="1" x14ac:dyDescent="0.3">
      <c r="A333" s="45"/>
      <c r="B333" s="45"/>
      <c r="C333" s="52"/>
      <c r="D333" s="45"/>
      <c r="E333" s="45"/>
      <c r="F333" s="45"/>
      <c r="G333" s="52"/>
      <c r="H333" s="52"/>
      <c r="I333" s="45"/>
      <c r="J333" s="45"/>
      <c r="K333" s="45"/>
      <c r="L333" s="45"/>
      <c r="M333" s="45"/>
      <c r="N333" s="45"/>
      <c r="O333" s="45"/>
      <c r="P333" s="45"/>
      <c r="Q333" s="45"/>
      <c r="R333" s="45"/>
      <c r="S333" s="45"/>
      <c r="T333" s="45"/>
      <c r="U333" s="45"/>
      <c r="V333" s="45"/>
      <c r="W333" s="45"/>
      <c r="X333" s="45"/>
      <c r="Y333" s="45"/>
    </row>
    <row r="334" spans="1:25" ht="13.5" customHeight="1" x14ac:dyDescent="0.3">
      <c r="A334" s="45"/>
      <c r="B334" s="45"/>
      <c r="C334" s="52"/>
      <c r="D334" s="45"/>
      <c r="E334" s="45"/>
      <c r="F334" s="45"/>
      <c r="G334" s="52"/>
      <c r="H334" s="52"/>
      <c r="I334" s="45"/>
      <c r="J334" s="45"/>
      <c r="K334" s="45"/>
      <c r="L334" s="45"/>
      <c r="M334" s="45"/>
      <c r="N334" s="45"/>
      <c r="O334" s="45"/>
      <c r="P334" s="45"/>
      <c r="Q334" s="45"/>
      <c r="R334" s="45"/>
      <c r="S334" s="45"/>
      <c r="T334" s="45"/>
      <c r="U334" s="45"/>
      <c r="V334" s="45"/>
      <c r="W334" s="45"/>
      <c r="X334" s="45"/>
      <c r="Y334" s="45"/>
    </row>
    <row r="335" spans="1:25" ht="13.5" customHeight="1" x14ac:dyDescent="0.3">
      <c r="A335" s="45"/>
      <c r="B335" s="45"/>
      <c r="C335" s="52"/>
      <c r="D335" s="45"/>
      <c r="E335" s="45"/>
      <c r="F335" s="45"/>
      <c r="G335" s="52"/>
      <c r="H335" s="52"/>
      <c r="I335" s="45"/>
      <c r="J335" s="45"/>
      <c r="K335" s="45"/>
      <c r="L335" s="45"/>
      <c r="M335" s="45"/>
      <c r="N335" s="45"/>
      <c r="O335" s="45"/>
      <c r="P335" s="45"/>
      <c r="Q335" s="45"/>
      <c r="R335" s="45"/>
      <c r="S335" s="45"/>
      <c r="T335" s="45"/>
      <c r="U335" s="45"/>
      <c r="V335" s="45"/>
      <c r="W335" s="45"/>
      <c r="X335" s="45"/>
      <c r="Y335" s="45"/>
    </row>
    <row r="336" spans="1:25" ht="13.5" customHeight="1" x14ac:dyDescent="0.3">
      <c r="A336" s="45"/>
      <c r="B336" s="45"/>
      <c r="C336" s="52"/>
      <c r="D336" s="45"/>
      <c r="E336" s="45"/>
      <c r="F336" s="45"/>
      <c r="G336" s="52"/>
      <c r="H336" s="52"/>
      <c r="I336" s="45"/>
      <c r="J336" s="45"/>
      <c r="K336" s="45"/>
      <c r="L336" s="45"/>
      <c r="M336" s="45"/>
      <c r="N336" s="45"/>
      <c r="O336" s="45"/>
      <c r="P336" s="45"/>
      <c r="Q336" s="45"/>
      <c r="R336" s="45"/>
      <c r="S336" s="45"/>
      <c r="T336" s="45"/>
      <c r="U336" s="45"/>
      <c r="V336" s="45"/>
      <c r="W336" s="45"/>
      <c r="X336" s="45"/>
      <c r="Y336" s="45"/>
    </row>
    <row r="337" spans="1:25" ht="13.5" customHeight="1" x14ac:dyDescent="0.3">
      <c r="A337" s="45"/>
      <c r="B337" s="45"/>
      <c r="C337" s="52"/>
      <c r="D337" s="45"/>
      <c r="E337" s="45"/>
      <c r="F337" s="45"/>
      <c r="G337" s="52"/>
      <c r="H337" s="52"/>
      <c r="I337" s="45"/>
      <c r="J337" s="45"/>
      <c r="K337" s="45"/>
      <c r="L337" s="45"/>
      <c r="M337" s="45"/>
      <c r="N337" s="45"/>
      <c r="O337" s="45"/>
      <c r="P337" s="45"/>
      <c r="Q337" s="45"/>
      <c r="R337" s="45"/>
      <c r="S337" s="45"/>
      <c r="T337" s="45"/>
      <c r="U337" s="45"/>
      <c r="V337" s="45"/>
      <c r="W337" s="45"/>
      <c r="X337" s="45"/>
      <c r="Y337" s="45"/>
    </row>
    <row r="338" spans="1:25" ht="13.5" customHeight="1" x14ac:dyDescent="0.3">
      <c r="A338" s="45"/>
      <c r="B338" s="45"/>
      <c r="C338" s="52"/>
      <c r="D338" s="45"/>
      <c r="E338" s="45"/>
      <c r="F338" s="45"/>
      <c r="G338" s="52"/>
      <c r="H338" s="52"/>
      <c r="I338" s="45"/>
      <c r="J338" s="45"/>
      <c r="K338" s="45"/>
      <c r="L338" s="45"/>
      <c r="M338" s="45"/>
      <c r="N338" s="45"/>
      <c r="O338" s="45"/>
      <c r="P338" s="45"/>
      <c r="Q338" s="45"/>
      <c r="R338" s="45"/>
      <c r="S338" s="45"/>
      <c r="T338" s="45"/>
      <c r="U338" s="45"/>
      <c r="V338" s="45"/>
      <c r="W338" s="45"/>
      <c r="X338" s="45"/>
      <c r="Y338" s="45"/>
    </row>
    <row r="339" spans="1:25" ht="13.5" customHeight="1" x14ac:dyDescent="0.3">
      <c r="A339" s="45"/>
      <c r="B339" s="45"/>
      <c r="C339" s="52"/>
      <c r="D339" s="45"/>
      <c r="E339" s="45"/>
      <c r="F339" s="45"/>
      <c r="G339" s="52"/>
      <c r="H339" s="52"/>
      <c r="I339" s="45"/>
      <c r="J339" s="45"/>
      <c r="K339" s="45"/>
      <c r="L339" s="45"/>
      <c r="M339" s="45"/>
      <c r="N339" s="45"/>
      <c r="O339" s="45"/>
      <c r="P339" s="45"/>
      <c r="Q339" s="45"/>
      <c r="R339" s="45"/>
      <c r="S339" s="45"/>
      <c r="T339" s="45"/>
      <c r="U339" s="45"/>
      <c r="V339" s="45"/>
      <c r="W339" s="45"/>
      <c r="X339" s="45"/>
      <c r="Y339" s="45"/>
    </row>
    <row r="340" spans="1:25" ht="13.5" customHeight="1" x14ac:dyDescent="0.3">
      <c r="A340" s="45"/>
      <c r="B340" s="45"/>
      <c r="C340" s="52"/>
      <c r="D340" s="45"/>
      <c r="E340" s="45"/>
      <c r="F340" s="45"/>
      <c r="G340" s="52"/>
      <c r="H340" s="52"/>
      <c r="I340" s="45"/>
      <c r="J340" s="45"/>
      <c r="K340" s="45"/>
      <c r="L340" s="45"/>
      <c r="M340" s="45"/>
      <c r="N340" s="45"/>
      <c r="O340" s="45"/>
      <c r="P340" s="45"/>
      <c r="Q340" s="45"/>
      <c r="R340" s="45"/>
      <c r="S340" s="45"/>
      <c r="T340" s="45"/>
      <c r="U340" s="45"/>
      <c r="V340" s="45"/>
      <c r="W340" s="45"/>
      <c r="X340" s="45"/>
      <c r="Y340" s="45"/>
    </row>
    <row r="341" spans="1:25" ht="13.5" customHeight="1" x14ac:dyDescent="0.3">
      <c r="A341" s="45"/>
      <c r="B341" s="45"/>
      <c r="C341" s="52"/>
      <c r="D341" s="45"/>
      <c r="E341" s="45"/>
      <c r="F341" s="45"/>
      <c r="G341" s="52"/>
      <c r="H341" s="52"/>
      <c r="I341" s="45"/>
      <c r="J341" s="45"/>
      <c r="K341" s="45"/>
      <c r="L341" s="45"/>
      <c r="M341" s="45"/>
      <c r="N341" s="45"/>
      <c r="O341" s="45"/>
      <c r="P341" s="45"/>
      <c r="Q341" s="45"/>
      <c r="R341" s="45"/>
      <c r="S341" s="45"/>
      <c r="T341" s="45"/>
      <c r="U341" s="45"/>
      <c r="V341" s="45"/>
      <c r="W341" s="45"/>
      <c r="X341" s="45"/>
      <c r="Y341" s="45"/>
    </row>
    <row r="342" spans="1:25" ht="13.5" customHeight="1" x14ac:dyDescent="0.3">
      <c r="A342" s="45"/>
      <c r="B342" s="45"/>
      <c r="C342" s="52"/>
      <c r="D342" s="45"/>
      <c r="E342" s="45"/>
      <c r="F342" s="45"/>
      <c r="G342" s="52"/>
      <c r="H342" s="52"/>
      <c r="I342" s="45"/>
      <c r="J342" s="45"/>
      <c r="K342" s="45"/>
      <c r="L342" s="45"/>
      <c r="M342" s="45"/>
      <c r="N342" s="45"/>
      <c r="O342" s="45"/>
      <c r="P342" s="45"/>
      <c r="Q342" s="45"/>
      <c r="R342" s="45"/>
      <c r="S342" s="45"/>
      <c r="T342" s="45"/>
      <c r="U342" s="45"/>
      <c r="V342" s="45"/>
      <c r="W342" s="45"/>
      <c r="X342" s="45"/>
      <c r="Y342" s="45"/>
    </row>
    <row r="343" spans="1:25" ht="13.5" customHeight="1" x14ac:dyDescent="0.3">
      <c r="A343" s="45"/>
      <c r="B343" s="45"/>
      <c r="C343" s="52"/>
      <c r="D343" s="45"/>
      <c r="E343" s="45"/>
      <c r="F343" s="45"/>
      <c r="G343" s="52"/>
      <c r="H343" s="52"/>
      <c r="I343" s="45"/>
      <c r="J343" s="45"/>
      <c r="K343" s="45"/>
      <c r="L343" s="45"/>
      <c r="M343" s="45"/>
      <c r="N343" s="45"/>
      <c r="O343" s="45"/>
      <c r="P343" s="45"/>
      <c r="Q343" s="45"/>
      <c r="R343" s="45"/>
      <c r="S343" s="45"/>
      <c r="T343" s="45"/>
      <c r="U343" s="45"/>
      <c r="V343" s="45"/>
      <c r="W343" s="45"/>
      <c r="X343" s="45"/>
      <c r="Y343" s="45"/>
    </row>
    <row r="344" spans="1:25" ht="13.5" customHeight="1" x14ac:dyDescent="0.3">
      <c r="A344" s="45"/>
      <c r="B344" s="45"/>
      <c r="C344" s="52"/>
      <c r="D344" s="45"/>
      <c r="E344" s="45"/>
      <c r="F344" s="45"/>
      <c r="G344" s="52"/>
      <c r="H344" s="52"/>
      <c r="I344" s="45"/>
      <c r="J344" s="45"/>
      <c r="K344" s="45"/>
      <c r="L344" s="45"/>
      <c r="M344" s="45"/>
      <c r="N344" s="45"/>
      <c r="O344" s="45"/>
      <c r="P344" s="45"/>
      <c r="Q344" s="45"/>
      <c r="R344" s="45"/>
      <c r="S344" s="45"/>
      <c r="T344" s="45"/>
      <c r="U344" s="45"/>
      <c r="V344" s="45"/>
      <c r="W344" s="45"/>
      <c r="X344" s="45"/>
      <c r="Y344" s="45"/>
    </row>
    <row r="345" spans="1:25" ht="13.5" customHeight="1" x14ac:dyDescent="0.3">
      <c r="A345" s="45"/>
      <c r="B345" s="45"/>
      <c r="C345" s="52"/>
      <c r="D345" s="45"/>
      <c r="E345" s="45"/>
      <c r="F345" s="45"/>
      <c r="G345" s="52"/>
      <c r="H345" s="52"/>
      <c r="I345" s="45"/>
      <c r="J345" s="45"/>
      <c r="K345" s="45"/>
      <c r="L345" s="45"/>
      <c r="M345" s="45"/>
      <c r="N345" s="45"/>
      <c r="O345" s="45"/>
      <c r="P345" s="45"/>
      <c r="Q345" s="45"/>
      <c r="R345" s="45"/>
      <c r="S345" s="45"/>
      <c r="T345" s="45"/>
      <c r="U345" s="45"/>
      <c r="V345" s="45"/>
      <c r="W345" s="45"/>
      <c r="X345" s="45"/>
      <c r="Y345" s="45"/>
    </row>
    <row r="346" spans="1:25" ht="13.5" customHeight="1" x14ac:dyDescent="0.3">
      <c r="A346" s="45"/>
      <c r="B346" s="45"/>
      <c r="C346" s="52"/>
      <c r="D346" s="45"/>
      <c r="E346" s="45"/>
      <c r="F346" s="45"/>
      <c r="G346" s="52"/>
      <c r="H346" s="52"/>
      <c r="I346" s="45"/>
      <c r="J346" s="45"/>
      <c r="K346" s="45"/>
      <c r="L346" s="45"/>
      <c r="M346" s="45"/>
      <c r="N346" s="45"/>
      <c r="O346" s="45"/>
      <c r="P346" s="45"/>
      <c r="Q346" s="45"/>
      <c r="R346" s="45"/>
      <c r="S346" s="45"/>
      <c r="T346" s="45"/>
      <c r="U346" s="45"/>
      <c r="V346" s="45"/>
      <c r="W346" s="45"/>
      <c r="X346" s="45"/>
      <c r="Y346" s="45"/>
    </row>
    <row r="347" spans="1:25" ht="13.5" customHeight="1" x14ac:dyDescent="0.3">
      <c r="A347" s="45"/>
      <c r="B347" s="45"/>
      <c r="C347" s="52"/>
      <c r="D347" s="45"/>
      <c r="E347" s="45"/>
      <c r="F347" s="45"/>
      <c r="G347" s="52"/>
      <c r="H347" s="52"/>
      <c r="I347" s="45"/>
      <c r="J347" s="45"/>
      <c r="K347" s="45"/>
      <c r="L347" s="45"/>
      <c r="M347" s="45"/>
      <c r="N347" s="45"/>
      <c r="O347" s="45"/>
      <c r="P347" s="45"/>
      <c r="Q347" s="45"/>
      <c r="R347" s="45"/>
      <c r="S347" s="45"/>
      <c r="T347" s="45"/>
      <c r="U347" s="45"/>
      <c r="V347" s="45"/>
      <c r="W347" s="45"/>
      <c r="X347" s="45"/>
      <c r="Y347" s="45"/>
    </row>
    <row r="348" spans="1:25" ht="13.5" customHeight="1" x14ac:dyDescent="0.3">
      <c r="A348" s="45"/>
      <c r="B348" s="45"/>
      <c r="C348" s="52"/>
      <c r="D348" s="45"/>
      <c r="E348" s="45"/>
      <c r="F348" s="45"/>
      <c r="G348" s="52"/>
      <c r="H348" s="52"/>
      <c r="I348" s="45"/>
      <c r="J348" s="45"/>
      <c r="K348" s="45"/>
      <c r="L348" s="45"/>
      <c r="M348" s="45"/>
      <c r="N348" s="45"/>
      <c r="O348" s="45"/>
      <c r="P348" s="45"/>
      <c r="Q348" s="45"/>
      <c r="R348" s="45"/>
      <c r="S348" s="45"/>
      <c r="T348" s="45"/>
      <c r="U348" s="45"/>
      <c r="V348" s="45"/>
      <c r="W348" s="45"/>
      <c r="X348" s="45"/>
      <c r="Y348" s="45"/>
    </row>
    <row r="349" spans="1:25" ht="13.5" customHeight="1" x14ac:dyDescent="0.3">
      <c r="A349" s="45"/>
      <c r="B349" s="45"/>
      <c r="C349" s="52"/>
      <c r="D349" s="45"/>
      <c r="E349" s="45"/>
      <c r="F349" s="45"/>
      <c r="G349" s="52"/>
      <c r="H349" s="52"/>
      <c r="I349" s="45"/>
      <c r="J349" s="45"/>
      <c r="K349" s="45"/>
      <c r="L349" s="45"/>
      <c r="M349" s="45"/>
      <c r="N349" s="45"/>
      <c r="O349" s="45"/>
      <c r="P349" s="45"/>
      <c r="Q349" s="45"/>
      <c r="R349" s="45"/>
      <c r="S349" s="45"/>
      <c r="T349" s="45"/>
      <c r="U349" s="45"/>
      <c r="V349" s="45"/>
      <c r="W349" s="45"/>
      <c r="X349" s="45"/>
      <c r="Y349" s="45"/>
    </row>
    <row r="350" spans="1:25" ht="13.5" customHeight="1" x14ac:dyDescent="0.3">
      <c r="A350" s="45"/>
      <c r="B350" s="45"/>
      <c r="C350" s="52"/>
      <c r="D350" s="45"/>
      <c r="E350" s="45"/>
      <c r="F350" s="45"/>
      <c r="G350" s="52"/>
      <c r="H350" s="52"/>
      <c r="I350" s="45"/>
      <c r="J350" s="45"/>
      <c r="K350" s="45"/>
      <c r="L350" s="45"/>
      <c r="M350" s="45"/>
      <c r="N350" s="45"/>
      <c r="O350" s="45"/>
      <c r="P350" s="45"/>
      <c r="Q350" s="45"/>
      <c r="R350" s="45"/>
      <c r="S350" s="45"/>
      <c r="T350" s="45"/>
      <c r="U350" s="45"/>
      <c r="V350" s="45"/>
      <c r="W350" s="45"/>
      <c r="X350" s="45"/>
      <c r="Y350" s="45"/>
    </row>
    <row r="351" spans="1:25" ht="13.5" customHeight="1" x14ac:dyDescent="0.3">
      <c r="A351" s="45"/>
      <c r="B351" s="45"/>
      <c r="C351" s="52"/>
      <c r="D351" s="45"/>
      <c r="E351" s="45"/>
      <c r="F351" s="45"/>
      <c r="G351" s="52"/>
      <c r="H351" s="52"/>
      <c r="I351" s="45"/>
      <c r="J351" s="45"/>
      <c r="K351" s="45"/>
      <c r="L351" s="45"/>
      <c r="M351" s="45"/>
      <c r="N351" s="45"/>
      <c r="O351" s="45"/>
      <c r="P351" s="45"/>
      <c r="Q351" s="45"/>
      <c r="R351" s="45"/>
      <c r="S351" s="45"/>
      <c r="T351" s="45"/>
      <c r="U351" s="45"/>
      <c r="V351" s="45"/>
      <c r="W351" s="45"/>
      <c r="X351" s="45"/>
      <c r="Y351" s="45"/>
    </row>
    <row r="352" spans="1:25" ht="13.5" customHeight="1" x14ac:dyDescent="0.3">
      <c r="A352" s="45"/>
      <c r="B352" s="45"/>
      <c r="C352" s="52"/>
      <c r="D352" s="45"/>
      <c r="E352" s="45"/>
      <c r="F352" s="45"/>
      <c r="G352" s="52"/>
      <c r="H352" s="52"/>
      <c r="I352" s="45"/>
      <c r="J352" s="45"/>
      <c r="K352" s="45"/>
      <c r="L352" s="45"/>
      <c r="M352" s="45"/>
      <c r="N352" s="45"/>
      <c r="O352" s="45"/>
      <c r="P352" s="45"/>
      <c r="Q352" s="45"/>
      <c r="R352" s="45"/>
      <c r="S352" s="45"/>
      <c r="T352" s="45"/>
      <c r="U352" s="45"/>
      <c r="V352" s="45"/>
      <c r="W352" s="45"/>
      <c r="X352" s="45"/>
      <c r="Y352" s="45"/>
    </row>
    <row r="353" spans="1:25" ht="13.5" customHeight="1" x14ac:dyDescent="0.3">
      <c r="A353" s="45"/>
      <c r="B353" s="45"/>
      <c r="C353" s="52"/>
      <c r="D353" s="45"/>
      <c r="E353" s="45"/>
      <c r="F353" s="45"/>
      <c r="G353" s="52"/>
      <c r="H353" s="52"/>
      <c r="I353" s="45"/>
      <c r="J353" s="45"/>
      <c r="K353" s="45"/>
      <c r="L353" s="45"/>
      <c r="M353" s="45"/>
      <c r="N353" s="45"/>
      <c r="O353" s="45"/>
      <c r="P353" s="45"/>
      <c r="Q353" s="45"/>
      <c r="R353" s="45"/>
      <c r="S353" s="45"/>
      <c r="T353" s="45"/>
      <c r="U353" s="45"/>
      <c r="V353" s="45"/>
      <c r="W353" s="45"/>
      <c r="X353" s="45"/>
      <c r="Y353" s="45"/>
    </row>
    <row r="354" spans="1:25" ht="13.5" customHeight="1" x14ac:dyDescent="0.3">
      <c r="A354" s="45"/>
      <c r="B354" s="45"/>
      <c r="C354" s="52"/>
      <c r="D354" s="45"/>
      <c r="E354" s="45"/>
      <c r="F354" s="45"/>
      <c r="G354" s="52"/>
      <c r="H354" s="52"/>
      <c r="I354" s="45"/>
      <c r="J354" s="45"/>
      <c r="K354" s="45"/>
      <c r="L354" s="45"/>
      <c r="M354" s="45"/>
      <c r="N354" s="45"/>
      <c r="O354" s="45"/>
      <c r="P354" s="45"/>
      <c r="Q354" s="45"/>
      <c r="R354" s="45"/>
      <c r="S354" s="45"/>
      <c r="T354" s="45"/>
      <c r="U354" s="45"/>
      <c r="V354" s="45"/>
      <c r="W354" s="45"/>
      <c r="X354" s="45"/>
      <c r="Y354" s="45"/>
    </row>
    <row r="355" spans="1:25" ht="13.5" customHeight="1" x14ac:dyDescent="0.3">
      <c r="A355" s="45"/>
      <c r="B355" s="45"/>
      <c r="C355" s="52"/>
      <c r="D355" s="45"/>
      <c r="E355" s="45"/>
      <c r="F355" s="45"/>
      <c r="G355" s="52"/>
      <c r="H355" s="52"/>
      <c r="I355" s="45"/>
      <c r="J355" s="45"/>
      <c r="K355" s="45"/>
      <c r="L355" s="45"/>
      <c r="M355" s="45"/>
      <c r="N355" s="45"/>
      <c r="O355" s="45"/>
      <c r="P355" s="45"/>
      <c r="Q355" s="45"/>
      <c r="R355" s="45"/>
      <c r="S355" s="45"/>
      <c r="T355" s="45"/>
      <c r="U355" s="45"/>
      <c r="V355" s="45"/>
      <c r="W355" s="45"/>
      <c r="X355" s="45"/>
      <c r="Y355" s="45"/>
    </row>
    <row r="356" spans="1:25" ht="13.5" customHeight="1" x14ac:dyDescent="0.3">
      <c r="A356" s="45"/>
      <c r="B356" s="45"/>
      <c r="C356" s="52"/>
      <c r="D356" s="45"/>
      <c r="E356" s="45"/>
      <c r="F356" s="45"/>
      <c r="G356" s="52"/>
      <c r="H356" s="52"/>
      <c r="I356" s="45"/>
      <c r="J356" s="45"/>
      <c r="K356" s="45"/>
      <c r="L356" s="45"/>
      <c r="M356" s="45"/>
      <c r="N356" s="45"/>
      <c r="O356" s="45"/>
      <c r="P356" s="45"/>
      <c r="Q356" s="45"/>
      <c r="R356" s="45"/>
      <c r="S356" s="45"/>
      <c r="T356" s="45"/>
      <c r="U356" s="45"/>
      <c r="V356" s="45"/>
      <c r="W356" s="45"/>
      <c r="X356" s="45"/>
      <c r="Y356" s="45"/>
    </row>
    <row r="357" spans="1:25" ht="13.5" customHeight="1" x14ac:dyDescent="0.3">
      <c r="A357" s="45"/>
      <c r="B357" s="45"/>
      <c r="C357" s="52"/>
      <c r="D357" s="45"/>
      <c r="E357" s="45"/>
      <c r="F357" s="45"/>
      <c r="G357" s="52"/>
      <c r="H357" s="52"/>
      <c r="I357" s="45"/>
      <c r="J357" s="45"/>
      <c r="K357" s="45"/>
      <c r="L357" s="45"/>
      <c r="M357" s="45"/>
      <c r="N357" s="45"/>
      <c r="O357" s="45"/>
      <c r="P357" s="45"/>
      <c r="Q357" s="45"/>
      <c r="R357" s="45"/>
      <c r="S357" s="45"/>
      <c r="T357" s="45"/>
      <c r="U357" s="45"/>
      <c r="V357" s="45"/>
      <c r="W357" s="45"/>
      <c r="X357" s="45"/>
      <c r="Y357" s="45"/>
    </row>
    <row r="358" spans="1:25" ht="13.5" customHeight="1" x14ac:dyDescent="0.3">
      <c r="A358" s="45"/>
      <c r="B358" s="45"/>
      <c r="C358" s="52"/>
      <c r="D358" s="45"/>
      <c r="E358" s="45"/>
      <c r="F358" s="45"/>
      <c r="G358" s="52"/>
      <c r="H358" s="52"/>
      <c r="I358" s="45"/>
      <c r="J358" s="45"/>
      <c r="K358" s="45"/>
      <c r="L358" s="45"/>
      <c r="M358" s="45"/>
      <c r="N358" s="45"/>
      <c r="O358" s="45"/>
      <c r="P358" s="45"/>
      <c r="Q358" s="45"/>
      <c r="R358" s="45"/>
      <c r="S358" s="45"/>
      <c r="T358" s="45"/>
      <c r="U358" s="45"/>
      <c r="V358" s="45"/>
      <c r="W358" s="45"/>
      <c r="X358" s="45"/>
      <c r="Y358" s="45"/>
    </row>
    <row r="359" spans="1:25" ht="13.5" customHeight="1" x14ac:dyDescent="0.3">
      <c r="A359" s="45"/>
      <c r="B359" s="45"/>
      <c r="C359" s="52"/>
      <c r="D359" s="45"/>
      <c r="E359" s="45"/>
      <c r="F359" s="45"/>
      <c r="G359" s="52"/>
      <c r="H359" s="52"/>
      <c r="I359" s="45"/>
      <c r="J359" s="45"/>
      <c r="K359" s="45"/>
      <c r="L359" s="45"/>
      <c r="M359" s="45"/>
      <c r="N359" s="45"/>
      <c r="O359" s="45"/>
      <c r="P359" s="45"/>
      <c r="Q359" s="45"/>
      <c r="R359" s="45"/>
      <c r="S359" s="45"/>
      <c r="T359" s="45"/>
      <c r="U359" s="45"/>
      <c r="V359" s="45"/>
      <c r="W359" s="45"/>
      <c r="X359" s="45"/>
      <c r="Y359" s="45"/>
    </row>
    <row r="360" spans="1:25" ht="13.5" customHeight="1" x14ac:dyDescent="0.3">
      <c r="A360" s="45"/>
      <c r="B360" s="45"/>
      <c r="C360" s="52"/>
      <c r="D360" s="45"/>
      <c r="E360" s="45"/>
      <c r="F360" s="45"/>
      <c r="G360" s="52"/>
      <c r="H360" s="52"/>
      <c r="I360" s="45"/>
      <c r="J360" s="45"/>
      <c r="K360" s="45"/>
      <c r="L360" s="45"/>
      <c r="M360" s="45"/>
      <c r="N360" s="45"/>
      <c r="O360" s="45"/>
      <c r="P360" s="45"/>
      <c r="Q360" s="45"/>
      <c r="R360" s="45"/>
      <c r="S360" s="45"/>
      <c r="T360" s="45"/>
      <c r="U360" s="45"/>
      <c r="V360" s="45"/>
      <c r="W360" s="45"/>
      <c r="X360" s="45"/>
      <c r="Y360" s="45"/>
    </row>
    <row r="361" spans="1:25" ht="13.5" customHeight="1" x14ac:dyDescent="0.3">
      <c r="A361" s="45"/>
      <c r="B361" s="45"/>
      <c r="C361" s="52"/>
      <c r="D361" s="45"/>
      <c r="E361" s="45"/>
      <c r="F361" s="45"/>
      <c r="G361" s="52"/>
      <c r="H361" s="52"/>
      <c r="I361" s="45"/>
      <c r="J361" s="45"/>
      <c r="K361" s="45"/>
      <c r="L361" s="45"/>
      <c r="M361" s="45"/>
      <c r="N361" s="45"/>
      <c r="O361" s="45"/>
      <c r="P361" s="45"/>
      <c r="Q361" s="45"/>
      <c r="R361" s="45"/>
      <c r="S361" s="45"/>
      <c r="T361" s="45"/>
      <c r="U361" s="45"/>
      <c r="V361" s="45"/>
      <c r="W361" s="45"/>
      <c r="X361" s="45"/>
      <c r="Y361" s="45"/>
    </row>
    <row r="362" spans="1:25" ht="13.5" customHeight="1" x14ac:dyDescent="0.3">
      <c r="A362" s="45"/>
      <c r="B362" s="45"/>
      <c r="C362" s="52"/>
      <c r="D362" s="45"/>
      <c r="E362" s="45"/>
      <c r="F362" s="45"/>
      <c r="G362" s="52"/>
      <c r="H362" s="52"/>
      <c r="I362" s="45"/>
      <c r="J362" s="45"/>
      <c r="K362" s="45"/>
      <c r="L362" s="45"/>
      <c r="M362" s="45"/>
      <c r="N362" s="45"/>
      <c r="O362" s="45"/>
      <c r="P362" s="45"/>
      <c r="Q362" s="45"/>
      <c r="R362" s="45"/>
      <c r="S362" s="45"/>
      <c r="T362" s="45"/>
      <c r="U362" s="45"/>
      <c r="V362" s="45"/>
      <c r="W362" s="45"/>
      <c r="X362" s="45"/>
      <c r="Y362" s="45"/>
    </row>
    <row r="363" spans="1:25" ht="13.5" customHeight="1" x14ac:dyDescent="0.3">
      <c r="A363" s="45"/>
      <c r="B363" s="45"/>
      <c r="C363" s="52"/>
      <c r="D363" s="45"/>
      <c r="E363" s="45"/>
      <c r="F363" s="45"/>
      <c r="G363" s="52"/>
      <c r="H363" s="52"/>
      <c r="I363" s="45"/>
      <c r="J363" s="45"/>
      <c r="K363" s="45"/>
      <c r="L363" s="45"/>
      <c r="M363" s="45"/>
      <c r="N363" s="45"/>
      <c r="O363" s="45"/>
      <c r="P363" s="45"/>
      <c r="Q363" s="45"/>
      <c r="R363" s="45"/>
      <c r="S363" s="45"/>
      <c r="T363" s="45"/>
      <c r="U363" s="45"/>
      <c r="V363" s="45"/>
      <c r="W363" s="45"/>
      <c r="X363" s="45"/>
      <c r="Y363" s="45"/>
    </row>
    <row r="364" spans="1:25" ht="13.5" customHeight="1" x14ac:dyDescent="0.3">
      <c r="A364" s="45"/>
      <c r="B364" s="45"/>
      <c r="C364" s="52"/>
      <c r="D364" s="45"/>
      <c r="E364" s="45"/>
      <c r="F364" s="45"/>
      <c r="G364" s="52"/>
      <c r="H364" s="52"/>
      <c r="I364" s="45"/>
      <c r="J364" s="45"/>
      <c r="K364" s="45"/>
      <c r="L364" s="45"/>
      <c r="M364" s="45"/>
      <c r="N364" s="45"/>
      <c r="O364" s="45"/>
      <c r="P364" s="45"/>
      <c r="Q364" s="45"/>
      <c r="R364" s="45"/>
      <c r="S364" s="45"/>
      <c r="T364" s="45"/>
      <c r="U364" s="45"/>
      <c r="V364" s="45"/>
      <c r="W364" s="45"/>
      <c r="X364" s="45"/>
      <c r="Y364" s="45"/>
    </row>
    <row r="365" spans="1:25" ht="13.5" customHeight="1" x14ac:dyDescent="0.3">
      <c r="A365" s="45"/>
      <c r="B365" s="45"/>
      <c r="C365" s="52"/>
      <c r="D365" s="45"/>
      <c r="E365" s="45"/>
      <c r="F365" s="45"/>
      <c r="G365" s="52"/>
      <c r="H365" s="52"/>
      <c r="I365" s="45"/>
      <c r="J365" s="45"/>
      <c r="K365" s="45"/>
      <c r="L365" s="45"/>
      <c r="M365" s="45"/>
      <c r="N365" s="45"/>
      <c r="O365" s="45"/>
      <c r="P365" s="45"/>
      <c r="Q365" s="45"/>
      <c r="R365" s="45"/>
      <c r="S365" s="45"/>
      <c r="T365" s="45"/>
      <c r="U365" s="45"/>
      <c r="V365" s="45"/>
      <c r="W365" s="45"/>
      <c r="X365" s="45"/>
      <c r="Y365" s="45"/>
    </row>
    <row r="366" spans="1:25" ht="13.5" customHeight="1" x14ac:dyDescent="0.3">
      <c r="A366" s="45"/>
      <c r="B366" s="45"/>
      <c r="C366" s="52"/>
      <c r="D366" s="45"/>
      <c r="E366" s="45"/>
      <c r="F366" s="45"/>
      <c r="G366" s="52"/>
      <c r="H366" s="52"/>
      <c r="I366" s="45"/>
      <c r="J366" s="45"/>
      <c r="K366" s="45"/>
      <c r="L366" s="45"/>
      <c r="M366" s="45"/>
      <c r="N366" s="45"/>
      <c r="O366" s="45"/>
      <c r="P366" s="45"/>
      <c r="Q366" s="45"/>
      <c r="R366" s="45"/>
      <c r="S366" s="45"/>
      <c r="T366" s="45"/>
      <c r="U366" s="45"/>
      <c r="V366" s="45"/>
      <c r="W366" s="45"/>
      <c r="X366" s="45"/>
      <c r="Y366" s="45"/>
    </row>
    <row r="367" spans="1:25" ht="13.5" customHeight="1" x14ac:dyDescent="0.3">
      <c r="A367" s="45"/>
      <c r="B367" s="45"/>
      <c r="C367" s="52"/>
      <c r="D367" s="45"/>
      <c r="E367" s="45"/>
      <c r="F367" s="45"/>
      <c r="G367" s="52"/>
      <c r="H367" s="52"/>
      <c r="I367" s="45"/>
      <c r="J367" s="45"/>
      <c r="K367" s="45"/>
      <c r="L367" s="45"/>
      <c r="M367" s="45"/>
      <c r="N367" s="45"/>
      <c r="O367" s="45"/>
      <c r="P367" s="45"/>
      <c r="Q367" s="45"/>
      <c r="R367" s="45"/>
      <c r="S367" s="45"/>
      <c r="T367" s="45"/>
      <c r="U367" s="45"/>
      <c r="V367" s="45"/>
      <c r="W367" s="45"/>
      <c r="X367" s="45"/>
      <c r="Y367" s="45"/>
    </row>
    <row r="368" spans="1:25" ht="13.5" customHeight="1" x14ac:dyDescent="0.3">
      <c r="A368" s="45"/>
      <c r="B368" s="45"/>
      <c r="C368" s="52"/>
      <c r="D368" s="45"/>
      <c r="E368" s="45"/>
      <c r="F368" s="45"/>
      <c r="G368" s="52"/>
      <c r="H368" s="52"/>
      <c r="I368" s="45"/>
      <c r="J368" s="45"/>
      <c r="K368" s="45"/>
      <c r="L368" s="45"/>
      <c r="M368" s="45"/>
      <c r="N368" s="45"/>
      <c r="O368" s="45"/>
      <c r="P368" s="45"/>
      <c r="Q368" s="45"/>
      <c r="R368" s="45"/>
      <c r="S368" s="45"/>
      <c r="T368" s="45"/>
      <c r="U368" s="45"/>
      <c r="V368" s="45"/>
      <c r="W368" s="45"/>
      <c r="X368" s="45"/>
      <c r="Y368" s="45"/>
    </row>
    <row r="369" spans="1:25" ht="13.5" customHeight="1" x14ac:dyDescent="0.3">
      <c r="A369" s="45"/>
      <c r="B369" s="45"/>
      <c r="C369" s="52"/>
      <c r="D369" s="45"/>
      <c r="E369" s="45"/>
      <c r="F369" s="45"/>
      <c r="G369" s="52"/>
      <c r="H369" s="52"/>
      <c r="I369" s="45"/>
      <c r="J369" s="45"/>
      <c r="K369" s="45"/>
      <c r="L369" s="45"/>
      <c r="M369" s="45"/>
      <c r="N369" s="45"/>
      <c r="O369" s="45"/>
      <c r="P369" s="45"/>
      <c r="Q369" s="45"/>
      <c r="R369" s="45"/>
      <c r="S369" s="45"/>
      <c r="T369" s="45"/>
      <c r="U369" s="45"/>
      <c r="V369" s="45"/>
      <c r="W369" s="45"/>
      <c r="X369" s="45"/>
      <c r="Y369" s="45"/>
    </row>
    <row r="370" spans="1:25" ht="13.5" customHeight="1" x14ac:dyDescent="0.3">
      <c r="A370" s="45"/>
      <c r="B370" s="45"/>
      <c r="C370" s="52"/>
      <c r="D370" s="45"/>
      <c r="E370" s="45"/>
      <c r="F370" s="45"/>
      <c r="G370" s="52"/>
      <c r="H370" s="52"/>
      <c r="I370" s="45"/>
      <c r="J370" s="45"/>
      <c r="K370" s="45"/>
      <c r="L370" s="45"/>
      <c r="M370" s="45"/>
      <c r="N370" s="45"/>
      <c r="O370" s="45"/>
      <c r="P370" s="45"/>
      <c r="Q370" s="45"/>
      <c r="R370" s="45"/>
      <c r="S370" s="45"/>
      <c r="T370" s="45"/>
      <c r="U370" s="45"/>
      <c r="V370" s="45"/>
      <c r="W370" s="45"/>
      <c r="X370" s="45"/>
      <c r="Y370" s="45"/>
    </row>
    <row r="371" spans="1:25" ht="13.5" customHeight="1" x14ac:dyDescent="0.3">
      <c r="A371" s="45"/>
      <c r="B371" s="45"/>
      <c r="C371" s="52"/>
      <c r="D371" s="45"/>
      <c r="E371" s="45"/>
      <c r="F371" s="45"/>
      <c r="G371" s="52"/>
      <c r="H371" s="52"/>
      <c r="I371" s="45"/>
      <c r="J371" s="45"/>
      <c r="K371" s="45"/>
      <c r="L371" s="45"/>
      <c r="M371" s="45"/>
      <c r="N371" s="45"/>
      <c r="O371" s="45"/>
      <c r="P371" s="45"/>
      <c r="Q371" s="45"/>
      <c r="R371" s="45"/>
      <c r="S371" s="45"/>
      <c r="T371" s="45"/>
      <c r="U371" s="45"/>
      <c r="V371" s="45"/>
      <c r="W371" s="45"/>
      <c r="X371" s="45"/>
      <c r="Y371" s="45"/>
    </row>
    <row r="372" spans="1:25" ht="13.5" customHeight="1" x14ac:dyDescent="0.3">
      <c r="A372" s="45"/>
      <c r="B372" s="45"/>
      <c r="C372" s="52"/>
      <c r="D372" s="45"/>
      <c r="E372" s="45"/>
      <c r="F372" s="45"/>
      <c r="G372" s="52"/>
      <c r="H372" s="52"/>
      <c r="I372" s="45"/>
      <c r="J372" s="45"/>
      <c r="K372" s="45"/>
      <c r="L372" s="45"/>
      <c r="M372" s="45"/>
      <c r="N372" s="45"/>
      <c r="O372" s="45"/>
      <c r="P372" s="45"/>
      <c r="Q372" s="45"/>
      <c r="R372" s="45"/>
      <c r="S372" s="45"/>
      <c r="T372" s="45"/>
      <c r="U372" s="45"/>
      <c r="V372" s="45"/>
      <c r="W372" s="45"/>
      <c r="X372" s="45"/>
      <c r="Y372" s="45"/>
    </row>
    <row r="373" spans="1:25" ht="13.5" customHeight="1" x14ac:dyDescent="0.3">
      <c r="A373" s="45"/>
      <c r="B373" s="45"/>
      <c r="C373" s="52"/>
      <c r="D373" s="45"/>
      <c r="E373" s="45"/>
      <c r="F373" s="45"/>
      <c r="G373" s="52"/>
      <c r="H373" s="52"/>
      <c r="I373" s="45"/>
      <c r="J373" s="45"/>
      <c r="K373" s="45"/>
      <c r="L373" s="45"/>
      <c r="M373" s="45"/>
      <c r="N373" s="45"/>
      <c r="O373" s="45"/>
      <c r="P373" s="45"/>
      <c r="Q373" s="45"/>
      <c r="R373" s="45"/>
      <c r="S373" s="45"/>
      <c r="T373" s="45"/>
      <c r="U373" s="45"/>
      <c r="V373" s="45"/>
      <c r="W373" s="45"/>
      <c r="X373" s="45"/>
      <c r="Y373" s="45"/>
    </row>
    <row r="374" spans="1:25" ht="13.5" customHeight="1" x14ac:dyDescent="0.3">
      <c r="A374" s="45"/>
      <c r="B374" s="45"/>
      <c r="C374" s="52"/>
      <c r="D374" s="45"/>
      <c r="E374" s="45"/>
      <c r="F374" s="45"/>
      <c r="G374" s="52"/>
      <c r="H374" s="52"/>
      <c r="I374" s="45"/>
      <c r="J374" s="45"/>
      <c r="K374" s="45"/>
      <c r="L374" s="45"/>
      <c r="M374" s="45"/>
      <c r="N374" s="45"/>
      <c r="O374" s="45"/>
      <c r="P374" s="45"/>
      <c r="Q374" s="45"/>
      <c r="R374" s="45"/>
      <c r="S374" s="45"/>
      <c r="T374" s="45"/>
      <c r="U374" s="45"/>
      <c r="V374" s="45"/>
      <c r="W374" s="45"/>
      <c r="X374" s="45"/>
      <c r="Y374" s="45"/>
    </row>
    <row r="375" spans="1:25" ht="13.5" customHeight="1" x14ac:dyDescent="0.3">
      <c r="A375" s="45"/>
      <c r="B375" s="45"/>
      <c r="C375" s="52"/>
      <c r="D375" s="45"/>
      <c r="E375" s="45"/>
      <c r="F375" s="45"/>
      <c r="G375" s="52"/>
      <c r="H375" s="52"/>
      <c r="I375" s="45"/>
      <c r="J375" s="45"/>
      <c r="K375" s="45"/>
      <c r="L375" s="45"/>
      <c r="M375" s="45"/>
      <c r="N375" s="45"/>
      <c r="O375" s="45"/>
      <c r="P375" s="45"/>
      <c r="Q375" s="45"/>
      <c r="R375" s="45"/>
      <c r="S375" s="45"/>
      <c r="T375" s="45"/>
      <c r="U375" s="45"/>
      <c r="V375" s="45"/>
      <c r="W375" s="45"/>
      <c r="X375" s="45"/>
      <c r="Y375" s="45"/>
    </row>
    <row r="376" spans="1:25" ht="13.5" customHeight="1" x14ac:dyDescent="0.3">
      <c r="A376" s="45"/>
      <c r="B376" s="45"/>
      <c r="C376" s="52"/>
      <c r="D376" s="45"/>
      <c r="E376" s="45"/>
      <c r="F376" s="45"/>
      <c r="G376" s="52"/>
      <c r="H376" s="52"/>
      <c r="I376" s="45"/>
      <c r="J376" s="45"/>
      <c r="K376" s="45"/>
      <c r="L376" s="45"/>
      <c r="M376" s="45"/>
      <c r="N376" s="45"/>
      <c r="O376" s="45"/>
      <c r="P376" s="45"/>
      <c r="Q376" s="45"/>
      <c r="R376" s="45"/>
      <c r="S376" s="45"/>
      <c r="T376" s="45"/>
      <c r="U376" s="45"/>
      <c r="V376" s="45"/>
      <c r="W376" s="45"/>
      <c r="X376" s="45"/>
      <c r="Y376" s="45"/>
    </row>
    <row r="377" spans="1:25" ht="13.5" customHeight="1" x14ac:dyDescent="0.3">
      <c r="A377" s="45"/>
      <c r="B377" s="45"/>
      <c r="C377" s="52"/>
      <c r="D377" s="45"/>
      <c r="E377" s="45"/>
      <c r="F377" s="45"/>
      <c r="G377" s="52"/>
      <c r="H377" s="52"/>
      <c r="I377" s="45"/>
      <c r="J377" s="45"/>
      <c r="K377" s="45"/>
      <c r="L377" s="45"/>
      <c r="M377" s="45"/>
      <c r="N377" s="45"/>
      <c r="O377" s="45"/>
      <c r="P377" s="45"/>
      <c r="Q377" s="45"/>
      <c r="R377" s="45"/>
      <c r="S377" s="45"/>
      <c r="T377" s="45"/>
      <c r="U377" s="45"/>
      <c r="V377" s="45"/>
      <c r="W377" s="45"/>
      <c r="X377" s="45"/>
      <c r="Y377" s="45"/>
    </row>
    <row r="378" spans="1:25" ht="13.5" customHeight="1" x14ac:dyDescent="0.3">
      <c r="A378" s="45"/>
      <c r="B378" s="45"/>
      <c r="C378" s="52"/>
      <c r="D378" s="45"/>
      <c r="E378" s="45"/>
      <c r="F378" s="45"/>
      <c r="G378" s="52"/>
      <c r="H378" s="52"/>
      <c r="I378" s="45"/>
      <c r="J378" s="45"/>
      <c r="K378" s="45"/>
      <c r="L378" s="45"/>
      <c r="M378" s="45"/>
      <c r="N378" s="45"/>
      <c r="O378" s="45"/>
      <c r="P378" s="45"/>
      <c r="Q378" s="45"/>
      <c r="R378" s="45"/>
      <c r="S378" s="45"/>
      <c r="T378" s="45"/>
      <c r="U378" s="45"/>
      <c r="V378" s="45"/>
      <c r="W378" s="45"/>
      <c r="X378" s="45"/>
      <c r="Y378" s="45"/>
    </row>
    <row r="379" spans="1:25" ht="13.5" customHeight="1" x14ac:dyDescent="0.3">
      <c r="A379" s="45"/>
      <c r="B379" s="45"/>
      <c r="C379" s="52"/>
      <c r="D379" s="45"/>
      <c r="E379" s="45"/>
      <c r="F379" s="45"/>
      <c r="G379" s="52"/>
      <c r="H379" s="52"/>
      <c r="I379" s="45"/>
      <c r="J379" s="45"/>
      <c r="K379" s="45"/>
      <c r="L379" s="45"/>
      <c r="M379" s="45"/>
      <c r="N379" s="45"/>
      <c r="O379" s="45"/>
      <c r="P379" s="45"/>
      <c r="Q379" s="45"/>
      <c r="R379" s="45"/>
      <c r="S379" s="45"/>
      <c r="T379" s="45"/>
      <c r="U379" s="45"/>
      <c r="V379" s="45"/>
      <c r="W379" s="45"/>
      <c r="X379" s="45"/>
      <c r="Y379" s="45"/>
    </row>
    <row r="380" spans="1:25" ht="13.5" customHeight="1" x14ac:dyDescent="0.3">
      <c r="A380" s="45"/>
      <c r="B380" s="45"/>
      <c r="C380" s="52"/>
      <c r="D380" s="45"/>
      <c r="E380" s="45"/>
      <c r="F380" s="45"/>
      <c r="G380" s="52"/>
      <c r="H380" s="52"/>
      <c r="I380" s="45"/>
      <c r="J380" s="45"/>
      <c r="K380" s="45"/>
      <c r="L380" s="45"/>
      <c r="M380" s="45"/>
      <c r="N380" s="45"/>
      <c r="O380" s="45"/>
      <c r="P380" s="45"/>
      <c r="Q380" s="45"/>
      <c r="R380" s="45"/>
      <c r="S380" s="45"/>
      <c r="T380" s="45"/>
      <c r="U380" s="45"/>
      <c r="V380" s="45"/>
      <c r="W380" s="45"/>
      <c r="X380" s="45"/>
      <c r="Y380" s="45"/>
    </row>
    <row r="381" spans="1:25" ht="13.5" customHeight="1" x14ac:dyDescent="0.3">
      <c r="A381" s="45"/>
      <c r="B381" s="45"/>
      <c r="C381" s="52"/>
      <c r="D381" s="45"/>
      <c r="E381" s="45"/>
      <c r="F381" s="45"/>
      <c r="G381" s="52"/>
      <c r="H381" s="52"/>
      <c r="I381" s="45"/>
      <c r="J381" s="45"/>
      <c r="K381" s="45"/>
      <c r="L381" s="45"/>
      <c r="M381" s="45"/>
      <c r="N381" s="45"/>
      <c r="O381" s="45"/>
      <c r="P381" s="45"/>
      <c r="Q381" s="45"/>
      <c r="R381" s="45"/>
      <c r="S381" s="45"/>
      <c r="T381" s="45"/>
      <c r="U381" s="45"/>
      <c r="V381" s="45"/>
      <c r="W381" s="45"/>
      <c r="X381" s="45"/>
      <c r="Y381" s="45"/>
    </row>
    <row r="382" spans="1:25" ht="13.5" customHeight="1" x14ac:dyDescent="0.3">
      <c r="A382" s="45"/>
      <c r="B382" s="45"/>
      <c r="C382" s="52"/>
      <c r="D382" s="45"/>
      <c r="E382" s="45"/>
      <c r="F382" s="45"/>
      <c r="G382" s="52"/>
      <c r="H382" s="52"/>
      <c r="I382" s="45"/>
      <c r="J382" s="45"/>
      <c r="K382" s="45"/>
      <c r="L382" s="45"/>
      <c r="M382" s="45"/>
      <c r="N382" s="45"/>
      <c r="O382" s="45"/>
      <c r="P382" s="45"/>
      <c r="Q382" s="45"/>
      <c r="R382" s="45"/>
      <c r="S382" s="45"/>
      <c r="T382" s="45"/>
      <c r="U382" s="45"/>
      <c r="V382" s="45"/>
      <c r="W382" s="45"/>
      <c r="X382" s="45"/>
      <c r="Y382" s="45"/>
    </row>
    <row r="383" spans="1:25" ht="13.5" customHeight="1" x14ac:dyDescent="0.3">
      <c r="A383" s="45"/>
      <c r="B383" s="45"/>
      <c r="C383" s="52"/>
      <c r="D383" s="45"/>
      <c r="E383" s="45"/>
      <c r="F383" s="45"/>
      <c r="G383" s="52"/>
      <c r="H383" s="52"/>
      <c r="I383" s="45"/>
      <c r="J383" s="45"/>
      <c r="K383" s="45"/>
      <c r="L383" s="45"/>
      <c r="M383" s="45"/>
      <c r="N383" s="45"/>
      <c r="O383" s="45"/>
      <c r="P383" s="45"/>
      <c r="Q383" s="45"/>
      <c r="R383" s="45"/>
      <c r="S383" s="45"/>
      <c r="T383" s="45"/>
      <c r="U383" s="45"/>
      <c r="V383" s="45"/>
      <c r="W383" s="45"/>
      <c r="X383" s="45"/>
      <c r="Y383" s="45"/>
    </row>
    <row r="384" spans="1:25" ht="13.5" customHeight="1" x14ac:dyDescent="0.3">
      <c r="A384" s="45"/>
      <c r="B384" s="45"/>
      <c r="C384" s="52"/>
      <c r="D384" s="45"/>
      <c r="E384" s="45"/>
      <c r="F384" s="45"/>
      <c r="G384" s="52"/>
      <c r="H384" s="52"/>
      <c r="I384" s="45"/>
      <c r="J384" s="45"/>
      <c r="K384" s="45"/>
      <c r="L384" s="45"/>
      <c r="M384" s="45"/>
      <c r="N384" s="45"/>
      <c r="O384" s="45"/>
      <c r="P384" s="45"/>
      <c r="Q384" s="45"/>
      <c r="R384" s="45"/>
      <c r="S384" s="45"/>
      <c r="T384" s="45"/>
      <c r="U384" s="45"/>
      <c r="V384" s="45"/>
      <c r="W384" s="45"/>
      <c r="X384" s="45"/>
      <c r="Y384" s="45"/>
    </row>
    <row r="385" spans="1:25" ht="13.5" customHeight="1" x14ac:dyDescent="0.3">
      <c r="A385" s="45"/>
      <c r="B385" s="45"/>
      <c r="C385" s="52"/>
      <c r="D385" s="45"/>
      <c r="E385" s="45"/>
      <c r="F385" s="45"/>
      <c r="G385" s="52"/>
      <c r="H385" s="52"/>
      <c r="I385" s="45"/>
      <c r="J385" s="45"/>
      <c r="K385" s="45"/>
      <c r="L385" s="45"/>
      <c r="M385" s="45"/>
      <c r="N385" s="45"/>
      <c r="O385" s="45"/>
      <c r="P385" s="45"/>
      <c r="Q385" s="45"/>
      <c r="R385" s="45"/>
      <c r="S385" s="45"/>
      <c r="T385" s="45"/>
      <c r="U385" s="45"/>
      <c r="V385" s="45"/>
      <c r="W385" s="45"/>
      <c r="X385" s="45"/>
      <c r="Y385" s="45"/>
    </row>
    <row r="386" spans="1:25" ht="13.5" customHeight="1" x14ac:dyDescent="0.3">
      <c r="A386" s="45"/>
      <c r="B386" s="45"/>
      <c r="C386" s="52"/>
      <c r="D386" s="45"/>
      <c r="E386" s="45"/>
      <c r="F386" s="45"/>
      <c r="G386" s="52"/>
      <c r="H386" s="52"/>
      <c r="I386" s="45"/>
      <c r="J386" s="45"/>
      <c r="K386" s="45"/>
      <c r="L386" s="45"/>
      <c r="M386" s="45"/>
      <c r="N386" s="45"/>
      <c r="O386" s="45"/>
      <c r="P386" s="45"/>
      <c r="Q386" s="45"/>
      <c r="R386" s="45"/>
      <c r="S386" s="45"/>
      <c r="T386" s="45"/>
      <c r="U386" s="45"/>
      <c r="V386" s="45"/>
      <c r="W386" s="45"/>
      <c r="X386" s="45"/>
      <c r="Y386" s="45"/>
    </row>
    <row r="387" spans="1:25" ht="13.5" customHeight="1" x14ac:dyDescent="0.3">
      <c r="A387" s="45"/>
      <c r="B387" s="45"/>
      <c r="C387" s="52"/>
      <c r="D387" s="45"/>
      <c r="E387" s="45"/>
      <c r="F387" s="45"/>
      <c r="G387" s="52"/>
      <c r="H387" s="52"/>
      <c r="I387" s="45"/>
      <c r="J387" s="45"/>
      <c r="K387" s="45"/>
      <c r="L387" s="45"/>
      <c r="M387" s="45"/>
      <c r="N387" s="45"/>
      <c r="O387" s="45"/>
      <c r="P387" s="45"/>
      <c r="Q387" s="45"/>
      <c r="R387" s="45"/>
      <c r="S387" s="45"/>
      <c r="T387" s="45"/>
      <c r="U387" s="45"/>
      <c r="V387" s="45"/>
      <c r="W387" s="45"/>
      <c r="X387" s="45"/>
      <c r="Y387" s="45"/>
    </row>
    <row r="388" spans="1:25" ht="13.5" customHeight="1" x14ac:dyDescent="0.3">
      <c r="A388" s="45"/>
      <c r="B388" s="45"/>
      <c r="C388" s="52"/>
      <c r="D388" s="45"/>
      <c r="E388" s="45"/>
      <c r="F388" s="45"/>
      <c r="G388" s="52"/>
      <c r="H388" s="52"/>
      <c r="I388" s="45"/>
      <c r="J388" s="45"/>
      <c r="K388" s="45"/>
      <c r="L388" s="45"/>
      <c r="M388" s="45"/>
      <c r="N388" s="45"/>
      <c r="O388" s="45"/>
      <c r="P388" s="45"/>
      <c r="Q388" s="45"/>
      <c r="R388" s="45"/>
      <c r="S388" s="45"/>
      <c r="T388" s="45"/>
      <c r="U388" s="45"/>
      <c r="V388" s="45"/>
      <c r="W388" s="45"/>
      <c r="X388" s="45"/>
      <c r="Y388" s="45"/>
    </row>
    <row r="389" spans="1:25" ht="13.5" customHeight="1" x14ac:dyDescent="0.3">
      <c r="A389" s="45"/>
      <c r="B389" s="45"/>
      <c r="C389" s="52"/>
      <c r="D389" s="45"/>
      <c r="E389" s="45"/>
      <c r="F389" s="45"/>
      <c r="G389" s="52"/>
      <c r="H389" s="52"/>
      <c r="I389" s="45"/>
      <c r="J389" s="45"/>
      <c r="K389" s="45"/>
      <c r="L389" s="45"/>
      <c r="M389" s="45"/>
      <c r="N389" s="45"/>
      <c r="O389" s="45"/>
      <c r="P389" s="45"/>
      <c r="Q389" s="45"/>
      <c r="R389" s="45"/>
      <c r="S389" s="45"/>
      <c r="T389" s="45"/>
      <c r="U389" s="45"/>
      <c r="V389" s="45"/>
      <c r="W389" s="45"/>
      <c r="X389" s="45"/>
      <c r="Y389" s="45"/>
    </row>
    <row r="390" spans="1:25" ht="13.5" customHeight="1" x14ac:dyDescent="0.3">
      <c r="A390" s="45"/>
      <c r="B390" s="45"/>
      <c r="C390" s="52"/>
      <c r="D390" s="45"/>
      <c r="E390" s="45"/>
      <c r="F390" s="45"/>
      <c r="G390" s="52"/>
      <c r="H390" s="52"/>
      <c r="I390" s="45"/>
      <c r="J390" s="45"/>
      <c r="K390" s="45"/>
      <c r="L390" s="45"/>
      <c r="M390" s="45"/>
      <c r="N390" s="45"/>
      <c r="O390" s="45"/>
      <c r="P390" s="45"/>
      <c r="Q390" s="45"/>
      <c r="R390" s="45"/>
      <c r="S390" s="45"/>
      <c r="T390" s="45"/>
      <c r="U390" s="45"/>
      <c r="V390" s="45"/>
      <c r="W390" s="45"/>
      <c r="X390" s="45"/>
      <c r="Y390" s="45"/>
    </row>
    <row r="391" spans="1:25" ht="13.5" customHeight="1" x14ac:dyDescent="0.3">
      <c r="A391" s="45"/>
      <c r="B391" s="45"/>
      <c r="C391" s="52"/>
      <c r="D391" s="45"/>
      <c r="E391" s="45"/>
      <c r="F391" s="45"/>
      <c r="G391" s="52"/>
      <c r="H391" s="52"/>
      <c r="I391" s="45"/>
      <c r="J391" s="45"/>
      <c r="K391" s="45"/>
      <c r="L391" s="45"/>
      <c r="M391" s="45"/>
      <c r="N391" s="45"/>
      <c r="O391" s="45"/>
      <c r="P391" s="45"/>
      <c r="Q391" s="45"/>
      <c r="R391" s="45"/>
      <c r="S391" s="45"/>
      <c r="T391" s="45"/>
      <c r="U391" s="45"/>
      <c r="V391" s="45"/>
      <c r="W391" s="45"/>
      <c r="X391" s="45"/>
      <c r="Y391" s="45"/>
    </row>
    <row r="392" spans="1:25" ht="13.5" customHeight="1" x14ac:dyDescent="0.3">
      <c r="A392" s="45"/>
      <c r="B392" s="45"/>
      <c r="C392" s="52"/>
      <c r="D392" s="45"/>
      <c r="E392" s="45"/>
      <c r="F392" s="45"/>
      <c r="G392" s="52"/>
      <c r="H392" s="52"/>
      <c r="I392" s="45"/>
      <c r="J392" s="45"/>
      <c r="K392" s="45"/>
      <c r="L392" s="45"/>
      <c r="M392" s="45"/>
      <c r="N392" s="45"/>
      <c r="O392" s="45"/>
      <c r="P392" s="45"/>
      <c r="Q392" s="45"/>
      <c r="R392" s="45"/>
      <c r="S392" s="45"/>
      <c r="T392" s="45"/>
      <c r="U392" s="45"/>
      <c r="V392" s="45"/>
      <c r="W392" s="45"/>
      <c r="X392" s="45"/>
      <c r="Y392" s="45"/>
    </row>
    <row r="393" spans="1:25" ht="13.5" customHeight="1" x14ac:dyDescent="0.3">
      <c r="A393" s="45"/>
      <c r="B393" s="45"/>
      <c r="C393" s="52"/>
      <c r="D393" s="45"/>
      <c r="E393" s="45"/>
      <c r="F393" s="45"/>
      <c r="G393" s="52"/>
      <c r="H393" s="52"/>
      <c r="I393" s="45"/>
      <c r="J393" s="45"/>
      <c r="K393" s="45"/>
      <c r="L393" s="45"/>
      <c r="M393" s="45"/>
      <c r="N393" s="45"/>
      <c r="O393" s="45"/>
      <c r="P393" s="45"/>
      <c r="Q393" s="45"/>
      <c r="R393" s="45"/>
      <c r="S393" s="45"/>
      <c r="T393" s="45"/>
      <c r="U393" s="45"/>
      <c r="V393" s="45"/>
      <c r="W393" s="45"/>
      <c r="X393" s="45"/>
      <c r="Y393" s="45"/>
    </row>
    <row r="394" spans="1:25" ht="13.5" customHeight="1" x14ac:dyDescent="0.3">
      <c r="A394" s="45"/>
      <c r="B394" s="45"/>
      <c r="C394" s="52"/>
      <c r="D394" s="45"/>
      <c r="E394" s="45"/>
      <c r="F394" s="45"/>
      <c r="G394" s="52"/>
      <c r="H394" s="52"/>
      <c r="I394" s="45"/>
      <c r="J394" s="45"/>
      <c r="K394" s="45"/>
      <c r="L394" s="45"/>
      <c r="M394" s="45"/>
      <c r="N394" s="45"/>
      <c r="O394" s="45"/>
      <c r="P394" s="45"/>
      <c r="Q394" s="45"/>
      <c r="R394" s="45"/>
      <c r="S394" s="45"/>
      <c r="T394" s="45"/>
      <c r="U394" s="45"/>
      <c r="V394" s="45"/>
      <c r="W394" s="45"/>
      <c r="X394" s="45"/>
      <c r="Y394" s="45"/>
    </row>
    <row r="395" spans="1:25" ht="13.5" customHeight="1" x14ac:dyDescent="0.3">
      <c r="A395" s="45"/>
      <c r="B395" s="45"/>
      <c r="C395" s="52"/>
      <c r="D395" s="45"/>
      <c r="E395" s="45"/>
      <c r="F395" s="45"/>
      <c r="G395" s="52"/>
      <c r="H395" s="52"/>
      <c r="I395" s="45"/>
      <c r="J395" s="45"/>
      <c r="K395" s="45"/>
      <c r="L395" s="45"/>
      <c r="M395" s="45"/>
      <c r="N395" s="45"/>
      <c r="O395" s="45"/>
      <c r="P395" s="45"/>
      <c r="Q395" s="45"/>
      <c r="R395" s="45"/>
      <c r="S395" s="45"/>
      <c r="T395" s="45"/>
      <c r="U395" s="45"/>
      <c r="V395" s="45"/>
      <c r="W395" s="45"/>
      <c r="X395" s="45"/>
      <c r="Y395" s="45"/>
    </row>
    <row r="396" spans="1:25" ht="13.5" customHeight="1" x14ac:dyDescent="0.3">
      <c r="A396" s="45"/>
      <c r="B396" s="45"/>
      <c r="C396" s="52"/>
      <c r="D396" s="45"/>
      <c r="E396" s="45"/>
      <c r="F396" s="45"/>
      <c r="G396" s="52"/>
      <c r="H396" s="52"/>
      <c r="I396" s="45"/>
      <c r="J396" s="45"/>
      <c r="K396" s="45"/>
      <c r="L396" s="45"/>
      <c r="M396" s="45"/>
      <c r="N396" s="45"/>
      <c r="O396" s="45"/>
      <c r="P396" s="45"/>
      <c r="Q396" s="45"/>
      <c r="R396" s="45"/>
      <c r="S396" s="45"/>
      <c r="T396" s="45"/>
      <c r="U396" s="45"/>
      <c r="V396" s="45"/>
      <c r="W396" s="45"/>
      <c r="X396" s="45"/>
      <c r="Y396" s="45"/>
    </row>
    <row r="397" spans="1:25" ht="13.5" customHeight="1" x14ac:dyDescent="0.3">
      <c r="A397" s="45"/>
      <c r="B397" s="45"/>
      <c r="C397" s="52"/>
      <c r="D397" s="45"/>
      <c r="E397" s="45"/>
      <c r="F397" s="45"/>
      <c r="G397" s="52"/>
      <c r="H397" s="52"/>
      <c r="I397" s="45"/>
      <c r="J397" s="45"/>
      <c r="K397" s="45"/>
      <c r="L397" s="45"/>
      <c r="M397" s="45"/>
      <c r="N397" s="45"/>
      <c r="O397" s="45"/>
      <c r="P397" s="45"/>
      <c r="Q397" s="45"/>
      <c r="R397" s="45"/>
      <c r="S397" s="45"/>
      <c r="T397" s="45"/>
      <c r="U397" s="45"/>
      <c r="V397" s="45"/>
      <c r="W397" s="45"/>
      <c r="X397" s="45"/>
      <c r="Y397" s="45"/>
    </row>
    <row r="398" spans="1:25" ht="13.5" customHeight="1" x14ac:dyDescent="0.3">
      <c r="A398" s="45"/>
      <c r="B398" s="45"/>
      <c r="C398" s="52"/>
      <c r="D398" s="45"/>
      <c r="E398" s="45"/>
      <c r="F398" s="45"/>
      <c r="G398" s="52"/>
      <c r="H398" s="52"/>
      <c r="I398" s="45"/>
      <c r="J398" s="45"/>
      <c r="K398" s="45"/>
      <c r="L398" s="45"/>
      <c r="M398" s="45"/>
      <c r="N398" s="45"/>
      <c r="O398" s="45"/>
      <c r="P398" s="45"/>
      <c r="Q398" s="45"/>
      <c r="R398" s="45"/>
      <c r="S398" s="45"/>
      <c r="T398" s="45"/>
      <c r="U398" s="45"/>
      <c r="V398" s="45"/>
      <c r="W398" s="45"/>
      <c r="X398" s="45"/>
      <c r="Y398" s="45"/>
    </row>
    <row r="399" spans="1:25" ht="13.5" customHeight="1" x14ac:dyDescent="0.3">
      <c r="A399" s="45"/>
      <c r="B399" s="45"/>
      <c r="C399" s="52"/>
      <c r="D399" s="45"/>
      <c r="E399" s="45"/>
      <c r="F399" s="45"/>
      <c r="G399" s="52"/>
      <c r="H399" s="52"/>
      <c r="I399" s="45"/>
      <c r="J399" s="45"/>
      <c r="K399" s="45"/>
      <c r="L399" s="45"/>
      <c r="M399" s="45"/>
      <c r="N399" s="45"/>
      <c r="O399" s="45"/>
      <c r="P399" s="45"/>
      <c r="Q399" s="45"/>
      <c r="R399" s="45"/>
      <c r="S399" s="45"/>
      <c r="T399" s="45"/>
      <c r="U399" s="45"/>
      <c r="V399" s="45"/>
      <c r="W399" s="45"/>
      <c r="X399" s="45"/>
      <c r="Y399" s="45"/>
    </row>
    <row r="400" spans="1:25" ht="13.5" customHeight="1" x14ac:dyDescent="0.3">
      <c r="A400" s="45"/>
      <c r="B400" s="45"/>
      <c r="C400" s="52"/>
      <c r="D400" s="45"/>
      <c r="E400" s="45"/>
      <c r="F400" s="45"/>
      <c r="G400" s="52"/>
      <c r="H400" s="52"/>
      <c r="I400" s="45"/>
      <c r="J400" s="45"/>
      <c r="K400" s="45"/>
      <c r="L400" s="45"/>
      <c r="M400" s="45"/>
      <c r="N400" s="45"/>
      <c r="O400" s="45"/>
      <c r="P400" s="45"/>
      <c r="Q400" s="45"/>
      <c r="R400" s="45"/>
      <c r="S400" s="45"/>
      <c r="T400" s="45"/>
      <c r="U400" s="45"/>
      <c r="V400" s="45"/>
      <c r="W400" s="45"/>
      <c r="X400" s="45"/>
      <c r="Y400" s="45"/>
    </row>
    <row r="401" spans="1:25" ht="13.5" customHeight="1" x14ac:dyDescent="0.3">
      <c r="A401" s="45"/>
      <c r="B401" s="45"/>
      <c r="C401" s="52"/>
      <c r="D401" s="45"/>
      <c r="E401" s="45"/>
      <c r="F401" s="45"/>
      <c r="G401" s="52"/>
      <c r="H401" s="52"/>
      <c r="I401" s="45"/>
      <c r="J401" s="45"/>
      <c r="K401" s="45"/>
      <c r="L401" s="45"/>
      <c r="M401" s="45"/>
      <c r="N401" s="45"/>
      <c r="O401" s="45"/>
      <c r="P401" s="45"/>
      <c r="Q401" s="45"/>
      <c r="R401" s="45"/>
      <c r="S401" s="45"/>
      <c r="T401" s="45"/>
      <c r="U401" s="45"/>
      <c r="V401" s="45"/>
      <c r="W401" s="45"/>
      <c r="X401" s="45"/>
      <c r="Y401" s="45"/>
    </row>
    <row r="402" spans="1:25" ht="13.5" customHeight="1" x14ac:dyDescent="0.3">
      <c r="A402" s="45"/>
      <c r="B402" s="45"/>
      <c r="C402" s="52"/>
      <c r="D402" s="45"/>
      <c r="E402" s="45"/>
      <c r="F402" s="45"/>
      <c r="G402" s="52"/>
      <c r="H402" s="52"/>
      <c r="I402" s="45"/>
      <c r="J402" s="45"/>
      <c r="K402" s="45"/>
      <c r="L402" s="45"/>
      <c r="M402" s="45"/>
      <c r="N402" s="45"/>
      <c r="O402" s="45"/>
      <c r="P402" s="45"/>
      <c r="Q402" s="45"/>
      <c r="R402" s="45"/>
      <c r="S402" s="45"/>
      <c r="T402" s="45"/>
      <c r="U402" s="45"/>
      <c r="V402" s="45"/>
      <c r="W402" s="45"/>
      <c r="X402" s="45"/>
      <c r="Y402" s="45"/>
    </row>
    <row r="403" spans="1:25" ht="13.5" customHeight="1" x14ac:dyDescent="0.3">
      <c r="A403" s="45"/>
      <c r="B403" s="45"/>
      <c r="C403" s="52"/>
      <c r="D403" s="45"/>
      <c r="E403" s="45"/>
      <c r="F403" s="45"/>
      <c r="G403" s="52"/>
      <c r="H403" s="52"/>
      <c r="I403" s="45"/>
      <c r="J403" s="45"/>
      <c r="K403" s="45"/>
      <c r="L403" s="45"/>
      <c r="M403" s="45"/>
      <c r="N403" s="45"/>
      <c r="O403" s="45"/>
      <c r="P403" s="45"/>
      <c r="Q403" s="45"/>
      <c r="R403" s="45"/>
      <c r="S403" s="45"/>
      <c r="T403" s="45"/>
      <c r="U403" s="45"/>
      <c r="V403" s="45"/>
      <c r="W403" s="45"/>
      <c r="X403" s="45"/>
      <c r="Y403" s="45"/>
    </row>
    <row r="404" spans="1:25" ht="13.5" customHeight="1" x14ac:dyDescent="0.3">
      <c r="A404" s="45"/>
      <c r="B404" s="45"/>
      <c r="C404" s="52"/>
      <c r="D404" s="45"/>
      <c r="E404" s="45"/>
      <c r="F404" s="45"/>
      <c r="G404" s="52"/>
      <c r="H404" s="52"/>
      <c r="I404" s="45"/>
      <c r="J404" s="45"/>
      <c r="K404" s="45"/>
      <c r="L404" s="45"/>
      <c r="M404" s="45"/>
      <c r="N404" s="45"/>
      <c r="O404" s="45"/>
      <c r="P404" s="45"/>
      <c r="Q404" s="45"/>
      <c r="R404" s="45"/>
      <c r="S404" s="45"/>
      <c r="T404" s="45"/>
      <c r="U404" s="45"/>
      <c r="V404" s="45"/>
      <c r="W404" s="45"/>
      <c r="X404" s="45"/>
      <c r="Y404" s="45"/>
    </row>
    <row r="405" spans="1:25" ht="13.5" customHeight="1" x14ac:dyDescent="0.3">
      <c r="A405" s="45"/>
      <c r="B405" s="45"/>
      <c r="C405" s="52"/>
      <c r="D405" s="45"/>
      <c r="E405" s="45"/>
      <c r="F405" s="45"/>
      <c r="G405" s="52"/>
      <c r="H405" s="52"/>
      <c r="I405" s="45"/>
      <c r="J405" s="45"/>
      <c r="K405" s="45"/>
      <c r="L405" s="45"/>
      <c r="M405" s="45"/>
      <c r="N405" s="45"/>
      <c r="O405" s="45"/>
      <c r="P405" s="45"/>
      <c r="Q405" s="45"/>
      <c r="R405" s="45"/>
      <c r="S405" s="45"/>
      <c r="T405" s="45"/>
      <c r="U405" s="45"/>
      <c r="V405" s="45"/>
      <c r="W405" s="45"/>
      <c r="X405" s="45"/>
      <c r="Y405" s="45"/>
    </row>
    <row r="406" spans="1:25" ht="13.5" customHeight="1" x14ac:dyDescent="0.3">
      <c r="A406" s="45"/>
      <c r="B406" s="45"/>
      <c r="C406" s="52"/>
      <c r="D406" s="45"/>
      <c r="E406" s="45"/>
      <c r="F406" s="45"/>
      <c r="G406" s="52"/>
      <c r="H406" s="52"/>
      <c r="I406" s="45"/>
      <c r="J406" s="45"/>
      <c r="K406" s="45"/>
      <c r="L406" s="45"/>
      <c r="M406" s="45"/>
      <c r="N406" s="45"/>
      <c r="O406" s="45"/>
      <c r="P406" s="45"/>
      <c r="Q406" s="45"/>
      <c r="R406" s="45"/>
      <c r="S406" s="45"/>
      <c r="T406" s="45"/>
      <c r="U406" s="45"/>
      <c r="V406" s="45"/>
      <c r="W406" s="45"/>
      <c r="X406" s="45"/>
      <c r="Y406" s="45"/>
    </row>
    <row r="407" spans="1:25" ht="13.5" customHeight="1" x14ac:dyDescent="0.3">
      <c r="A407" s="45"/>
      <c r="B407" s="45"/>
      <c r="C407" s="52"/>
      <c r="D407" s="45"/>
      <c r="E407" s="45"/>
      <c r="F407" s="45"/>
      <c r="G407" s="52"/>
      <c r="H407" s="52"/>
      <c r="I407" s="45"/>
      <c r="J407" s="45"/>
      <c r="K407" s="45"/>
      <c r="L407" s="45"/>
      <c r="M407" s="45"/>
      <c r="N407" s="45"/>
      <c r="O407" s="45"/>
      <c r="P407" s="45"/>
      <c r="Q407" s="45"/>
      <c r="R407" s="45"/>
      <c r="S407" s="45"/>
      <c r="T407" s="45"/>
      <c r="U407" s="45"/>
      <c r="V407" s="45"/>
      <c r="W407" s="45"/>
      <c r="X407" s="45"/>
      <c r="Y407" s="45"/>
    </row>
    <row r="408" spans="1:25" ht="13.5" customHeight="1" x14ac:dyDescent="0.3">
      <c r="A408" s="45"/>
      <c r="B408" s="45"/>
      <c r="C408" s="52"/>
      <c r="D408" s="45"/>
      <c r="E408" s="45"/>
      <c r="F408" s="45"/>
      <c r="G408" s="52"/>
      <c r="H408" s="52"/>
      <c r="I408" s="45"/>
      <c r="J408" s="45"/>
      <c r="K408" s="45"/>
      <c r="L408" s="45"/>
      <c r="M408" s="45"/>
      <c r="N408" s="45"/>
      <c r="O408" s="45"/>
      <c r="P408" s="45"/>
      <c r="Q408" s="45"/>
      <c r="R408" s="45"/>
      <c r="S408" s="45"/>
      <c r="T408" s="45"/>
      <c r="U408" s="45"/>
      <c r="V408" s="45"/>
      <c r="W408" s="45"/>
      <c r="X408" s="45"/>
      <c r="Y408" s="45"/>
    </row>
    <row r="409" spans="1:25" ht="13.5" customHeight="1" x14ac:dyDescent="0.3">
      <c r="A409" s="45"/>
      <c r="B409" s="45"/>
      <c r="C409" s="52"/>
      <c r="D409" s="45"/>
      <c r="E409" s="45"/>
      <c r="F409" s="45"/>
      <c r="G409" s="52"/>
      <c r="H409" s="52"/>
      <c r="I409" s="45"/>
      <c r="J409" s="45"/>
      <c r="K409" s="45"/>
      <c r="L409" s="45"/>
      <c r="M409" s="45"/>
      <c r="N409" s="45"/>
      <c r="O409" s="45"/>
      <c r="P409" s="45"/>
      <c r="Q409" s="45"/>
      <c r="R409" s="45"/>
      <c r="S409" s="45"/>
      <c r="T409" s="45"/>
      <c r="U409" s="45"/>
      <c r="V409" s="45"/>
      <c r="W409" s="45"/>
      <c r="X409" s="45"/>
      <c r="Y409" s="45"/>
    </row>
    <row r="410" spans="1:25" ht="13.5" customHeight="1" x14ac:dyDescent="0.3">
      <c r="A410" s="45"/>
      <c r="B410" s="45"/>
      <c r="C410" s="52"/>
      <c r="D410" s="45"/>
      <c r="E410" s="45"/>
      <c r="F410" s="45"/>
      <c r="G410" s="52"/>
      <c r="H410" s="52"/>
      <c r="I410" s="45"/>
      <c r="J410" s="45"/>
      <c r="K410" s="45"/>
      <c r="L410" s="45"/>
      <c r="M410" s="45"/>
      <c r="N410" s="45"/>
      <c r="O410" s="45"/>
      <c r="P410" s="45"/>
      <c r="Q410" s="45"/>
      <c r="R410" s="45"/>
      <c r="S410" s="45"/>
      <c r="T410" s="45"/>
      <c r="U410" s="45"/>
      <c r="V410" s="45"/>
      <c r="W410" s="45"/>
      <c r="X410" s="45"/>
      <c r="Y410" s="45"/>
    </row>
    <row r="411" spans="1:25" ht="13.5" customHeight="1" x14ac:dyDescent="0.3">
      <c r="A411" s="45"/>
      <c r="B411" s="45"/>
      <c r="C411" s="52"/>
      <c r="D411" s="45"/>
      <c r="E411" s="45"/>
      <c r="F411" s="45"/>
      <c r="G411" s="52"/>
      <c r="H411" s="52"/>
      <c r="I411" s="45"/>
      <c r="J411" s="45"/>
      <c r="K411" s="45"/>
      <c r="L411" s="45"/>
      <c r="M411" s="45"/>
      <c r="N411" s="45"/>
      <c r="O411" s="45"/>
      <c r="P411" s="45"/>
      <c r="Q411" s="45"/>
      <c r="R411" s="45"/>
      <c r="S411" s="45"/>
      <c r="T411" s="45"/>
      <c r="U411" s="45"/>
      <c r="V411" s="45"/>
      <c r="W411" s="45"/>
      <c r="X411" s="45"/>
      <c r="Y411" s="45"/>
    </row>
    <row r="412" spans="1:25" ht="13.5" customHeight="1" x14ac:dyDescent="0.3">
      <c r="A412" s="45"/>
      <c r="B412" s="45"/>
      <c r="C412" s="52"/>
      <c r="D412" s="45"/>
      <c r="E412" s="45"/>
      <c r="F412" s="45"/>
      <c r="G412" s="52"/>
      <c r="H412" s="52"/>
      <c r="I412" s="45"/>
      <c r="J412" s="45"/>
      <c r="K412" s="45"/>
      <c r="L412" s="45"/>
      <c r="M412" s="45"/>
      <c r="N412" s="45"/>
      <c r="O412" s="45"/>
      <c r="P412" s="45"/>
      <c r="Q412" s="45"/>
      <c r="R412" s="45"/>
      <c r="S412" s="45"/>
      <c r="T412" s="45"/>
      <c r="U412" s="45"/>
      <c r="V412" s="45"/>
      <c r="W412" s="45"/>
      <c r="X412" s="45"/>
      <c r="Y412" s="45"/>
    </row>
    <row r="413" spans="1:25" ht="13.5" customHeight="1" x14ac:dyDescent="0.3">
      <c r="A413" s="45"/>
      <c r="B413" s="45"/>
      <c r="C413" s="52"/>
      <c r="D413" s="45"/>
      <c r="E413" s="45"/>
      <c r="F413" s="45"/>
      <c r="G413" s="52"/>
      <c r="H413" s="52"/>
      <c r="I413" s="45"/>
      <c r="J413" s="45"/>
      <c r="K413" s="45"/>
      <c r="L413" s="45"/>
      <c r="M413" s="45"/>
      <c r="N413" s="45"/>
      <c r="O413" s="45"/>
      <c r="P413" s="45"/>
      <c r="Q413" s="45"/>
      <c r="R413" s="45"/>
      <c r="S413" s="45"/>
      <c r="T413" s="45"/>
      <c r="U413" s="45"/>
      <c r="V413" s="45"/>
      <c r="W413" s="45"/>
      <c r="X413" s="45"/>
      <c r="Y413" s="45"/>
    </row>
    <row r="414" spans="1:25" ht="13.5" customHeight="1" x14ac:dyDescent="0.3">
      <c r="A414" s="45"/>
      <c r="B414" s="45"/>
      <c r="C414" s="52"/>
      <c r="D414" s="45"/>
      <c r="E414" s="45"/>
      <c r="F414" s="45"/>
      <c r="G414" s="52"/>
      <c r="H414" s="52"/>
      <c r="I414" s="45"/>
      <c r="J414" s="45"/>
      <c r="K414" s="45"/>
      <c r="L414" s="45"/>
      <c r="M414" s="45"/>
      <c r="N414" s="45"/>
      <c r="O414" s="45"/>
      <c r="P414" s="45"/>
      <c r="Q414" s="45"/>
      <c r="R414" s="45"/>
      <c r="S414" s="45"/>
      <c r="T414" s="45"/>
      <c r="U414" s="45"/>
      <c r="V414" s="45"/>
      <c r="W414" s="45"/>
      <c r="X414" s="45"/>
      <c r="Y414" s="45"/>
    </row>
    <row r="415" spans="1:25" ht="13.5" customHeight="1" x14ac:dyDescent="0.3">
      <c r="A415" s="45"/>
      <c r="B415" s="45"/>
      <c r="C415" s="52"/>
      <c r="D415" s="45"/>
      <c r="E415" s="45"/>
      <c r="F415" s="45"/>
      <c r="G415" s="52"/>
      <c r="H415" s="52"/>
      <c r="I415" s="45"/>
      <c r="J415" s="45"/>
      <c r="K415" s="45"/>
      <c r="L415" s="45"/>
      <c r="M415" s="45"/>
      <c r="N415" s="45"/>
      <c r="O415" s="45"/>
      <c r="P415" s="45"/>
      <c r="Q415" s="45"/>
      <c r="R415" s="45"/>
      <c r="S415" s="45"/>
      <c r="T415" s="45"/>
      <c r="U415" s="45"/>
      <c r="V415" s="45"/>
      <c r="W415" s="45"/>
      <c r="X415" s="45"/>
      <c r="Y415" s="45"/>
    </row>
    <row r="416" spans="1:25" ht="13.5" customHeight="1" x14ac:dyDescent="0.3">
      <c r="A416" s="45"/>
      <c r="B416" s="45"/>
      <c r="C416" s="52"/>
      <c r="D416" s="45"/>
      <c r="E416" s="45"/>
      <c r="F416" s="45"/>
      <c r="G416" s="52"/>
      <c r="H416" s="52"/>
      <c r="I416" s="45"/>
      <c r="J416" s="45"/>
      <c r="K416" s="45"/>
      <c r="L416" s="45"/>
      <c r="M416" s="45"/>
      <c r="N416" s="45"/>
      <c r="O416" s="45"/>
      <c r="P416" s="45"/>
      <c r="Q416" s="45"/>
      <c r="R416" s="45"/>
      <c r="S416" s="45"/>
      <c r="T416" s="45"/>
      <c r="U416" s="45"/>
      <c r="V416" s="45"/>
      <c r="W416" s="45"/>
      <c r="X416" s="45"/>
      <c r="Y416" s="45"/>
    </row>
    <row r="417" spans="1:25" ht="13.5" customHeight="1" x14ac:dyDescent="0.3">
      <c r="A417" s="45"/>
      <c r="B417" s="45"/>
      <c r="C417" s="52"/>
      <c r="D417" s="45"/>
      <c r="E417" s="45"/>
      <c r="F417" s="45"/>
      <c r="G417" s="52"/>
      <c r="H417" s="52"/>
      <c r="I417" s="45"/>
      <c r="J417" s="45"/>
      <c r="K417" s="45"/>
      <c r="L417" s="45"/>
      <c r="M417" s="45"/>
      <c r="N417" s="45"/>
      <c r="O417" s="45"/>
      <c r="P417" s="45"/>
      <c r="Q417" s="45"/>
      <c r="R417" s="45"/>
      <c r="S417" s="45"/>
      <c r="T417" s="45"/>
      <c r="U417" s="45"/>
      <c r="V417" s="45"/>
      <c r="W417" s="45"/>
      <c r="X417" s="45"/>
      <c r="Y417" s="45"/>
    </row>
    <row r="418" spans="1:25" ht="13.5" customHeight="1" x14ac:dyDescent="0.3">
      <c r="A418" s="45"/>
      <c r="B418" s="45"/>
      <c r="C418" s="52"/>
      <c r="D418" s="45"/>
      <c r="E418" s="45"/>
      <c r="F418" s="45"/>
      <c r="G418" s="52"/>
      <c r="H418" s="52"/>
      <c r="I418" s="45"/>
      <c r="J418" s="45"/>
      <c r="K418" s="45"/>
      <c r="L418" s="45"/>
      <c r="M418" s="45"/>
      <c r="N418" s="45"/>
      <c r="O418" s="45"/>
      <c r="P418" s="45"/>
      <c r="Q418" s="45"/>
      <c r="R418" s="45"/>
      <c r="S418" s="45"/>
      <c r="T418" s="45"/>
      <c r="U418" s="45"/>
      <c r="V418" s="45"/>
      <c r="W418" s="45"/>
      <c r="X418" s="45"/>
      <c r="Y418" s="45"/>
    </row>
    <row r="419" spans="1:25" ht="13.5" customHeight="1" x14ac:dyDescent="0.3">
      <c r="A419" s="45"/>
      <c r="B419" s="45"/>
      <c r="C419" s="52"/>
      <c r="D419" s="45"/>
      <c r="E419" s="45"/>
      <c r="F419" s="45"/>
      <c r="G419" s="52"/>
      <c r="H419" s="52"/>
      <c r="I419" s="45"/>
      <c r="J419" s="45"/>
      <c r="K419" s="45"/>
      <c r="L419" s="45"/>
      <c r="M419" s="45"/>
      <c r="N419" s="45"/>
      <c r="O419" s="45"/>
      <c r="P419" s="45"/>
      <c r="Q419" s="45"/>
      <c r="R419" s="45"/>
      <c r="S419" s="45"/>
      <c r="T419" s="45"/>
      <c r="U419" s="45"/>
      <c r="V419" s="45"/>
      <c r="W419" s="45"/>
      <c r="X419" s="45"/>
      <c r="Y419" s="45"/>
    </row>
    <row r="420" spans="1:25" ht="13.5" customHeight="1" x14ac:dyDescent="0.3">
      <c r="A420" s="45"/>
      <c r="B420" s="45"/>
      <c r="C420" s="52"/>
      <c r="D420" s="45"/>
      <c r="E420" s="45"/>
      <c r="F420" s="45"/>
      <c r="G420" s="52"/>
      <c r="H420" s="52"/>
      <c r="I420" s="45"/>
      <c r="J420" s="45"/>
      <c r="K420" s="45"/>
      <c r="L420" s="45"/>
      <c r="M420" s="45"/>
      <c r="N420" s="45"/>
      <c r="O420" s="45"/>
      <c r="P420" s="45"/>
      <c r="Q420" s="45"/>
      <c r="R420" s="45"/>
      <c r="S420" s="45"/>
      <c r="T420" s="45"/>
      <c r="U420" s="45"/>
      <c r="V420" s="45"/>
      <c r="W420" s="45"/>
      <c r="X420" s="45"/>
      <c r="Y420" s="45"/>
    </row>
    <row r="421" spans="1:25" ht="13.5" customHeight="1" x14ac:dyDescent="0.3">
      <c r="A421" s="45"/>
      <c r="B421" s="45"/>
      <c r="C421" s="52"/>
      <c r="D421" s="45"/>
      <c r="E421" s="45"/>
      <c r="F421" s="45"/>
      <c r="G421" s="52"/>
      <c r="H421" s="52"/>
      <c r="I421" s="45"/>
      <c r="J421" s="45"/>
      <c r="K421" s="45"/>
      <c r="L421" s="45"/>
      <c r="M421" s="45"/>
      <c r="N421" s="45"/>
      <c r="O421" s="45"/>
      <c r="P421" s="45"/>
      <c r="Q421" s="45"/>
      <c r="R421" s="45"/>
      <c r="S421" s="45"/>
      <c r="T421" s="45"/>
      <c r="U421" s="45"/>
      <c r="V421" s="45"/>
      <c r="W421" s="45"/>
      <c r="X421" s="45"/>
      <c r="Y421" s="45"/>
    </row>
    <row r="422" spans="1:25" ht="13.5" customHeight="1" x14ac:dyDescent="0.3">
      <c r="A422" s="45"/>
      <c r="B422" s="45"/>
      <c r="C422" s="52"/>
      <c r="D422" s="45"/>
      <c r="E422" s="45"/>
      <c r="F422" s="45"/>
      <c r="G422" s="52"/>
      <c r="H422" s="52"/>
      <c r="I422" s="45"/>
      <c r="J422" s="45"/>
      <c r="K422" s="45"/>
      <c r="L422" s="45"/>
      <c r="M422" s="45"/>
      <c r="N422" s="45"/>
      <c r="O422" s="45"/>
      <c r="P422" s="45"/>
      <c r="Q422" s="45"/>
      <c r="R422" s="45"/>
      <c r="S422" s="45"/>
      <c r="T422" s="45"/>
      <c r="U422" s="45"/>
      <c r="V422" s="45"/>
      <c r="W422" s="45"/>
      <c r="X422" s="45"/>
      <c r="Y422" s="45"/>
    </row>
    <row r="423" spans="1:25" ht="13.5" customHeight="1" x14ac:dyDescent="0.3">
      <c r="A423" s="45"/>
      <c r="B423" s="45"/>
      <c r="C423" s="52"/>
      <c r="D423" s="45"/>
      <c r="E423" s="45"/>
      <c r="F423" s="45"/>
      <c r="G423" s="52"/>
      <c r="H423" s="52"/>
      <c r="I423" s="45"/>
      <c r="J423" s="45"/>
      <c r="K423" s="45"/>
      <c r="L423" s="45"/>
      <c r="M423" s="45"/>
      <c r="N423" s="45"/>
      <c r="O423" s="45"/>
      <c r="P423" s="45"/>
      <c r="Q423" s="45"/>
      <c r="R423" s="45"/>
      <c r="S423" s="45"/>
      <c r="T423" s="45"/>
      <c r="U423" s="45"/>
      <c r="V423" s="45"/>
      <c r="W423" s="45"/>
      <c r="X423" s="45"/>
      <c r="Y423" s="45"/>
    </row>
    <row r="424" spans="1:25" ht="13.5" customHeight="1" x14ac:dyDescent="0.3">
      <c r="A424" s="45"/>
      <c r="B424" s="45"/>
      <c r="C424" s="52"/>
      <c r="D424" s="45"/>
      <c r="E424" s="45"/>
      <c r="F424" s="45"/>
      <c r="G424" s="52"/>
      <c r="H424" s="52"/>
      <c r="I424" s="45"/>
      <c r="J424" s="45"/>
      <c r="K424" s="45"/>
      <c r="L424" s="45"/>
      <c r="M424" s="45"/>
      <c r="N424" s="45"/>
      <c r="O424" s="45"/>
      <c r="P424" s="45"/>
      <c r="Q424" s="45"/>
      <c r="R424" s="45"/>
      <c r="S424" s="45"/>
      <c r="T424" s="45"/>
      <c r="U424" s="45"/>
      <c r="V424" s="45"/>
      <c r="W424" s="45"/>
      <c r="X424" s="45"/>
      <c r="Y424" s="45"/>
    </row>
    <row r="425" spans="1:25" ht="13.5" customHeight="1" x14ac:dyDescent="0.3">
      <c r="A425" s="45"/>
      <c r="B425" s="45"/>
      <c r="C425" s="52"/>
      <c r="D425" s="45"/>
      <c r="E425" s="45"/>
      <c r="F425" s="45"/>
      <c r="G425" s="52"/>
      <c r="H425" s="52"/>
      <c r="I425" s="45"/>
      <c r="J425" s="45"/>
      <c r="K425" s="45"/>
      <c r="L425" s="45"/>
      <c r="M425" s="45"/>
      <c r="N425" s="45"/>
      <c r="O425" s="45"/>
      <c r="P425" s="45"/>
      <c r="Q425" s="45"/>
      <c r="R425" s="45"/>
      <c r="S425" s="45"/>
      <c r="T425" s="45"/>
      <c r="U425" s="45"/>
      <c r="V425" s="45"/>
      <c r="W425" s="45"/>
      <c r="X425" s="45"/>
      <c r="Y425" s="45"/>
    </row>
    <row r="426" spans="1:25" ht="13.5" customHeight="1" x14ac:dyDescent="0.3">
      <c r="A426" s="45"/>
      <c r="B426" s="45"/>
      <c r="C426" s="52"/>
      <c r="D426" s="45"/>
      <c r="E426" s="45"/>
      <c r="F426" s="45"/>
      <c r="G426" s="52"/>
      <c r="H426" s="52"/>
      <c r="I426" s="45"/>
      <c r="J426" s="45"/>
      <c r="K426" s="45"/>
      <c r="L426" s="45"/>
      <c r="M426" s="45"/>
      <c r="N426" s="45"/>
      <c r="O426" s="45"/>
      <c r="P426" s="45"/>
      <c r="Q426" s="45"/>
      <c r="R426" s="45"/>
      <c r="S426" s="45"/>
      <c r="T426" s="45"/>
      <c r="U426" s="45"/>
      <c r="V426" s="45"/>
      <c r="W426" s="45"/>
      <c r="X426" s="45"/>
      <c r="Y426" s="45"/>
    </row>
    <row r="427" spans="1:25" ht="13.5" customHeight="1" x14ac:dyDescent="0.3">
      <c r="A427" s="45"/>
      <c r="B427" s="45"/>
      <c r="C427" s="52"/>
      <c r="D427" s="45"/>
      <c r="E427" s="45"/>
      <c r="F427" s="45"/>
      <c r="G427" s="52"/>
      <c r="H427" s="52"/>
      <c r="I427" s="45"/>
      <c r="J427" s="45"/>
      <c r="K427" s="45"/>
      <c r="L427" s="45"/>
      <c r="M427" s="45"/>
      <c r="N427" s="45"/>
      <c r="O427" s="45"/>
      <c r="P427" s="45"/>
      <c r="Q427" s="45"/>
      <c r="R427" s="45"/>
      <c r="S427" s="45"/>
      <c r="T427" s="45"/>
      <c r="U427" s="45"/>
      <c r="V427" s="45"/>
      <c r="W427" s="45"/>
      <c r="X427" s="45"/>
      <c r="Y427" s="45"/>
    </row>
    <row r="428" spans="1:25" ht="13.5" customHeight="1" x14ac:dyDescent="0.3">
      <c r="A428" s="45"/>
      <c r="B428" s="45"/>
      <c r="C428" s="52"/>
      <c r="D428" s="45"/>
      <c r="E428" s="45"/>
      <c r="F428" s="45"/>
      <c r="G428" s="52"/>
      <c r="H428" s="52"/>
      <c r="I428" s="45"/>
      <c r="J428" s="45"/>
      <c r="K428" s="45"/>
      <c r="L428" s="45"/>
      <c r="M428" s="45"/>
      <c r="N428" s="45"/>
      <c r="O428" s="45"/>
      <c r="P428" s="45"/>
      <c r="Q428" s="45"/>
      <c r="R428" s="45"/>
      <c r="S428" s="45"/>
      <c r="T428" s="45"/>
      <c r="U428" s="45"/>
      <c r="V428" s="45"/>
      <c r="W428" s="45"/>
      <c r="X428" s="45"/>
      <c r="Y428" s="45"/>
    </row>
    <row r="429" spans="1:25" ht="13.5" customHeight="1" x14ac:dyDescent="0.3">
      <c r="A429" s="45"/>
      <c r="B429" s="45"/>
      <c r="C429" s="52"/>
      <c r="D429" s="45"/>
      <c r="E429" s="45"/>
      <c r="F429" s="45"/>
      <c r="G429" s="52"/>
      <c r="H429" s="52"/>
      <c r="I429" s="45"/>
      <c r="J429" s="45"/>
      <c r="K429" s="45"/>
      <c r="L429" s="45"/>
      <c r="M429" s="45"/>
      <c r="N429" s="45"/>
      <c r="O429" s="45"/>
      <c r="P429" s="45"/>
      <c r="Q429" s="45"/>
      <c r="R429" s="45"/>
      <c r="S429" s="45"/>
      <c r="T429" s="45"/>
      <c r="U429" s="45"/>
      <c r="V429" s="45"/>
      <c r="W429" s="45"/>
      <c r="X429" s="45"/>
      <c r="Y429" s="45"/>
    </row>
    <row r="430" spans="1:25" ht="13.5" customHeight="1" x14ac:dyDescent="0.3">
      <c r="A430" s="45"/>
      <c r="B430" s="45"/>
      <c r="C430" s="52"/>
      <c r="D430" s="45"/>
      <c r="E430" s="45"/>
      <c r="F430" s="45"/>
      <c r="G430" s="52"/>
      <c r="H430" s="52"/>
      <c r="I430" s="45"/>
      <c r="J430" s="45"/>
      <c r="K430" s="45"/>
      <c r="L430" s="45"/>
      <c r="M430" s="45"/>
      <c r="N430" s="45"/>
      <c r="O430" s="45"/>
      <c r="P430" s="45"/>
      <c r="Q430" s="45"/>
      <c r="R430" s="45"/>
      <c r="S430" s="45"/>
      <c r="T430" s="45"/>
      <c r="U430" s="45"/>
      <c r="V430" s="45"/>
      <c r="W430" s="45"/>
      <c r="X430" s="45"/>
      <c r="Y430" s="45"/>
    </row>
    <row r="431" spans="1:25" ht="13.5" customHeight="1" x14ac:dyDescent="0.3">
      <c r="A431" s="45"/>
      <c r="B431" s="45"/>
      <c r="C431" s="52"/>
      <c r="D431" s="45"/>
      <c r="E431" s="45"/>
      <c r="F431" s="45"/>
      <c r="G431" s="52"/>
      <c r="H431" s="52"/>
      <c r="I431" s="45"/>
      <c r="J431" s="45"/>
      <c r="K431" s="45"/>
      <c r="L431" s="45"/>
      <c r="M431" s="45"/>
      <c r="N431" s="45"/>
      <c r="O431" s="45"/>
      <c r="P431" s="45"/>
      <c r="Q431" s="45"/>
      <c r="R431" s="45"/>
      <c r="S431" s="45"/>
      <c r="T431" s="45"/>
      <c r="U431" s="45"/>
      <c r="V431" s="45"/>
      <c r="W431" s="45"/>
      <c r="X431" s="45"/>
      <c r="Y431" s="45"/>
    </row>
    <row r="432" spans="1:25" ht="13.5" customHeight="1" x14ac:dyDescent="0.3">
      <c r="A432" s="45"/>
      <c r="B432" s="45"/>
      <c r="C432" s="52"/>
      <c r="D432" s="45"/>
      <c r="E432" s="45"/>
      <c r="F432" s="45"/>
      <c r="G432" s="52"/>
      <c r="H432" s="52"/>
      <c r="I432" s="45"/>
      <c r="J432" s="45"/>
      <c r="K432" s="45"/>
      <c r="L432" s="45"/>
      <c r="M432" s="45"/>
      <c r="N432" s="45"/>
      <c r="O432" s="45"/>
      <c r="P432" s="45"/>
      <c r="Q432" s="45"/>
      <c r="R432" s="45"/>
      <c r="S432" s="45"/>
      <c r="T432" s="45"/>
      <c r="U432" s="45"/>
      <c r="V432" s="45"/>
      <c r="W432" s="45"/>
      <c r="X432" s="45"/>
      <c r="Y432" s="45"/>
    </row>
    <row r="433" spans="1:25" ht="13.5" customHeight="1" x14ac:dyDescent="0.3">
      <c r="A433" s="45"/>
      <c r="B433" s="45"/>
      <c r="C433" s="52"/>
      <c r="D433" s="45"/>
      <c r="E433" s="45"/>
      <c r="F433" s="45"/>
      <c r="G433" s="52"/>
      <c r="H433" s="52"/>
      <c r="I433" s="45"/>
      <c r="J433" s="45"/>
      <c r="K433" s="45"/>
      <c r="L433" s="45"/>
      <c r="M433" s="45"/>
      <c r="N433" s="45"/>
      <c r="O433" s="45"/>
      <c r="P433" s="45"/>
      <c r="Q433" s="45"/>
      <c r="R433" s="45"/>
      <c r="S433" s="45"/>
      <c r="T433" s="45"/>
      <c r="U433" s="45"/>
      <c r="V433" s="45"/>
      <c r="W433" s="45"/>
      <c r="X433" s="45"/>
      <c r="Y433" s="45"/>
    </row>
    <row r="434" spans="1:25" ht="13.5" customHeight="1" x14ac:dyDescent="0.3">
      <c r="A434" s="45"/>
      <c r="B434" s="45"/>
      <c r="C434" s="52"/>
      <c r="D434" s="45"/>
      <c r="E434" s="45"/>
      <c r="F434" s="45"/>
      <c r="G434" s="52"/>
      <c r="H434" s="52"/>
      <c r="I434" s="45"/>
      <c r="J434" s="45"/>
      <c r="K434" s="45"/>
      <c r="L434" s="45"/>
      <c r="M434" s="45"/>
      <c r="N434" s="45"/>
      <c r="O434" s="45"/>
      <c r="P434" s="45"/>
      <c r="Q434" s="45"/>
      <c r="R434" s="45"/>
      <c r="S434" s="45"/>
      <c r="T434" s="45"/>
      <c r="U434" s="45"/>
      <c r="V434" s="45"/>
      <c r="W434" s="45"/>
      <c r="X434" s="45"/>
      <c r="Y434" s="45"/>
    </row>
    <row r="435" spans="1:25" ht="13.5" customHeight="1" x14ac:dyDescent="0.3">
      <c r="A435" s="45"/>
      <c r="B435" s="45"/>
      <c r="C435" s="52"/>
      <c r="D435" s="45"/>
      <c r="E435" s="45"/>
      <c r="F435" s="45"/>
      <c r="G435" s="52"/>
      <c r="H435" s="52"/>
      <c r="I435" s="45"/>
      <c r="J435" s="45"/>
      <c r="K435" s="45"/>
      <c r="L435" s="45"/>
      <c r="M435" s="45"/>
      <c r="N435" s="45"/>
      <c r="O435" s="45"/>
      <c r="P435" s="45"/>
      <c r="Q435" s="45"/>
      <c r="R435" s="45"/>
      <c r="S435" s="45"/>
      <c r="T435" s="45"/>
      <c r="U435" s="45"/>
      <c r="V435" s="45"/>
      <c r="W435" s="45"/>
      <c r="X435" s="45"/>
      <c r="Y435" s="45"/>
    </row>
    <row r="436" spans="1:25" ht="13.5" customHeight="1" x14ac:dyDescent="0.3">
      <c r="A436" s="45"/>
      <c r="B436" s="45"/>
      <c r="C436" s="52"/>
      <c r="D436" s="45"/>
      <c r="E436" s="45"/>
      <c r="F436" s="45"/>
      <c r="G436" s="52"/>
      <c r="H436" s="52"/>
      <c r="I436" s="45"/>
      <c r="J436" s="45"/>
      <c r="K436" s="45"/>
      <c r="L436" s="45"/>
      <c r="M436" s="45"/>
      <c r="N436" s="45"/>
      <c r="O436" s="45"/>
      <c r="P436" s="45"/>
      <c r="Q436" s="45"/>
      <c r="R436" s="45"/>
      <c r="S436" s="45"/>
      <c r="T436" s="45"/>
      <c r="U436" s="45"/>
      <c r="V436" s="45"/>
      <c r="W436" s="45"/>
      <c r="X436" s="45"/>
      <c r="Y436" s="45"/>
    </row>
    <row r="437" spans="1:25" ht="13.5" customHeight="1" x14ac:dyDescent="0.3">
      <c r="A437" s="45"/>
      <c r="B437" s="45"/>
      <c r="C437" s="52"/>
      <c r="D437" s="45"/>
      <c r="E437" s="45"/>
      <c r="F437" s="45"/>
      <c r="G437" s="52"/>
      <c r="H437" s="52"/>
      <c r="I437" s="45"/>
      <c r="J437" s="45"/>
      <c r="K437" s="45"/>
      <c r="L437" s="45"/>
      <c r="M437" s="45"/>
      <c r="N437" s="45"/>
      <c r="O437" s="45"/>
      <c r="P437" s="45"/>
      <c r="Q437" s="45"/>
      <c r="R437" s="45"/>
      <c r="S437" s="45"/>
      <c r="T437" s="45"/>
      <c r="U437" s="45"/>
      <c r="V437" s="45"/>
      <c r="W437" s="45"/>
      <c r="X437" s="45"/>
      <c r="Y437" s="45"/>
    </row>
    <row r="438" spans="1:25" ht="13.5" customHeight="1" x14ac:dyDescent="0.3">
      <c r="A438" s="45"/>
      <c r="B438" s="45"/>
      <c r="C438" s="52"/>
      <c r="D438" s="45"/>
      <c r="E438" s="45"/>
      <c r="F438" s="45"/>
      <c r="G438" s="52"/>
      <c r="H438" s="52"/>
      <c r="I438" s="45"/>
      <c r="J438" s="45"/>
      <c r="K438" s="45"/>
      <c r="L438" s="45"/>
      <c r="M438" s="45"/>
      <c r="N438" s="45"/>
      <c r="O438" s="45"/>
      <c r="P438" s="45"/>
      <c r="Q438" s="45"/>
      <c r="R438" s="45"/>
      <c r="S438" s="45"/>
      <c r="T438" s="45"/>
      <c r="U438" s="45"/>
      <c r="V438" s="45"/>
      <c r="W438" s="45"/>
      <c r="X438" s="45"/>
      <c r="Y438" s="45"/>
    </row>
    <row r="439" spans="1:25" ht="13.5" customHeight="1" x14ac:dyDescent="0.3">
      <c r="A439" s="45"/>
      <c r="B439" s="45"/>
      <c r="C439" s="52"/>
      <c r="D439" s="45"/>
      <c r="E439" s="45"/>
      <c r="F439" s="45"/>
      <c r="G439" s="52"/>
      <c r="H439" s="52"/>
      <c r="I439" s="45"/>
      <c r="J439" s="45"/>
      <c r="K439" s="45"/>
      <c r="L439" s="45"/>
      <c r="M439" s="45"/>
      <c r="N439" s="45"/>
      <c r="O439" s="45"/>
      <c r="P439" s="45"/>
      <c r="Q439" s="45"/>
      <c r="R439" s="45"/>
      <c r="S439" s="45"/>
      <c r="T439" s="45"/>
      <c r="U439" s="45"/>
      <c r="V439" s="45"/>
      <c r="W439" s="45"/>
      <c r="X439" s="45"/>
      <c r="Y439" s="45"/>
    </row>
    <row r="440" spans="1:25" ht="13.5" customHeight="1" x14ac:dyDescent="0.3">
      <c r="A440" s="45"/>
      <c r="B440" s="45"/>
      <c r="C440" s="52"/>
      <c r="D440" s="45"/>
      <c r="E440" s="45"/>
      <c r="F440" s="45"/>
      <c r="G440" s="52"/>
      <c r="H440" s="52"/>
      <c r="I440" s="45"/>
      <c r="J440" s="45"/>
      <c r="K440" s="45"/>
      <c r="L440" s="45"/>
      <c r="M440" s="45"/>
      <c r="N440" s="45"/>
      <c r="O440" s="45"/>
      <c r="P440" s="45"/>
      <c r="Q440" s="45"/>
      <c r="R440" s="45"/>
      <c r="S440" s="45"/>
      <c r="T440" s="45"/>
      <c r="U440" s="45"/>
      <c r="V440" s="45"/>
      <c r="W440" s="45"/>
      <c r="X440" s="45"/>
      <c r="Y440" s="45"/>
    </row>
    <row r="441" spans="1:25" ht="13.5" customHeight="1" x14ac:dyDescent="0.3">
      <c r="A441" s="45"/>
      <c r="B441" s="45"/>
      <c r="C441" s="52"/>
      <c r="D441" s="45"/>
      <c r="E441" s="45"/>
      <c r="F441" s="45"/>
      <c r="G441" s="52"/>
      <c r="H441" s="52"/>
      <c r="I441" s="45"/>
      <c r="J441" s="45"/>
      <c r="K441" s="45"/>
      <c r="L441" s="45"/>
      <c r="M441" s="45"/>
      <c r="N441" s="45"/>
      <c r="O441" s="45"/>
      <c r="P441" s="45"/>
      <c r="Q441" s="45"/>
      <c r="R441" s="45"/>
      <c r="S441" s="45"/>
      <c r="T441" s="45"/>
      <c r="U441" s="45"/>
      <c r="V441" s="45"/>
      <c r="W441" s="45"/>
      <c r="X441" s="45"/>
      <c r="Y441" s="45"/>
    </row>
    <row r="442" spans="1:25" ht="13.5" customHeight="1" x14ac:dyDescent="0.3">
      <c r="A442" s="45"/>
      <c r="B442" s="45"/>
      <c r="C442" s="52"/>
      <c r="D442" s="45"/>
      <c r="E442" s="45"/>
      <c r="F442" s="45"/>
      <c r="G442" s="52"/>
      <c r="H442" s="52"/>
      <c r="I442" s="45"/>
      <c r="J442" s="45"/>
      <c r="K442" s="45"/>
      <c r="L442" s="45"/>
      <c r="M442" s="45"/>
      <c r="N442" s="45"/>
      <c r="O442" s="45"/>
      <c r="P442" s="45"/>
      <c r="Q442" s="45"/>
      <c r="R442" s="45"/>
      <c r="S442" s="45"/>
      <c r="T442" s="45"/>
      <c r="U442" s="45"/>
      <c r="V442" s="45"/>
      <c r="W442" s="45"/>
      <c r="X442" s="45"/>
      <c r="Y442" s="45"/>
    </row>
    <row r="443" spans="1:25" ht="13.5" customHeight="1" x14ac:dyDescent="0.3">
      <c r="A443" s="45"/>
      <c r="B443" s="45"/>
      <c r="C443" s="52"/>
      <c r="D443" s="45"/>
      <c r="E443" s="45"/>
      <c r="F443" s="45"/>
      <c r="G443" s="52"/>
      <c r="H443" s="52"/>
      <c r="I443" s="45"/>
      <c r="J443" s="45"/>
      <c r="K443" s="45"/>
      <c r="L443" s="45"/>
      <c r="M443" s="45"/>
      <c r="N443" s="45"/>
      <c r="O443" s="45"/>
      <c r="P443" s="45"/>
      <c r="Q443" s="45"/>
      <c r="R443" s="45"/>
      <c r="S443" s="45"/>
      <c r="T443" s="45"/>
      <c r="U443" s="45"/>
      <c r="V443" s="45"/>
      <c r="W443" s="45"/>
      <c r="X443" s="45"/>
      <c r="Y443" s="45"/>
    </row>
    <row r="444" spans="1:25" ht="13.5" customHeight="1" x14ac:dyDescent="0.3">
      <c r="A444" s="45"/>
      <c r="B444" s="45"/>
      <c r="C444" s="52"/>
      <c r="D444" s="45"/>
      <c r="E444" s="45"/>
      <c r="F444" s="45"/>
      <c r="G444" s="52"/>
      <c r="H444" s="52"/>
      <c r="I444" s="45"/>
      <c r="J444" s="45"/>
      <c r="K444" s="45"/>
      <c r="L444" s="45"/>
      <c r="M444" s="45"/>
      <c r="N444" s="45"/>
      <c r="O444" s="45"/>
      <c r="P444" s="45"/>
      <c r="Q444" s="45"/>
      <c r="R444" s="45"/>
      <c r="S444" s="45"/>
      <c r="T444" s="45"/>
      <c r="U444" s="45"/>
      <c r="V444" s="45"/>
      <c r="W444" s="45"/>
      <c r="X444" s="45"/>
      <c r="Y444" s="45"/>
    </row>
    <row r="445" spans="1:25" ht="13.5" customHeight="1" x14ac:dyDescent="0.3">
      <c r="A445" s="45"/>
      <c r="B445" s="45"/>
      <c r="C445" s="52"/>
      <c r="D445" s="45"/>
      <c r="E445" s="45"/>
      <c r="F445" s="45"/>
      <c r="G445" s="52"/>
      <c r="H445" s="52"/>
      <c r="I445" s="45"/>
      <c r="J445" s="45"/>
      <c r="K445" s="45"/>
      <c r="L445" s="45"/>
      <c r="M445" s="45"/>
      <c r="N445" s="45"/>
      <c r="O445" s="45"/>
      <c r="P445" s="45"/>
      <c r="Q445" s="45"/>
      <c r="R445" s="45"/>
      <c r="S445" s="45"/>
      <c r="T445" s="45"/>
      <c r="U445" s="45"/>
      <c r="V445" s="45"/>
      <c r="W445" s="45"/>
      <c r="X445" s="45"/>
      <c r="Y445" s="45"/>
    </row>
    <row r="446" spans="1:25" ht="13.5" customHeight="1" x14ac:dyDescent="0.3">
      <c r="A446" s="45"/>
      <c r="B446" s="45"/>
      <c r="C446" s="52"/>
      <c r="D446" s="45"/>
      <c r="E446" s="45"/>
      <c r="F446" s="45"/>
      <c r="G446" s="52"/>
      <c r="H446" s="52"/>
      <c r="I446" s="45"/>
      <c r="J446" s="45"/>
      <c r="K446" s="45"/>
      <c r="L446" s="45"/>
      <c r="M446" s="45"/>
      <c r="N446" s="45"/>
      <c r="O446" s="45"/>
      <c r="P446" s="45"/>
      <c r="Q446" s="45"/>
      <c r="R446" s="45"/>
      <c r="S446" s="45"/>
      <c r="T446" s="45"/>
      <c r="U446" s="45"/>
      <c r="V446" s="45"/>
      <c r="W446" s="45"/>
      <c r="X446" s="45"/>
      <c r="Y446" s="45"/>
    </row>
    <row r="447" spans="1:25" ht="13.5" customHeight="1" x14ac:dyDescent="0.3">
      <c r="A447" s="45"/>
      <c r="B447" s="45"/>
      <c r="C447" s="52"/>
      <c r="D447" s="45"/>
      <c r="E447" s="45"/>
      <c r="F447" s="45"/>
      <c r="G447" s="52"/>
      <c r="H447" s="52"/>
      <c r="I447" s="45"/>
      <c r="J447" s="45"/>
      <c r="K447" s="45"/>
      <c r="L447" s="45"/>
      <c r="M447" s="45"/>
      <c r="N447" s="45"/>
      <c r="O447" s="45"/>
      <c r="P447" s="45"/>
      <c r="Q447" s="45"/>
      <c r="R447" s="45"/>
      <c r="S447" s="45"/>
      <c r="T447" s="45"/>
      <c r="U447" s="45"/>
      <c r="V447" s="45"/>
      <c r="W447" s="45"/>
      <c r="X447" s="45"/>
      <c r="Y447" s="45"/>
    </row>
    <row r="448" spans="1:25" ht="13.5" customHeight="1" x14ac:dyDescent="0.3">
      <c r="A448" s="45"/>
      <c r="B448" s="45"/>
      <c r="C448" s="52"/>
      <c r="D448" s="45"/>
      <c r="E448" s="45"/>
      <c r="F448" s="45"/>
      <c r="G448" s="52"/>
      <c r="H448" s="52"/>
      <c r="I448" s="45"/>
      <c r="J448" s="45"/>
      <c r="K448" s="45"/>
      <c r="L448" s="45"/>
      <c r="M448" s="45"/>
      <c r="N448" s="45"/>
      <c r="O448" s="45"/>
      <c r="P448" s="45"/>
      <c r="Q448" s="45"/>
      <c r="R448" s="45"/>
      <c r="S448" s="45"/>
      <c r="T448" s="45"/>
      <c r="U448" s="45"/>
      <c r="V448" s="45"/>
      <c r="W448" s="45"/>
      <c r="X448" s="45"/>
      <c r="Y448" s="45"/>
    </row>
    <row r="449" spans="1:25" ht="13.5" customHeight="1" x14ac:dyDescent="0.3">
      <c r="A449" s="45"/>
      <c r="B449" s="45"/>
      <c r="C449" s="52"/>
      <c r="D449" s="45"/>
      <c r="E449" s="45"/>
      <c r="F449" s="45"/>
      <c r="G449" s="52"/>
      <c r="H449" s="52"/>
      <c r="I449" s="45"/>
      <c r="J449" s="45"/>
      <c r="K449" s="45"/>
      <c r="L449" s="45"/>
      <c r="M449" s="45"/>
      <c r="N449" s="45"/>
      <c r="O449" s="45"/>
      <c r="P449" s="45"/>
      <c r="Q449" s="45"/>
      <c r="R449" s="45"/>
      <c r="S449" s="45"/>
      <c r="T449" s="45"/>
      <c r="U449" s="45"/>
      <c r="V449" s="45"/>
      <c r="W449" s="45"/>
      <c r="X449" s="45"/>
      <c r="Y449" s="45"/>
    </row>
    <row r="450" spans="1:25" ht="13.5" customHeight="1" x14ac:dyDescent="0.3">
      <c r="A450" s="45"/>
      <c r="B450" s="45"/>
      <c r="C450" s="52"/>
      <c r="D450" s="45"/>
      <c r="E450" s="45"/>
      <c r="F450" s="45"/>
      <c r="G450" s="52"/>
      <c r="H450" s="52"/>
      <c r="I450" s="45"/>
      <c r="J450" s="45"/>
      <c r="K450" s="45"/>
      <c r="L450" s="45"/>
      <c r="M450" s="45"/>
      <c r="N450" s="45"/>
      <c r="O450" s="45"/>
      <c r="P450" s="45"/>
      <c r="Q450" s="45"/>
      <c r="R450" s="45"/>
      <c r="S450" s="45"/>
      <c r="T450" s="45"/>
      <c r="U450" s="45"/>
      <c r="V450" s="45"/>
      <c r="W450" s="45"/>
      <c r="X450" s="45"/>
      <c r="Y450" s="45"/>
    </row>
    <row r="451" spans="1:25" ht="13.5" customHeight="1" x14ac:dyDescent="0.3">
      <c r="A451" s="45"/>
      <c r="B451" s="45"/>
      <c r="C451" s="52"/>
      <c r="D451" s="45"/>
      <c r="E451" s="45"/>
      <c r="F451" s="45"/>
      <c r="G451" s="52"/>
      <c r="H451" s="52"/>
      <c r="I451" s="45"/>
      <c r="J451" s="45"/>
      <c r="K451" s="45"/>
      <c r="L451" s="45"/>
      <c r="M451" s="45"/>
      <c r="N451" s="45"/>
      <c r="O451" s="45"/>
      <c r="P451" s="45"/>
      <c r="Q451" s="45"/>
      <c r="R451" s="45"/>
      <c r="S451" s="45"/>
      <c r="T451" s="45"/>
      <c r="U451" s="45"/>
      <c r="V451" s="45"/>
      <c r="W451" s="45"/>
      <c r="X451" s="45"/>
      <c r="Y451" s="45"/>
    </row>
    <row r="452" spans="1:25" ht="13.5" customHeight="1" x14ac:dyDescent="0.3">
      <c r="A452" s="45"/>
      <c r="B452" s="45"/>
      <c r="C452" s="52"/>
      <c r="D452" s="45"/>
      <c r="E452" s="45"/>
      <c r="F452" s="45"/>
      <c r="G452" s="52"/>
      <c r="H452" s="52"/>
      <c r="I452" s="45"/>
      <c r="J452" s="45"/>
      <c r="K452" s="45"/>
      <c r="L452" s="45"/>
      <c r="M452" s="45"/>
      <c r="N452" s="45"/>
      <c r="O452" s="45"/>
      <c r="P452" s="45"/>
      <c r="Q452" s="45"/>
      <c r="R452" s="45"/>
      <c r="S452" s="45"/>
      <c r="T452" s="45"/>
      <c r="U452" s="45"/>
      <c r="V452" s="45"/>
      <c r="W452" s="45"/>
      <c r="X452" s="45"/>
      <c r="Y452" s="45"/>
    </row>
    <row r="453" spans="1:25" ht="13.5" customHeight="1" x14ac:dyDescent="0.3">
      <c r="A453" s="45"/>
      <c r="B453" s="45"/>
      <c r="C453" s="52"/>
      <c r="D453" s="45"/>
      <c r="E453" s="45"/>
      <c r="F453" s="45"/>
      <c r="G453" s="52"/>
      <c r="H453" s="52"/>
      <c r="I453" s="45"/>
      <c r="J453" s="45"/>
      <c r="K453" s="45"/>
      <c r="L453" s="45"/>
      <c r="M453" s="45"/>
      <c r="N453" s="45"/>
      <c r="O453" s="45"/>
      <c r="P453" s="45"/>
      <c r="Q453" s="45"/>
      <c r="R453" s="45"/>
      <c r="S453" s="45"/>
      <c r="T453" s="45"/>
      <c r="U453" s="45"/>
      <c r="V453" s="45"/>
      <c r="W453" s="45"/>
      <c r="X453" s="45"/>
      <c r="Y453" s="45"/>
    </row>
    <row r="454" spans="1:25" ht="13.5" customHeight="1" x14ac:dyDescent="0.3">
      <c r="A454" s="45"/>
      <c r="B454" s="45"/>
      <c r="C454" s="52"/>
      <c r="D454" s="45"/>
      <c r="E454" s="45"/>
      <c r="F454" s="45"/>
      <c r="G454" s="52"/>
      <c r="H454" s="52"/>
      <c r="I454" s="45"/>
      <c r="J454" s="45"/>
      <c r="K454" s="45"/>
      <c r="L454" s="45"/>
      <c r="M454" s="45"/>
      <c r="N454" s="45"/>
      <c r="O454" s="45"/>
      <c r="P454" s="45"/>
      <c r="Q454" s="45"/>
      <c r="R454" s="45"/>
      <c r="S454" s="45"/>
      <c r="T454" s="45"/>
      <c r="U454" s="45"/>
      <c r="V454" s="45"/>
      <c r="W454" s="45"/>
      <c r="X454" s="45"/>
      <c r="Y454" s="45"/>
    </row>
    <row r="455" spans="1:25" ht="13.5" customHeight="1" x14ac:dyDescent="0.3">
      <c r="A455" s="45"/>
      <c r="B455" s="45"/>
      <c r="C455" s="52"/>
      <c r="D455" s="45"/>
      <c r="E455" s="45"/>
      <c r="F455" s="45"/>
      <c r="G455" s="52"/>
      <c r="H455" s="52"/>
      <c r="I455" s="45"/>
      <c r="J455" s="45"/>
      <c r="K455" s="45"/>
      <c r="L455" s="45"/>
      <c r="M455" s="45"/>
      <c r="N455" s="45"/>
      <c r="O455" s="45"/>
      <c r="P455" s="45"/>
      <c r="Q455" s="45"/>
      <c r="R455" s="45"/>
      <c r="S455" s="45"/>
      <c r="T455" s="45"/>
      <c r="U455" s="45"/>
      <c r="V455" s="45"/>
      <c r="W455" s="45"/>
      <c r="X455" s="45"/>
      <c r="Y455" s="45"/>
    </row>
    <row r="456" spans="1:25" ht="13.5" customHeight="1" x14ac:dyDescent="0.3">
      <c r="A456" s="45"/>
      <c r="B456" s="45"/>
      <c r="C456" s="52"/>
      <c r="D456" s="45"/>
      <c r="E456" s="45"/>
      <c r="F456" s="45"/>
      <c r="G456" s="52"/>
      <c r="H456" s="52"/>
      <c r="I456" s="45"/>
      <c r="J456" s="45"/>
      <c r="K456" s="45"/>
      <c r="L456" s="45"/>
      <c r="M456" s="45"/>
      <c r="N456" s="45"/>
      <c r="O456" s="45"/>
      <c r="P456" s="45"/>
      <c r="Q456" s="45"/>
      <c r="R456" s="45"/>
      <c r="S456" s="45"/>
      <c r="T456" s="45"/>
      <c r="U456" s="45"/>
      <c r="V456" s="45"/>
      <c r="W456" s="45"/>
      <c r="X456" s="45"/>
      <c r="Y456" s="45"/>
    </row>
    <row r="457" spans="1:25" ht="13.5" customHeight="1" x14ac:dyDescent="0.3">
      <c r="A457" s="45"/>
      <c r="B457" s="45"/>
      <c r="C457" s="52"/>
      <c r="D457" s="45"/>
      <c r="E457" s="45"/>
      <c r="F457" s="45"/>
      <c r="G457" s="52"/>
      <c r="H457" s="52"/>
      <c r="I457" s="45"/>
      <c r="J457" s="45"/>
      <c r="K457" s="45"/>
      <c r="L457" s="45"/>
      <c r="M457" s="45"/>
      <c r="N457" s="45"/>
      <c r="O457" s="45"/>
      <c r="P457" s="45"/>
      <c r="Q457" s="45"/>
      <c r="R457" s="45"/>
      <c r="S457" s="45"/>
      <c r="T457" s="45"/>
      <c r="U457" s="45"/>
      <c r="V457" s="45"/>
      <c r="W457" s="45"/>
      <c r="X457" s="45"/>
      <c r="Y457" s="45"/>
    </row>
    <row r="458" spans="1:25" ht="13.5" customHeight="1" x14ac:dyDescent="0.3">
      <c r="A458" s="45"/>
      <c r="B458" s="45"/>
      <c r="C458" s="52"/>
      <c r="D458" s="45"/>
      <c r="E458" s="45"/>
      <c r="F458" s="45"/>
      <c r="G458" s="52"/>
      <c r="H458" s="52"/>
      <c r="I458" s="45"/>
      <c r="J458" s="45"/>
      <c r="K458" s="45"/>
      <c r="L458" s="45"/>
      <c r="M458" s="45"/>
      <c r="N458" s="45"/>
      <c r="O458" s="45"/>
      <c r="P458" s="45"/>
      <c r="Q458" s="45"/>
      <c r="R458" s="45"/>
      <c r="S458" s="45"/>
      <c r="T458" s="45"/>
      <c r="U458" s="45"/>
      <c r="V458" s="45"/>
      <c r="W458" s="45"/>
      <c r="X458" s="45"/>
      <c r="Y458" s="45"/>
    </row>
    <row r="459" spans="1:25" ht="13.5" customHeight="1" x14ac:dyDescent="0.3">
      <c r="A459" s="45"/>
      <c r="B459" s="45"/>
      <c r="C459" s="52"/>
      <c r="D459" s="45"/>
      <c r="E459" s="45"/>
      <c r="F459" s="45"/>
      <c r="G459" s="52"/>
      <c r="H459" s="52"/>
      <c r="I459" s="45"/>
      <c r="J459" s="45"/>
      <c r="K459" s="45"/>
      <c r="L459" s="45"/>
      <c r="M459" s="45"/>
      <c r="N459" s="45"/>
      <c r="O459" s="45"/>
      <c r="P459" s="45"/>
      <c r="Q459" s="45"/>
      <c r="R459" s="45"/>
      <c r="S459" s="45"/>
      <c r="T459" s="45"/>
      <c r="U459" s="45"/>
      <c r="V459" s="45"/>
      <c r="W459" s="45"/>
      <c r="X459" s="45"/>
      <c r="Y459" s="45"/>
    </row>
    <row r="460" spans="1:25" ht="13.5" customHeight="1" x14ac:dyDescent="0.3">
      <c r="A460" s="45"/>
      <c r="B460" s="45"/>
      <c r="C460" s="52"/>
      <c r="D460" s="45"/>
      <c r="E460" s="45"/>
      <c r="F460" s="45"/>
      <c r="G460" s="52"/>
      <c r="H460" s="52"/>
      <c r="I460" s="45"/>
      <c r="J460" s="45"/>
      <c r="K460" s="45"/>
      <c r="L460" s="45"/>
      <c r="M460" s="45"/>
      <c r="N460" s="45"/>
      <c r="O460" s="45"/>
      <c r="P460" s="45"/>
      <c r="Q460" s="45"/>
      <c r="R460" s="45"/>
      <c r="S460" s="45"/>
      <c r="T460" s="45"/>
      <c r="U460" s="45"/>
      <c r="V460" s="45"/>
      <c r="W460" s="45"/>
      <c r="X460" s="45"/>
      <c r="Y460" s="45"/>
    </row>
    <row r="461" spans="1:25" ht="13.5" customHeight="1" x14ac:dyDescent="0.3">
      <c r="A461" s="45"/>
      <c r="B461" s="45"/>
      <c r="C461" s="52"/>
      <c r="D461" s="45"/>
      <c r="E461" s="45"/>
      <c r="F461" s="45"/>
      <c r="G461" s="52"/>
      <c r="H461" s="52"/>
      <c r="I461" s="45"/>
      <c r="J461" s="45"/>
      <c r="K461" s="45"/>
      <c r="L461" s="45"/>
      <c r="M461" s="45"/>
      <c r="N461" s="45"/>
      <c r="O461" s="45"/>
      <c r="P461" s="45"/>
      <c r="Q461" s="45"/>
      <c r="R461" s="45"/>
      <c r="S461" s="45"/>
      <c r="T461" s="45"/>
      <c r="U461" s="45"/>
      <c r="V461" s="45"/>
      <c r="W461" s="45"/>
      <c r="X461" s="45"/>
      <c r="Y461" s="45"/>
    </row>
    <row r="462" spans="1:25" ht="13.5" customHeight="1" x14ac:dyDescent="0.3">
      <c r="A462" s="45"/>
      <c r="B462" s="45"/>
      <c r="C462" s="52"/>
      <c r="D462" s="45"/>
      <c r="E462" s="45"/>
      <c r="F462" s="45"/>
      <c r="G462" s="52"/>
      <c r="H462" s="52"/>
      <c r="I462" s="45"/>
      <c r="J462" s="45"/>
      <c r="K462" s="45"/>
      <c r="L462" s="45"/>
      <c r="M462" s="45"/>
      <c r="N462" s="45"/>
      <c r="O462" s="45"/>
      <c r="P462" s="45"/>
      <c r="Q462" s="45"/>
      <c r="R462" s="45"/>
      <c r="S462" s="45"/>
      <c r="T462" s="45"/>
      <c r="U462" s="45"/>
      <c r="V462" s="45"/>
      <c r="W462" s="45"/>
      <c r="X462" s="45"/>
      <c r="Y462" s="45"/>
    </row>
    <row r="463" spans="1:25" ht="13.5" customHeight="1" x14ac:dyDescent="0.3">
      <c r="A463" s="45"/>
      <c r="B463" s="45"/>
      <c r="C463" s="52"/>
      <c r="D463" s="45"/>
      <c r="E463" s="45"/>
      <c r="F463" s="45"/>
      <c r="G463" s="52"/>
      <c r="H463" s="52"/>
      <c r="I463" s="45"/>
      <c r="J463" s="45"/>
      <c r="K463" s="45"/>
      <c r="L463" s="45"/>
      <c r="M463" s="45"/>
      <c r="N463" s="45"/>
      <c r="O463" s="45"/>
      <c r="P463" s="45"/>
      <c r="Q463" s="45"/>
      <c r="R463" s="45"/>
      <c r="S463" s="45"/>
      <c r="T463" s="45"/>
      <c r="U463" s="45"/>
      <c r="V463" s="45"/>
      <c r="W463" s="45"/>
      <c r="X463" s="45"/>
      <c r="Y463" s="45"/>
    </row>
    <row r="464" spans="1:25" ht="13.5" customHeight="1" x14ac:dyDescent="0.3">
      <c r="A464" s="45"/>
      <c r="B464" s="45"/>
      <c r="C464" s="52"/>
      <c r="D464" s="45"/>
      <c r="E464" s="45"/>
      <c r="F464" s="45"/>
      <c r="G464" s="52"/>
      <c r="H464" s="52"/>
      <c r="I464" s="45"/>
      <c r="J464" s="45"/>
      <c r="K464" s="45"/>
      <c r="L464" s="45"/>
      <c r="M464" s="45"/>
      <c r="N464" s="45"/>
      <c r="O464" s="45"/>
      <c r="P464" s="45"/>
      <c r="Q464" s="45"/>
      <c r="R464" s="45"/>
      <c r="S464" s="45"/>
      <c r="T464" s="45"/>
      <c r="U464" s="45"/>
      <c r="V464" s="45"/>
      <c r="W464" s="45"/>
      <c r="X464" s="45"/>
      <c r="Y464" s="45"/>
    </row>
    <row r="465" spans="1:25" ht="13.5" customHeight="1" x14ac:dyDescent="0.3">
      <c r="A465" s="45"/>
      <c r="B465" s="45"/>
      <c r="C465" s="52"/>
      <c r="D465" s="45"/>
      <c r="E465" s="45"/>
      <c r="F465" s="45"/>
      <c r="G465" s="52"/>
      <c r="H465" s="52"/>
      <c r="I465" s="45"/>
      <c r="J465" s="45"/>
      <c r="K465" s="45"/>
      <c r="L465" s="45"/>
      <c r="M465" s="45"/>
      <c r="N465" s="45"/>
      <c r="O465" s="45"/>
      <c r="P465" s="45"/>
      <c r="Q465" s="45"/>
      <c r="R465" s="45"/>
      <c r="S465" s="45"/>
      <c r="T465" s="45"/>
      <c r="U465" s="45"/>
      <c r="V465" s="45"/>
      <c r="W465" s="45"/>
      <c r="X465" s="45"/>
      <c r="Y465" s="45"/>
    </row>
    <row r="466" spans="1:25" ht="13.5" customHeight="1" x14ac:dyDescent="0.3">
      <c r="A466" s="45"/>
      <c r="B466" s="45"/>
      <c r="C466" s="52"/>
      <c r="D466" s="45"/>
      <c r="E466" s="45"/>
      <c r="F466" s="45"/>
      <c r="G466" s="52"/>
      <c r="H466" s="52"/>
      <c r="I466" s="45"/>
      <c r="J466" s="45"/>
      <c r="K466" s="45"/>
      <c r="L466" s="45"/>
      <c r="M466" s="45"/>
      <c r="N466" s="45"/>
      <c r="O466" s="45"/>
      <c r="P466" s="45"/>
      <c r="Q466" s="45"/>
      <c r="R466" s="45"/>
      <c r="S466" s="45"/>
      <c r="T466" s="45"/>
      <c r="U466" s="45"/>
      <c r="V466" s="45"/>
      <c r="W466" s="45"/>
      <c r="X466" s="45"/>
      <c r="Y466" s="45"/>
    </row>
    <row r="467" spans="1:25" ht="13.5" customHeight="1" x14ac:dyDescent="0.3">
      <c r="A467" s="45"/>
      <c r="B467" s="45"/>
      <c r="C467" s="52"/>
      <c r="D467" s="45"/>
      <c r="E467" s="45"/>
      <c r="F467" s="45"/>
      <c r="G467" s="52"/>
      <c r="H467" s="52"/>
      <c r="I467" s="45"/>
      <c r="J467" s="45"/>
      <c r="K467" s="45"/>
      <c r="L467" s="45"/>
      <c r="M467" s="45"/>
      <c r="N467" s="45"/>
      <c r="O467" s="45"/>
      <c r="P467" s="45"/>
      <c r="Q467" s="45"/>
      <c r="R467" s="45"/>
      <c r="S467" s="45"/>
      <c r="T467" s="45"/>
      <c r="U467" s="45"/>
      <c r="V467" s="45"/>
      <c r="W467" s="45"/>
      <c r="X467" s="45"/>
      <c r="Y467" s="45"/>
    </row>
    <row r="468" spans="1:25" ht="13.5" customHeight="1" x14ac:dyDescent="0.3">
      <c r="A468" s="45"/>
      <c r="B468" s="45"/>
      <c r="C468" s="52"/>
      <c r="D468" s="45"/>
      <c r="E468" s="45"/>
      <c r="F468" s="45"/>
      <c r="G468" s="52"/>
      <c r="H468" s="52"/>
      <c r="I468" s="45"/>
      <c r="J468" s="45"/>
      <c r="K468" s="45"/>
      <c r="L468" s="45"/>
      <c r="M468" s="45"/>
      <c r="N468" s="45"/>
      <c r="O468" s="45"/>
      <c r="P468" s="45"/>
      <c r="Q468" s="45"/>
      <c r="R468" s="45"/>
      <c r="S468" s="45"/>
      <c r="T468" s="45"/>
      <c r="U468" s="45"/>
      <c r="V468" s="45"/>
      <c r="W468" s="45"/>
      <c r="X468" s="45"/>
      <c r="Y468" s="45"/>
    </row>
    <row r="469" spans="1:25" ht="13.5" customHeight="1" x14ac:dyDescent="0.3">
      <c r="A469" s="45"/>
      <c r="B469" s="45"/>
      <c r="C469" s="52"/>
      <c r="D469" s="45"/>
      <c r="E469" s="45"/>
      <c r="F469" s="45"/>
      <c r="G469" s="52"/>
      <c r="H469" s="52"/>
      <c r="I469" s="45"/>
      <c r="J469" s="45"/>
      <c r="K469" s="45"/>
      <c r="L469" s="45"/>
      <c r="M469" s="45"/>
      <c r="N469" s="45"/>
      <c r="O469" s="45"/>
      <c r="P469" s="45"/>
      <c r="Q469" s="45"/>
      <c r="R469" s="45"/>
      <c r="S469" s="45"/>
      <c r="T469" s="45"/>
      <c r="U469" s="45"/>
      <c r="V469" s="45"/>
      <c r="W469" s="45"/>
      <c r="X469" s="45"/>
      <c r="Y469" s="45"/>
    </row>
    <row r="470" spans="1:25" ht="13.5" customHeight="1" x14ac:dyDescent="0.3">
      <c r="A470" s="45"/>
      <c r="B470" s="45"/>
      <c r="C470" s="52"/>
      <c r="D470" s="45"/>
      <c r="E470" s="45"/>
      <c r="F470" s="45"/>
      <c r="G470" s="52"/>
      <c r="H470" s="52"/>
      <c r="I470" s="45"/>
      <c r="J470" s="45"/>
      <c r="K470" s="45"/>
      <c r="L470" s="45"/>
      <c r="M470" s="45"/>
      <c r="N470" s="45"/>
      <c r="O470" s="45"/>
      <c r="P470" s="45"/>
      <c r="Q470" s="45"/>
      <c r="R470" s="45"/>
      <c r="S470" s="45"/>
      <c r="T470" s="45"/>
      <c r="U470" s="45"/>
      <c r="V470" s="45"/>
      <c r="W470" s="45"/>
      <c r="X470" s="45"/>
      <c r="Y470" s="45"/>
    </row>
    <row r="471" spans="1:25" ht="13.5" customHeight="1" x14ac:dyDescent="0.3">
      <c r="A471" s="45"/>
      <c r="B471" s="45"/>
      <c r="C471" s="52"/>
      <c r="D471" s="45"/>
      <c r="E471" s="45"/>
      <c r="F471" s="45"/>
      <c r="G471" s="52"/>
      <c r="H471" s="52"/>
      <c r="I471" s="45"/>
      <c r="J471" s="45"/>
      <c r="K471" s="45"/>
      <c r="L471" s="45"/>
      <c r="M471" s="45"/>
      <c r="N471" s="45"/>
      <c r="O471" s="45"/>
      <c r="P471" s="45"/>
      <c r="Q471" s="45"/>
      <c r="R471" s="45"/>
      <c r="S471" s="45"/>
      <c r="T471" s="45"/>
      <c r="U471" s="45"/>
      <c r="V471" s="45"/>
      <c r="W471" s="45"/>
      <c r="X471" s="45"/>
      <c r="Y471" s="45"/>
    </row>
    <row r="472" spans="1:25" ht="13.5" customHeight="1" x14ac:dyDescent="0.3">
      <c r="A472" s="45"/>
      <c r="B472" s="45"/>
      <c r="C472" s="52"/>
      <c r="D472" s="45"/>
      <c r="E472" s="45"/>
      <c r="F472" s="45"/>
      <c r="G472" s="52"/>
      <c r="H472" s="52"/>
      <c r="I472" s="45"/>
      <c r="J472" s="45"/>
      <c r="K472" s="45"/>
      <c r="L472" s="45"/>
      <c r="M472" s="45"/>
      <c r="N472" s="45"/>
      <c r="O472" s="45"/>
      <c r="P472" s="45"/>
      <c r="Q472" s="45"/>
      <c r="R472" s="45"/>
      <c r="S472" s="45"/>
      <c r="T472" s="45"/>
      <c r="U472" s="45"/>
      <c r="V472" s="45"/>
      <c r="W472" s="45"/>
      <c r="X472" s="45"/>
      <c r="Y472" s="45"/>
    </row>
    <row r="473" spans="1:25" ht="13.5" customHeight="1" x14ac:dyDescent="0.3">
      <c r="A473" s="45"/>
      <c r="B473" s="45"/>
      <c r="C473" s="52"/>
      <c r="D473" s="45"/>
      <c r="E473" s="45"/>
      <c r="F473" s="45"/>
      <c r="G473" s="52"/>
      <c r="H473" s="52"/>
      <c r="I473" s="45"/>
      <c r="J473" s="45"/>
      <c r="K473" s="45"/>
      <c r="L473" s="45"/>
      <c r="M473" s="45"/>
      <c r="N473" s="45"/>
      <c r="O473" s="45"/>
      <c r="P473" s="45"/>
      <c r="Q473" s="45"/>
      <c r="R473" s="45"/>
      <c r="S473" s="45"/>
      <c r="T473" s="45"/>
      <c r="U473" s="45"/>
      <c r="V473" s="45"/>
      <c r="W473" s="45"/>
      <c r="X473" s="45"/>
      <c r="Y473" s="45"/>
    </row>
    <row r="474" spans="1:25" ht="13.5" customHeight="1" x14ac:dyDescent="0.3">
      <c r="A474" s="45"/>
      <c r="B474" s="45"/>
      <c r="C474" s="52"/>
      <c r="D474" s="45"/>
      <c r="E474" s="45"/>
      <c r="F474" s="45"/>
      <c r="G474" s="52"/>
      <c r="H474" s="52"/>
      <c r="I474" s="45"/>
      <c r="J474" s="45"/>
      <c r="K474" s="45"/>
      <c r="L474" s="45"/>
      <c r="M474" s="45"/>
      <c r="N474" s="45"/>
      <c r="O474" s="45"/>
      <c r="P474" s="45"/>
      <c r="Q474" s="45"/>
      <c r="R474" s="45"/>
      <c r="S474" s="45"/>
      <c r="T474" s="45"/>
      <c r="U474" s="45"/>
      <c r="V474" s="45"/>
      <c r="W474" s="45"/>
      <c r="X474" s="45"/>
      <c r="Y474" s="45"/>
    </row>
    <row r="475" spans="1:25" ht="13.5" customHeight="1" x14ac:dyDescent="0.3">
      <c r="A475" s="45"/>
      <c r="B475" s="45"/>
      <c r="C475" s="52"/>
      <c r="D475" s="45"/>
      <c r="E475" s="45"/>
      <c r="F475" s="45"/>
      <c r="G475" s="52"/>
      <c r="H475" s="52"/>
      <c r="I475" s="45"/>
      <c r="J475" s="45"/>
      <c r="K475" s="45"/>
      <c r="L475" s="45"/>
      <c r="M475" s="45"/>
      <c r="N475" s="45"/>
      <c r="O475" s="45"/>
      <c r="P475" s="45"/>
      <c r="Q475" s="45"/>
      <c r="R475" s="45"/>
      <c r="S475" s="45"/>
      <c r="T475" s="45"/>
      <c r="U475" s="45"/>
      <c r="V475" s="45"/>
      <c r="W475" s="45"/>
      <c r="X475" s="45"/>
      <c r="Y475" s="45"/>
    </row>
    <row r="476" spans="1:25" ht="13.5" customHeight="1" x14ac:dyDescent="0.3">
      <c r="A476" s="45"/>
      <c r="B476" s="45"/>
      <c r="C476" s="52"/>
      <c r="D476" s="45"/>
      <c r="E476" s="45"/>
      <c r="F476" s="45"/>
      <c r="G476" s="52"/>
      <c r="H476" s="52"/>
      <c r="I476" s="45"/>
      <c r="J476" s="45"/>
      <c r="K476" s="45"/>
      <c r="L476" s="45"/>
      <c r="M476" s="45"/>
      <c r="N476" s="45"/>
      <c r="O476" s="45"/>
      <c r="P476" s="45"/>
      <c r="Q476" s="45"/>
      <c r="R476" s="45"/>
      <c r="S476" s="45"/>
      <c r="T476" s="45"/>
      <c r="U476" s="45"/>
      <c r="V476" s="45"/>
      <c r="W476" s="45"/>
      <c r="X476" s="45"/>
      <c r="Y476" s="45"/>
    </row>
    <row r="477" spans="1:25" ht="13.5" customHeight="1" x14ac:dyDescent="0.3">
      <c r="A477" s="45"/>
      <c r="B477" s="45"/>
      <c r="C477" s="52"/>
      <c r="D477" s="45"/>
      <c r="E477" s="45"/>
      <c r="F477" s="45"/>
      <c r="G477" s="52"/>
      <c r="H477" s="52"/>
      <c r="I477" s="45"/>
      <c r="J477" s="45"/>
      <c r="K477" s="45"/>
      <c r="L477" s="45"/>
      <c r="M477" s="45"/>
      <c r="N477" s="45"/>
      <c r="O477" s="45"/>
      <c r="P477" s="45"/>
      <c r="Q477" s="45"/>
      <c r="R477" s="45"/>
      <c r="S477" s="45"/>
      <c r="T477" s="45"/>
      <c r="U477" s="45"/>
      <c r="V477" s="45"/>
      <c r="W477" s="45"/>
      <c r="X477" s="45"/>
      <c r="Y477" s="45"/>
    </row>
    <row r="478" spans="1:25" ht="13.5" customHeight="1" x14ac:dyDescent="0.3">
      <c r="A478" s="45"/>
      <c r="B478" s="45"/>
      <c r="C478" s="52"/>
      <c r="D478" s="45"/>
      <c r="E478" s="45"/>
      <c r="F478" s="45"/>
      <c r="G478" s="52"/>
      <c r="H478" s="52"/>
      <c r="I478" s="45"/>
      <c r="J478" s="45"/>
      <c r="K478" s="45"/>
      <c r="L478" s="45"/>
      <c r="M478" s="45"/>
      <c r="N478" s="45"/>
      <c r="O478" s="45"/>
      <c r="P478" s="45"/>
      <c r="Q478" s="45"/>
      <c r="R478" s="45"/>
      <c r="S478" s="45"/>
      <c r="T478" s="45"/>
      <c r="U478" s="45"/>
      <c r="V478" s="45"/>
      <c r="W478" s="45"/>
      <c r="X478" s="45"/>
      <c r="Y478" s="45"/>
    </row>
    <row r="479" spans="1:25" ht="13.5" customHeight="1" x14ac:dyDescent="0.3">
      <c r="A479" s="45"/>
      <c r="B479" s="45"/>
      <c r="C479" s="52"/>
      <c r="D479" s="45"/>
      <c r="E479" s="45"/>
      <c r="F479" s="45"/>
      <c r="G479" s="52"/>
      <c r="H479" s="52"/>
      <c r="I479" s="45"/>
      <c r="J479" s="45"/>
      <c r="K479" s="45"/>
      <c r="L479" s="45"/>
      <c r="M479" s="45"/>
      <c r="N479" s="45"/>
      <c r="O479" s="45"/>
      <c r="P479" s="45"/>
      <c r="Q479" s="45"/>
      <c r="R479" s="45"/>
      <c r="S479" s="45"/>
      <c r="T479" s="45"/>
      <c r="U479" s="45"/>
      <c r="V479" s="45"/>
      <c r="W479" s="45"/>
      <c r="X479" s="45"/>
      <c r="Y479" s="45"/>
    </row>
    <row r="480" spans="1:25" ht="13.5" customHeight="1" x14ac:dyDescent="0.3">
      <c r="A480" s="45"/>
      <c r="B480" s="45"/>
      <c r="C480" s="52"/>
      <c r="D480" s="45"/>
      <c r="E480" s="45"/>
      <c r="F480" s="45"/>
      <c r="G480" s="52"/>
      <c r="H480" s="52"/>
      <c r="I480" s="45"/>
      <c r="J480" s="45"/>
      <c r="K480" s="45"/>
      <c r="L480" s="45"/>
      <c r="M480" s="45"/>
      <c r="N480" s="45"/>
      <c r="O480" s="45"/>
      <c r="P480" s="45"/>
      <c r="Q480" s="45"/>
      <c r="R480" s="45"/>
      <c r="S480" s="45"/>
      <c r="T480" s="45"/>
      <c r="U480" s="45"/>
      <c r="V480" s="45"/>
      <c r="W480" s="45"/>
      <c r="X480" s="45"/>
      <c r="Y480" s="45"/>
    </row>
    <row r="481" spans="1:25" ht="13.5" customHeight="1" x14ac:dyDescent="0.3">
      <c r="A481" s="45"/>
      <c r="B481" s="45"/>
      <c r="C481" s="52"/>
      <c r="D481" s="45"/>
      <c r="E481" s="45"/>
      <c r="F481" s="45"/>
      <c r="G481" s="52"/>
      <c r="H481" s="52"/>
      <c r="I481" s="45"/>
      <c r="J481" s="45"/>
      <c r="K481" s="45"/>
      <c r="L481" s="45"/>
      <c r="M481" s="45"/>
      <c r="N481" s="45"/>
      <c r="O481" s="45"/>
      <c r="P481" s="45"/>
      <c r="Q481" s="45"/>
      <c r="R481" s="45"/>
      <c r="S481" s="45"/>
      <c r="T481" s="45"/>
      <c r="U481" s="45"/>
      <c r="V481" s="45"/>
      <c r="W481" s="45"/>
      <c r="X481" s="45"/>
      <c r="Y481" s="45"/>
    </row>
    <row r="482" spans="1:25" ht="13.5" customHeight="1" x14ac:dyDescent="0.3">
      <c r="A482" s="45"/>
      <c r="B482" s="45"/>
      <c r="C482" s="52"/>
      <c r="D482" s="45"/>
      <c r="E482" s="45"/>
      <c r="F482" s="45"/>
      <c r="G482" s="52"/>
      <c r="H482" s="52"/>
      <c r="I482" s="45"/>
      <c r="J482" s="45"/>
      <c r="K482" s="45"/>
      <c r="L482" s="45"/>
      <c r="M482" s="45"/>
      <c r="N482" s="45"/>
      <c r="O482" s="45"/>
      <c r="P482" s="45"/>
      <c r="Q482" s="45"/>
      <c r="R482" s="45"/>
      <c r="S482" s="45"/>
      <c r="T482" s="45"/>
      <c r="U482" s="45"/>
      <c r="V482" s="45"/>
      <c r="W482" s="45"/>
      <c r="X482" s="45"/>
      <c r="Y482" s="45"/>
    </row>
    <row r="483" spans="1:25" ht="13.5" customHeight="1" x14ac:dyDescent="0.3">
      <c r="A483" s="45"/>
      <c r="B483" s="45"/>
      <c r="C483" s="52"/>
      <c r="D483" s="45"/>
      <c r="E483" s="45"/>
      <c r="F483" s="45"/>
      <c r="G483" s="52"/>
      <c r="H483" s="52"/>
      <c r="I483" s="45"/>
      <c r="J483" s="45"/>
      <c r="K483" s="45"/>
      <c r="L483" s="45"/>
      <c r="M483" s="45"/>
      <c r="N483" s="45"/>
      <c r="O483" s="45"/>
      <c r="P483" s="45"/>
      <c r="Q483" s="45"/>
      <c r="R483" s="45"/>
      <c r="S483" s="45"/>
      <c r="T483" s="45"/>
      <c r="U483" s="45"/>
      <c r="V483" s="45"/>
      <c r="W483" s="45"/>
      <c r="X483" s="45"/>
      <c r="Y483" s="45"/>
    </row>
    <row r="484" spans="1:25" ht="13.5" customHeight="1" x14ac:dyDescent="0.3">
      <c r="A484" s="45"/>
      <c r="B484" s="45"/>
      <c r="C484" s="52"/>
      <c r="D484" s="45"/>
      <c r="E484" s="45"/>
      <c r="F484" s="45"/>
      <c r="G484" s="52"/>
      <c r="H484" s="52"/>
      <c r="I484" s="45"/>
      <c r="J484" s="45"/>
      <c r="K484" s="45"/>
      <c r="L484" s="45"/>
      <c r="M484" s="45"/>
      <c r="N484" s="45"/>
      <c r="O484" s="45"/>
      <c r="P484" s="45"/>
      <c r="Q484" s="45"/>
      <c r="R484" s="45"/>
      <c r="S484" s="45"/>
      <c r="T484" s="45"/>
      <c r="U484" s="45"/>
      <c r="V484" s="45"/>
      <c r="W484" s="45"/>
      <c r="X484" s="45"/>
      <c r="Y484" s="45"/>
    </row>
    <row r="485" spans="1:25" ht="13.5" customHeight="1" x14ac:dyDescent="0.3">
      <c r="A485" s="45"/>
      <c r="B485" s="45"/>
      <c r="C485" s="52"/>
      <c r="D485" s="45"/>
      <c r="E485" s="45"/>
      <c r="F485" s="45"/>
      <c r="G485" s="52"/>
      <c r="H485" s="52"/>
      <c r="I485" s="45"/>
      <c r="J485" s="45"/>
      <c r="K485" s="45"/>
      <c r="L485" s="45"/>
      <c r="M485" s="45"/>
      <c r="N485" s="45"/>
      <c r="O485" s="45"/>
      <c r="P485" s="45"/>
      <c r="Q485" s="45"/>
      <c r="R485" s="45"/>
      <c r="S485" s="45"/>
      <c r="T485" s="45"/>
      <c r="U485" s="45"/>
      <c r="V485" s="45"/>
      <c r="W485" s="45"/>
      <c r="X485" s="45"/>
      <c r="Y485" s="45"/>
    </row>
    <row r="486" spans="1:25" ht="13.5" customHeight="1" x14ac:dyDescent="0.3">
      <c r="A486" s="45"/>
      <c r="B486" s="45"/>
      <c r="C486" s="52"/>
      <c r="D486" s="45"/>
      <c r="E486" s="45"/>
      <c r="F486" s="45"/>
      <c r="G486" s="52"/>
      <c r="H486" s="52"/>
      <c r="I486" s="45"/>
      <c r="J486" s="45"/>
      <c r="K486" s="45"/>
      <c r="L486" s="45"/>
      <c r="M486" s="45"/>
      <c r="N486" s="45"/>
      <c r="O486" s="45"/>
      <c r="P486" s="45"/>
      <c r="Q486" s="45"/>
      <c r="R486" s="45"/>
      <c r="S486" s="45"/>
      <c r="T486" s="45"/>
      <c r="U486" s="45"/>
      <c r="V486" s="45"/>
      <c r="W486" s="45"/>
      <c r="X486" s="45"/>
      <c r="Y486" s="45"/>
    </row>
    <row r="487" spans="1:25" ht="13.5" customHeight="1" x14ac:dyDescent="0.3">
      <c r="A487" s="45"/>
      <c r="B487" s="45"/>
      <c r="C487" s="52"/>
      <c r="D487" s="45"/>
      <c r="E487" s="45"/>
      <c r="F487" s="45"/>
      <c r="G487" s="52"/>
      <c r="H487" s="52"/>
      <c r="I487" s="45"/>
      <c r="J487" s="45"/>
      <c r="K487" s="45"/>
      <c r="L487" s="45"/>
      <c r="M487" s="45"/>
      <c r="N487" s="45"/>
      <c r="O487" s="45"/>
      <c r="P487" s="45"/>
      <c r="Q487" s="45"/>
      <c r="R487" s="45"/>
      <c r="S487" s="45"/>
      <c r="T487" s="45"/>
      <c r="U487" s="45"/>
      <c r="V487" s="45"/>
      <c r="W487" s="45"/>
      <c r="X487" s="45"/>
      <c r="Y487" s="45"/>
    </row>
    <row r="488" spans="1:25" ht="13.5" customHeight="1" x14ac:dyDescent="0.3">
      <c r="A488" s="45"/>
      <c r="B488" s="45"/>
      <c r="C488" s="52"/>
      <c r="D488" s="45"/>
      <c r="E488" s="45"/>
      <c r="F488" s="45"/>
      <c r="G488" s="52"/>
      <c r="H488" s="52"/>
      <c r="I488" s="45"/>
      <c r="J488" s="45"/>
      <c r="K488" s="45"/>
      <c r="L488" s="45"/>
      <c r="M488" s="45"/>
      <c r="N488" s="45"/>
      <c r="O488" s="45"/>
      <c r="P488" s="45"/>
      <c r="Q488" s="45"/>
      <c r="R488" s="45"/>
      <c r="S488" s="45"/>
      <c r="T488" s="45"/>
      <c r="U488" s="45"/>
      <c r="V488" s="45"/>
      <c r="W488" s="45"/>
      <c r="X488" s="45"/>
      <c r="Y488" s="45"/>
    </row>
    <row r="489" spans="1:25" ht="13.5" customHeight="1" x14ac:dyDescent="0.3">
      <c r="A489" s="45"/>
      <c r="B489" s="45"/>
      <c r="C489" s="52"/>
      <c r="D489" s="45"/>
      <c r="E489" s="45"/>
      <c r="F489" s="45"/>
      <c r="G489" s="52"/>
      <c r="H489" s="52"/>
      <c r="I489" s="45"/>
      <c r="J489" s="45"/>
      <c r="K489" s="45"/>
      <c r="L489" s="45"/>
      <c r="M489" s="45"/>
      <c r="N489" s="45"/>
      <c r="O489" s="45"/>
      <c r="P489" s="45"/>
      <c r="Q489" s="45"/>
      <c r="R489" s="45"/>
      <c r="S489" s="45"/>
      <c r="T489" s="45"/>
      <c r="U489" s="45"/>
      <c r="V489" s="45"/>
      <c r="W489" s="45"/>
      <c r="X489" s="45"/>
      <c r="Y489" s="45"/>
    </row>
    <row r="490" spans="1:25" ht="13.5" customHeight="1" x14ac:dyDescent="0.3">
      <c r="A490" s="45"/>
      <c r="B490" s="45"/>
      <c r="C490" s="52"/>
      <c r="D490" s="45"/>
      <c r="E490" s="45"/>
      <c r="F490" s="45"/>
      <c r="G490" s="52"/>
      <c r="H490" s="52"/>
      <c r="I490" s="45"/>
      <c r="J490" s="45"/>
      <c r="K490" s="45"/>
      <c r="L490" s="45"/>
      <c r="M490" s="45"/>
      <c r="N490" s="45"/>
      <c r="O490" s="45"/>
      <c r="P490" s="45"/>
      <c r="Q490" s="45"/>
      <c r="R490" s="45"/>
      <c r="S490" s="45"/>
      <c r="T490" s="45"/>
      <c r="U490" s="45"/>
      <c r="V490" s="45"/>
      <c r="W490" s="45"/>
      <c r="X490" s="45"/>
      <c r="Y490" s="45"/>
    </row>
    <row r="491" spans="1:25" ht="13.5" customHeight="1" x14ac:dyDescent="0.3">
      <c r="A491" s="45"/>
      <c r="B491" s="45"/>
      <c r="C491" s="52"/>
      <c r="D491" s="45"/>
      <c r="E491" s="45"/>
      <c r="F491" s="45"/>
      <c r="G491" s="52"/>
      <c r="H491" s="52"/>
      <c r="I491" s="45"/>
      <c r="J491" s="45"/>
      <c r="K491" s="45"/>
      <c r="L491" s="45"/>
      <c r="M491" s="45"/>
      <c r="N491" s="45"/>
      <c r="O491" s="45"/>
      <c r="P491" s="45"/>
      <c r="Q491" s="45"/>
      <c r="R491" s="45"/>
      <c r="S491" s="45"/>
      <c r="T491" s="45"/>
      <c r="U491" s="45"/>
      <c r="V491" s="45"/>
      <c r="W491" s="45"/>
      <c r="X491" s="45"/>
      <c r="Y491" s="45"/>
    </row>
    <row r="492" spans="1:25" ht="13.5" customHeight="1" x14ac:dyDescent="0.3">
      <c r="A492" s="45"/>
      <c r="B492" s="45"/>
      <c r="C492" s="52"/>
      <c r="D492" s="45"/>
      <c r="E492" s="45"/>
      <c r="F492" s="45"/>
      <c r="G492" s="52"/>
      <c r="H492" s="52"/>
      <c r="I492" s="45"/>
      <c r="J492" s="45"/>
      <c r="K492" s="45"/>
      <c r="L492" s="45"/>
      <c r="M492" s="45"/>
      <c r="N492" s="45"/>
      <c r="O492" s="45"/>
      <c r="P492" s="45"/>
      <c r="Q492" s="45"/>
      <c r="R492" s="45"/>
      <c r="S492" s="45"/>
      <c r="T492" s="45"/>
      <c r="U492" s="45"/>
      <c r="V492" s="45"/>
      <c r="W492" s="45"/>
      <c r="X492" s="45"/>
      <c r="Y492" s="45"/>
    </row>
    <row r="493" spans="1:25" ht="13.5" customHeight="1" x14ac:dyDescent="0.3">
      <c r="A493" s="45"/>
      <c r="B493" s="45"/>
      <c r="C493" s="52"/>
      <c r="D493" s="45"/>
      <c r="E493" s="45"/>
      <c r="F493" s="45"/>
      <c r="G493" s="52"/>
      <c r="H493" s="52"/>
      <c r="I493" s="45"/>
      <c r="J493" s="45"/>
      <c r="K493" s="45"/>
      <c r="L493" s="45"/>
      <c r="M493" s="45"/>
      <c r="N493" s="45"/>
      <c r="O493" s="45"/>
      <c r="P493" s="45"/>
      <c r="Q493" s="45"/>
      <c r="R493" s="45"/>
      <c r="S493" s="45"/>
      <c r="T493" s="45"/>
      <c r="U493" s="45"/>
      <c r="V493" s="45"/>
      <c r="W493" s="45"/>
      <c r="X493" s="45"/>
      <c r="Y493" s="45"/>
    </row>
    <row r="494" spans="1:25" ht="13.5" customHeight="1" x14ac:dyDescent="0.3">
      <c r="A494" s="45"/>
      <c r="B494" s="45"/>
      <c r="C494" s="52"/>
      <c r="D494" s="45"/>
      <c r="E494" s="45"/>
      <c r="F494" s="45"/>
      <c r="G494" s="52"/>
      <c r="H494" s="52"/>
      <c r="I494" s="45"/>
      <c r="J494" s="45"/>
      <c r="K494" s="45"/>
      <c r="L494" s="45"/>
      <c r="M494" s="45"/>
      <c r="N494" s="45"/>
      <c r="O494" s="45"/>
      <c r="P494" s="45"/>
      <c r="Q494" s="45"/>
      <c r="R494" s="45"/>
      <c r="S494" s="45"/>
      <c r="T494" s="45"/>
      <c r="U494" s="45"/>
      <c r="V494" s="45"/>
      <c r="W494" s="45"/>
      <c r="X494" s="45"/>
      <c r="Y494" s="45"/>
    </row>
    <row r="495" spans="1:25" ht="13.5" customHeight="1" x14ac:dyDescent="0.3">
      <c r="A495" s="45"/>
      <c r="B495" s="45"/>
      <c r="C495" s="52"/>
      <c r="D495" s="45"/>
      <c r="E495" s="45"/>
      <c r="F495" s="45"/>
      <c r="G495" s="52"/>
      <c r="H495" s="52"/>
      <c r="I495" s="45"/>
      <c r="J495" s="45"/>
      <c r="K495" s="45"/>
      <c r="L495" s="45"/>
      <c r="M495" s="45"/>
      <c r="N495" s="45"/>
      <c r="O495" s="45"/>
      <c r="P495" s="45"/>
      <c r="Q495" s="45"/>
      <c r="R495" s="45"/>
      <c r="S495" s="45"/>
      <c r="T495" s="45"/>
      <c r="U495" s="45"/>
      <c r="V495" s="45"/>
      <c r="W495" s="45"/>
      <c r="X495" s="45"/>
      <c r="Y495" s="45"/>
    </row>
    <row r="496" spans="1:25" ht="13.5" customHeight="1" x14ac:dyDescent="0.3">
      <c r="A496" s="45"/>
      <c r="B496" s="45"/>
      <c r="C496" s="52"/>
      <c r="D496" s="45"/>
      <c r="E496" s="45"/>
      <c r="F496" s="45"/>
      <c r="G496" s="52"/>
      <c r="H496" s="52"/>
      <c r="I496" s="45"/>
      <c r="J496" s="45"/>
      <c r="K496" s="45"/>
      <c r="L496" s="45"/>
      <c r="M496" s="45"/>
      <c r="N496" s="45"/>
      <c r="O496" s="45"/>
      <c r="P496" s="45"/>
      <c r="Q496" s="45"/>
      <c r="R496" s="45"/>
      <c r="S496" s="45"/>
      <c r="T496" s="45"/>
      <c r="U496" s="45"/>
      <c r="V496" s="45"/>
      <c r="W496" s="45"/>
      <c r="X496" s="45"/>
      <c r="Y496" s="45"/>
    </row>
    <row r="497" spans="1:25" ht="13.5" customHeight="1" x14ac:dyDescent="0.3">
      <c r="A497" s="45"/>
      <c r="B497" s="45"/>
      <c r="C497" s="52"/>
      <c r="D497" s="45"/>
      <c r="E497" s="45"/>
      <c r="F497" s="45"/>
      <c r="G497" s="52"/>
      <c r="H497" s="52"/>
      <c r="I497" s="45"/>
      <c r="J497" s="45"/>
      <c r="K497" s="45"/>
      <c r="L497" s="45"/>
      <c r="M497" s="45"/>
      <c r="N497" s="45"/>
      <c r="O497" s="45"/>
      <c r="P497" s="45"/>
      <c r="Q497" s="45"/>
      <c r="R497" s="45"/>
      <c r="S497" s="45"/>
      <c r="T497" s="45"/>
      <c r="U497" s="45"/>
      <c r="V497" s="45"/>
      <c r="W497" s="45"/>
      <c r="X497" s="45"/>
      <c r="Y497" s="45"/>
    </row>
    <row r="498" spans="1:25" ht="13.5" customHeight="1" x14ac:dyDescent="0.3">
      <c r="A498" s="45"/>
      <c r="B498" s="45"/>
      <c r="C498" s="52"/>
      <c r="D498" s="45"/>
      <c r="E498" s="45"/>
      <c r="F498" s="45"/>
      <c r="G498" s="52"/>
      <c r="H498" s="52"/>
      <c r="I498" s="45"/>
      <c r="J498" s="45"/>
      <c r="K498" s="45"/>
      <c r="L498" s="45"/>
      <c r="M498" s="45"/>
      <c r="N498" s="45"/>
      <c r="O498" s="45"/>
      <c r="P498" s="45"/>
      <c r="Q498" s="45"/>
      <c r="R498" s="45"/>
      <c r="S498" s="45"/>
      <c r="T498" s="45"/>
      <c r="U498" s="45"/>
      <c r="V498" s="45"/>
      <c r="W498" s="45"/>
      <c r="X498" s="45"/>
      <c r="Y498" s="45"/>
    </row>
    <row r="499" spans="1:25" ht="13.5" customHeight="1" x14ac:dyDescent="0.3">
      <c r="A499" s="45"/>
      <c r="B499" s="45"/>
      <c r="C499" s="52"/>
      <c r="D499" s="45"/>
      <c r="E499" s="45"/>
      <c r="F499" s="45"/>
      <c r="G499" s="52"/>
      <c r="H499" s="52"/>
      <c r="I499" s="45"/>
      <c r="J499" s="45"/>
      <c r="K499" s="45"/>
      <c r="L499" s="45"/>
      <c r="M499" s="45"/>
      <c r="N499" s="45"/>
      <c r="O499" s="45"/>
      <c r="P499" s="45"/>
      <c r="Q499" s="45"/>
      <c r="R499" s="45"/>
      <c r="S499" s="45"/>
      <c r="T499" s="45"/>
      <c r="U499" s="45"/>
      <c r="V499" s="45"/>
      <c r="W499" s="45"/>
      <c r="X499" s="45"/>
      <c r="Y499" s="45"/>
    </row>
    <row r="500" spans="1:25" ht="13.5" customHeight="1" x14ac:dyDescent="0.3">
      <c r="A500" s="45"/>
      <c r="B500" s="45"/>
      <c r="C500" s="52"/>
      <c r="D500" s="45"/>
      <c r="E500" s="45"/>
      <c r="F500" s="45"/>
      <c r="G500" s="52"/>
      <c r="H500" s="52"/>
      <c r="I500" s="45"/>
      <c r="J500" s="45"/>
      <c r="K500" s="45"/>
      <c r="L500" s="45"/>
      <c r="M500" s="45"/>
      <c r="N500" s="45"/>
      <c r="O500" s="45"/>
      <c r="P500" s="45"/>
      <c r="Q500" s="45"/>
      <c r="R500" s="45"/>
      <c r="S500" s="45"/>
      <c r="T500" s="45"/>
      <c r="U500" s="45"/>
      <c r="V500" s="45"/>
      <c r="W500" s="45"/>
      <c r="X500" s="45"/>
      <c r="Y500" s="45"/>
    </row>
    <row r="501" spans="1:25" ht="13.5" customHeight="1" x14ac:dyDescent="0.3">
      <c r="A501" s="45"/>
      <c r="B501" s="45"/>
      <c r="C501" s="52"/>
      <c r="D501" s="45"/>
      <c r="E501" s="45"/>
      <c r="F501" s="45"/>
      <c r="G501" s="52"/>
      <c r="H501" s="52"/>
      <c r="I501" s="45"/>
      <c r="J501" s="45"/>
      <c r="K501" s="45"/>
      <c r="L501" s="45"/>
      <c r="M501" s="45"/>
      <c r="N501" s="45"/>
      <c r="O501" s="45"/>
      <c r="P501" s="45"/>
      <c r="Q501" s="45"/>
      <c r="R501" s="45"/>
      <c r="S501" s="45"/>
      <c r="T501" s="45"/>
      <c r="U501" s="45"/>
      <c r="V501" s="45"/>
      <c r="W501" s="45"/>
      <c r="X501" s="45"/>
      <c r="Y501" s="45"/>
    </row>
    <row r="502" spans="1:25" ht="13.5" customHeight="1" x14ac:dyDescent="0.3">
      <c r="A502" s="45"/>
      <c r="B502" s="45"/>
      <c r="C502" s="52"/>
      <c r="D502" s="45"/>
      <c r="E502" s="45"/>
      <c r="F502" s="45"/>
      <c r="G502" s="52"/>
      <c r="H502" s="52"/>
      <c r="I502" s="45"/>
      <c r="J502" s="45"/>
      <c r="K502" s="45"/>
      <c r="L502" s="45"/>
      <c r="M502" s="45"/>
      <c r="N502" s="45"/>
      <c r="O502" s="45"/>
      <c r="P502" s="45"/>
      <c r="Q502" s="45"/>
      <c r="R502" s="45"/>
      <c r="S502" s="45"/>
      <c r="T502" s="45"/>
      <c r="U502" s="45"/>
      <c r="V502" s="45"/>
      <c r="W502" s="45"/>
      <c r="X502" s="45"/>
      <c r="Y502" s="45"/>
    </row>
    <row r="503" spans="1:25" ht="13.5" customHeight="1" x14ac:dyDescent="0.3">
      <c r="A503" s="45"/>
      <c r="B503" s="45"/>
      <c r="C503" s="52"/>
      <c r="D503" s="45"/>
      <c r="E503" s="45"/>
      <c r="F503" s="45"/>
      <c r="G503" s="52"/>
      <c r="H503" s="52"/>
      <c r="I503" s="45"/>
      <c r="J503" s="45"/>
      <c r="K503" s="45"/>
      <c r="L503" s="45"/>
      <c r="M503" s="45"/>
      <c r="N503" s="45"/>
      <c r="O503" s="45"/>
      <c r="P503" s="45"/>
      <c r="Q503" s="45"/>
      <c r="R503" s="45"/>
      <c r="S503" s="45"/>
      <c r="T503" s="45"/>
      <c r="U503" s="45"/>
      <c r="V503" s="45"/>
      <c r="W503" s="45"/>
      <c r="X503" s="45"/>
      <c r="Y503" s="45"/>
    </row>
    <row r="504" spans="1:25" ht="13.5" customHeight="1" x14ac:dyDescent="0.3">
      <c r="A504" s="45"/>
      <c r="B504" s="45"/>
      <c r="C504" s="52"/>
      <c r="D504" s="45"/>
      <c r="E504" s="45"/>
      <c r="F504" s="45"/>
      <c r="G504" s="52"/>
      <c r="H504" s="52"/>
      <c r="I504" s="45"/>
      <c r="J504" s="45"/>
      <c r="K504" s="45"/>
      <c r="L504" s="45"/>
      <c r="M504" s="45"/>
      <c r="N504" s="45"/>
      <c r="O504" s="45"/>
      <c r="P504" s="45"/>
      <c r="Q504" s="45"/>
      <c r="R504" s="45"/>
      <c r="S504" s="45"/>
      <c r="T504" s="45"/>
      <c r="U504" s="45"/>
      <c r="V504" s="45"/>
      <c r="W504" s="45"/>
      <c r="X504" s="45"/>
      <c r="Y504" s="45"/>
    </row>
    <row r="505" spans="1:25" ht="13.5" customHeight="1" x14ac:dyDescent="0.3">
      <c r="A505" s="45"/>
      <c r="B505" s="45"/>
      <c r="C505" s="52"/>
      <c r="D505" s="45"/>
      <c r="E505" s="45"/>
      <c r="F505" s="45"/>
      <c r="G505" s="52"/>
      <c r="H505" s="52"/>
      <c r="I505" s="45"/>
      <c r="J505" s="45"/>
      <c r="K505" s="45"/>
      <c r="L505" s="45"/>
      <c r="M505" s="45"/>
      <c r="N505" s="45"/>
      <c r="O505" s="45"/>
      <c r="P505" s="45"/>
      <c r="Q505" s="45"/>
      <c r="R505" s="45"/>
      <c r="S505" s="45"/>
      <c r="T505" s="45"/>
      <c r="U505" s="45"/>
      <c r="V505" s="45"/>
      <c r="W505" s="45"/>
      <c r="X505" s="45"/>
      <c r="Y505" s="45"/>
    </row>
    <row r="506" spans="1:25" ht="13.5" customHeight="1" x14ac:dyDescent="0.3">
      <c r="A506" s="45"/>
      <c r="B506" s="45"/>
      <c r="C506" s="52"/>
      <c r="D506" s="45"/>
      <c r="E506" s="45"/>
      <c r="F506" s="45"/>
      <c r="G506" s="52"/>
      <c r="H506" s="52"/>
      <c r="I506" s="45"/>
      <c r="J506" s="45"/>
      <c r="K506" s="45"/>
      <c r="L506" s="45"/>
      <c r="M506" s="45"/>
      <c r="N506" s="45"/>
      <c r="O506" s="45"/>
      <c r="P506" s="45"/>
      <c r="Q506" s="45"/>
      <c r="R506" s="45"/>
      <c r="S506" s="45"/>
      <c r="T506" s="45"/>
      <c r="U506" s="45"/>
      <c r="V506" s="45"/>
      <c r="W506" s="45"/>
      <c r="X506" s="45"/>
      <c r="Y506" s="45"/>
    </row>
    <row r="507" spans="1:25" ht="13.5" customHeight="1" x14ac:dyDescent="0.3">
      <c r="A507" s="45"/>
      <c r="B507" s="45"/>
      <c r="C507" s="52"/>
      <c r="D507" s="45"/>
      <c r="E507" s="45"/>
      <c r="F507" s="45"/>
      <c r="G507" s="52"/>
      <c r="H507" s="52"/>
      <c r="I507" s="45"/>
      <c r="J507" s="45"/>
      <c r="K507" s="45"/>
      <c r="L507" s="45"/>
      <c r="M507" s="45"/>
      <c r="N507" s="45"/>
      <c r="O507" s="45"/>
      <c r="P507" s="45"/>
      <c r="Q507" s="45"/>
      <c r="R507" s="45"/>
      <c r="S507" s="45"/>
      <c r="T507" s="45"/>
      <c r="U507" s="45"/>
      <c r="V507" s="45"/>
      <c r="W507" s="45"/>
      <c r="X507" s="45"/>
      <c r="Y507" s="45"/>
    </row>
    <row r="508" spans="1:25" ht="13.5" customHeight="1" x14ac:dyDescent="0.3">
      <c r="A508" s="45"/>
      <c r="B508" s="45"/>
      <c r="C508" s="52"/>
      <c r="D508" s="45"/>
      <c r="E508" s="45"/>
      <c r="F508" s="45"/>
      <c r="G508" s="52"/>
      <c r="H508" s="52"/>
      <c r="I508" s="45"/>
      <c r="J508" s="45"/>
      <c r="K508" s="45"/>
      <c r="L508" s="45"/>
      <c r="M508" s="45"/>
      <c r="N508" s="45"/>
      <c r="O508" s="45"/>
      <c r="P508" s="45"/>
      <c r="Q508" s="45"/>
      <c r="R508" s="45"/>
      <c r="S508" s="45"/>
      <c r="T508" s="45"/>
      <c r="U508" s="45"/>
      <c r="V508" s="45"/>
      <c r="W508" s="45"/>
      <c r="X508" s="45"/>
      <c r="Y508" s="45"/>
    </row>
    <row r="509" spans="1:25" ht="13.5" customHeight="1" x14ac:dyDescent="0.3">
      <c r="A509" s="45"/>
      <c r="B509" s="45"/>
      <c r="C509" s="52"/>
      <c r="D509" s="45"/>
      <c r="E509" s="45"/>
      <c r="F509" s="45"/>
      <c r="G509" s="52"/>
      <c r="H509" s="52"/>
      <c r="I509" s="45"/>
      <c r="J509" s="45"/>
      <c r="K509" s="45"/>
      <c r="L509" s="45"/>
      <c r="M509" s="45"/>
      <c r="N509" s="45"/>
      <c r="O509" s="45"/>
      <c r="P509" s="45"/>
      <c r="Q509" s="45"/>
      <c r="R509" s="45"/>
      <c r="S509" s="45"/>
      <c r="T509" s="45"/>
      <c r="U509" s="45"/>
      <c r="V509" s="45"/>
      <c r="W509" s="45"/>
      <c r="X509" s="45"/>
      <c r="Y509" s="45"/>
    </row>
    <row r="510" spans="1:25" ht="13.5" customHeight="1" x14ac:dyDescent="0.3">
      <c r="A510" s="45"/>
      <c r="B510" s="45"/>
      <c r="C510" s="52"/>
      <c r="D510" s="45"/>
      <c r="E510" s="45"/>
      <c r="F510" s="45"/>
      <c r="G510" s="52"/>
      <c r="H510" s="52"/>
      <c r="I510" s="45"/>
      <c r="J510" s="45"/>
      <c r="K510" s="45"/>
      <c r="L510" s="45"/>
      <c r="M510" s="45"/>
      <c r="N510" s="45"/>
      <c r="O510" s="45"/>
      <c r="P510" s="45"/>
      <c r="Q510" s="45"/>
      <c r="R510" s="45"/>
      <c r="S510" s="45"/>
      <c r="T510" s="45"/>
      <c r="U510" s="45"/>
      <c r="V510" s="45"/>
      <c r="W510" s="45"/>
      <c r="X510" s="45"/>
      <c r="Y510" s="45"/>
    </row>
    <row r="511" spans="1:25" ht="13.5" customHeight="1" x14ac:dyDescent="0.3">
      <c r="A511" s="45"/>
      <c r="B511" s="45"/>
      <c r="C511" s="52"/>
      <c r="D511" s="45"/>
      <c r="E511" s="45"/>
      <c r="F511" s="45"/>
      <c r="G511" s="52"/>
      <c r="H511" s="52"/>
      <c r="I511" s="45"/>
      <c r="J511" s="45"/>
      <c r="K511" s="45"/>
      <c r="L511" s="45"/>
      <c r="M511" s="45"/>
      <c r="N511" s="45"/>
      <c r="O511" s="45"/>
      <c r="P511" s="45"/>
      <c r="Q511" s="45"/>
      <c r="R511" s="45"/>
      <c r="S511" s="45"/>
      <c r="T511" s="45"/>
      <c r="U511" s="45"/>
      <c r="V511" s="45"/>
      <c r="W511" s="45"/>
      <c r="X511" s="45"/>
      <c r="Y511" s="45"/>
    </row>
    <row r="512" spans="1:25" ht="13.5" customHeight="1" x14ac:dyDescent="0.3">
      <c r="A512" s="45"/>
      <c r="B512" s="45"/>
      <c r="C512" s="52"/>
      <c r="D512" s="45"/>
      <c r="E512" s="45"/>
      <c r="F512" s="45"/>
      <c r="G512" s="52"/>
      <c r="H512" s="52"/>
      <c r="I512" s="45"/>
      <c r="J512" s="45"/>
      <c r="K512" s="45"/>
      <c r="L512" s="45"/>
      <c r="M512" s="45"/>
      <c r="N512" s="45"/>
      <c r="O512" s="45"/>
      <c r="P512" s="45"/>
      <c r="Q512" s="45"/>
      <c r="R512" s="45"/>
      <c r="S512" s="45"/>
      <c r="T512" s="45"/>
      <c r="U512" s="45"/>
      <c r="V512" s="45"/>
      <c r="W512" s="45"/>
      <c r="X512" s="45"/>
      <c r="Y512" s="45"/>
    </row>
    <row r="513" spans="1:25" ht="13.5" customHeight="1" x14ac:dyDescent="0.3">
      <c r="A513" s="45"/>
      <c r="B513" s="45"/>
      <c r="C513" s="52"/>
      <c r="D513" s="45"/>
      <c r="E513" s="45"/>
      <c r="F513" s="45"/>
      <c r="G513" s="52"/>
      <c r="H513" s="52"/>
      <c r="I513" s="45"/>
      <c r="J513" s="45"/>
      <c r="K513" s="45"/>
      <c r="L513" s="45"/>
      <c r="M513" s="45"/>
      <c r="N513" s="45"/>
      <c r="O513" s="45"/>
      <c r="P513" s="45"/>
      <c r="Q513" s="45"/>
      <c r="R513" s="45"/>
      <c r="S513" s="45"/>
      <c r="T513" s="45"/>
      <c r="U513" s="45"/>
      <c r="V513" s="45"/>
      <c r="W513" s="45"/>
      <c r="X513" s="45"/>
      <c r="Y513" s="45"/>
    </row>
    <row r="514" spans="1:25" ht="13.5" customHeight="1" x14ac:dyDescent="0.3">
      <c r="A514" s="45"/>
      <c r="B514" s="45"/>
      <c r="C514" s="52"/>
      <c r="D514" s="45"/>
      <c r="E514" s="45"/>
      <c r="F514" s="45"/>
      <c r="G514" s="52"/>
      <c r="H514" s="52"/>
      <c r="I514" s="45"/>
      <c r="J514" s="45"/>
      <c r="K514" s="45"/>
      <c r="L514" s="45"/>
      <c r="M514" s="45"/>
      <c r="N514" s="45"/>
      <c r="O514" s="45"/>
      <c r="P514" s="45"/>
      <c r="Q514" s="45"/>
      <c r="R514" s="45"/>
      <c r="S514" s="45"/>
      <c r="T514" s="45"/>
      <c r="U514" s="45"/>
      <c r="V514" s="45"/>
      <c r="W514" s="45"/>
      <c r="X514" s="45"/>
      <c r="Y514" s="45"/>
    </row>
    <row r="515" spans="1:25" ht="13.5" customHeight="1" x14ac:dyDescent="0.3">
      <c r="A515" s="45"/>
      <c r="B515" s="45"/>
      <c r="C515" s="52"/>
      <c r="D515" s="45"/>
      <c r="E515" s="45"/>
      <c r="F515" s="45"/>
      <c r="G515" s="52"/>
      <c r="H515" s="52"/>
      <c r="I515" s="45"/>
      <c r="J515" s="45"/>
      <c r="K515" s="45"/>
      <c r="L515" s="45"/>
      <c r="M515" s="45"/>
      <c r="N515" s="45"/>
      <c r="O515" s="45"/>
      <c r="P515" s="45"/>
      <c r="Q515" s="45"/>
      <c r="R515" s="45"/>
      <c r="S515" s="45"/>
      <c r="T515" s="45"/>
      <c r="U515" s="45"/>
      <c r="V515" s="45"/>
      <c r="W515" s="45"/>
      <c r="X515" s="45"/>
      <c r="Y515" s="45"/>
    </row>
    <row r="516" spans="1:25" ht="13.5" customHeight="1" x14ac:dyDescent="0.3">
      <c r="A516" s="45"/>
      <c r="B516" s="45"/>
      <c r="C516" s="52"/>
      <c r="D516" s="45"/>
      <c r="E516" s="45"/>
      <c r="F516" s="45"/>
      <c r="G516" s="52"/>
      <c r="H516" s="52"/>
      <c r="I516" s="45"/>
      <c r="J516" s="45"/>
      <c r="K516" s="45"/>
      <c r="L516" s="45"/>
      <c r="M516" s="45"/>
      <c r="N516" s="45"/>
      <c r="O516" s="45"/>
      <c r="P516" s="45"/>
      <c r="Q516" s="45"/>
      <c r="R516" s="45"/>
      <c r="S516" s="45"/>
      <c r="T516" s="45"/>
      <c r="U516" s="45"/>
      <c r="V516" s="45"/>
      <c r="W516" s="45"/>
      <c r="X516" s="45"/>
      <c r="Y516" s="45"/>
    </row>
    <row r="517" spans="1:25" ht="13.5" customHeight="1" x14ac:dyDescent="0.3">
      <c r="A517" s="45"/>
      <c r="B517" s="45"/>
      <c r="C517" s="52"/>
      <c r="D517" s="45"/>
      <c r="E517" s="45"/>
      <c r="F517" s="45"/>
      <c r="G517" s="52"/>
      <c r="H517" s="52"/>
      <c r="I517" s="45"/>
      <c r="J517" s="45"/>
      <c r="K517" s="45"/>
      <c r="L517" s="45"/>
      <c r="M517" s="45"/>
      <c r="N517" s="45"/>
      <c r="O517" s="45"/>
      <c r="P517" s="45"/>
      <c r="Q517" s="45"/>
      <c r="R517" s="45"/>
      <c r="S517" s="45"/>
      <c r="T517" s="45"/>
      <c r="U517" s="45"/>
      <c r="V517" s="45"/>
      <c r="W517" s="45"/>
      <c r="X517" s="45"/>
      <c r="Y517" s="45"/>
    </row>
    <row r="518" spans="1:25" ht="13.5" customHeight="1" x14ac:dyDescent="0.3">
      <c r="A518" s="45"/>
      <c r="B518" s="45"/>
      <c r="C518" s="52"/>
      <c r="D518" s="45"/>
      <c r="E518" s="45"/>
      <c r="F518" s="45"/>
      <c r="G518" s="52"/>
      <c r="H518" s="52"/>
      <c r="I518" s="45"/>
      <c r="J518" s="45"/>
      <c r="K518" s="45"/>
      <c r="L518" s="45"/>
      <c r="M518" s="45"/>
      <c r="N518" s="45"/>
      <c r="O518" s="45"/>
      <c r="P518" s="45"/>
      <c r="Q518" s="45"/>
      <c r="R518" s="45"/>
      <c r="S518" s="45"/>
      <c r="T518" s="45"/>
      <c r="U518" s="45"/>
      <c r="V518" s="45"/>
      <c r="W518" s="45"/>
      <c r="X518" s="45"/>
      <c r="Y518" s="45"/>
    </row>
    <row r="519" spans="1:25" ht="13.5" customHeight="1" x14ac:dyDescent="0.3">
      <c r="A519" s="45"/>
      <c r="B519" s="45"/>
      <c r="C519" s="52"/>
      <c r="D519" s="45"/>
      <c r="E519" s="45"/>
      <c r="F519" s="45"/>
      <c r="G519" s="52"/>
      <c r="H519" s="52"/>
      <c r="I519" s="45"/>
      <c r="J519" s="45"/>
      <c r="K519" s="45"/>
      <c r="L519" s="45"/>
      <c r="M519" s="45"/>
      <c r="N519" s="45"/>
      <c r="O519" s="45"/>
      <c r="P519" s="45"/>
      <c r="Q519" s="45"/>
      <c r="R519" s="45"/>
      <c r="S519" s="45"/>
      <c r="T519" s="45"/>
      <c r="U519" s="45"/>
      <c r="V519" s="45"/>
      <c r="W519" s="45"/>
      <c r="X519" s="45"/>
      <c r="Y519" s="45"/>
    </row>
    <row r="520" spans="1:25" ht="13.5" customHeight="1" x14ac:dyDescent="0.3">
      <c r="A520" s="45"/>
      <c r="B520" s="45"/>
      <c r="C520" s="52"/>
      <c r="D520" s="45"/>
      <c r="E520" s="45"/>
      <c r="F520" s="45"/>
      <c r="G520" s="52"/>
      <c r="H520" s="52"/>
      <c r="I520" s="45"/>
      <c r="J520" s="45"/>
      <c r="K520" s="45"/>
      <c r="L520" s="45"/>
      <c r="M520" s="45"/>
      <c r="N520" s="45"/>
      <c r="O520" s="45"/>
      <c r="P520" s="45"/>
      <c r="Q520" s="45"/>
      <c r="R520" s="45"/>
      <c r="S520" s="45"/>
      <c r="T520" s="45"/>
      <c r="U520" s="45"/>
      <c r="V520" s="45"/>
      <c r="W520" s="45"/>
      <c r="X520" s="45"/>
      <c r="Y520" s="45"/>
    </row>
    <row r="521" spans="1:25" ht="13.5" customHeight="1" x14ac:dyDescent="0.3">
      <c r="A521" s="45"/>
      <c r="B521" s="45"/>
      <c r="C521" s="52"/>
      <c r="D521" s="45"/>
      <c r="E521" s="45"/>
      <c r="F521" s="45"/>
      <c r="G521" s="52"/>
      <c r="H521" s="52"/>
      <c r="I521" s="45"/>
      <c r="J521" s="45"/>
      <c r="K521" s="45"/>
      <c r="L521" s="45"/>
      <c r="M521" s="45"/>
      <c r="N521" s="45"/>
      <c r="O521" s="45"/>
      <c r="P521" s="45"/>
      <c r="Q521" s="45"/>
      <c r="R521" s="45"/>
      <c r="S521" s="45"/>
      <c r="T521" s="45"/>
      <c r="U521" s="45"/>
      <c r="V521" s="45"/>
      <c r="W521" s="45"/>
      <c r="X521" s="45"/>
      <c r="Y521" s="45"/>
    </row>
    <row r="522" spans="1:25" ht="13.5" customHeight="1" x14ac:dyDescent="0.3">
      <c r="A522" s="45"/>
      <c r="B522" s="45"/>
      <c r="C522" s="52"/>
      <c r="D522" s="45"/>
      <c r="E522" s="45"/>
      <c r="F522" s="45"/>
      <c r="G522" s="52"/>
      <c r="H522" s="52"/>
      <c r="I522" s="45"/>
      <c r="J522" s="45"/>
      <c r="K522" s="45"/>
      <c r="L522" s="45"/>
      <c r="M522" s="45"/>
      <c r="N522" s="45"/>
      <c r="O522" s="45"/>
      <c r="P522" s="45"/>
      <c r="Q522" s="45"/>
      <c r="R522" s="45"/>
      <c r="S522" s="45"/>
      <c r="T522" s="45"/>
      <c r="U522" s="45"/>
      <c r="V522" s="45"/>
      <c r="W522" s="45"/>
      <c r="X522" s="45"/>
      <c r="Y522" s="45"/>
    </row>
    <row r="523" spans="1:25" ht="13.5" customHeight="1" x14ac:dyDescent="0.3">
      <c r="A523" s="45"/>
      <c r="B523" s="45"/>
      <c r="C523" s="52"/>
      <c r="D523" s="45"/>
      <c r="E523" s="45"/>
      <c r="F523" s="45"/>
      <c r="G523" s="52"/>
      <c r="H523" s="52"/>
      <c r="I523" s="45"/>
      <c r="J523" s="45"/>
      <c r="K523" s="45"/>
      <c r="L523" s="45"/>
      <c r="M523" s="45"/>
      <c r="N523" s="45"/>
      <c r="O523" s="45"/>
      <c r="P523" s="45"/>
      <c r="Q523" s="45"/>
      <c r="R523" s="45"/>
      <c r="S523" s="45"/>
      <c r="T523" s="45"/>
      <c r="U523" s="45"/>
      <c r="V523" s="45"/>
      <c r="W523" s="45"/>
      <c r="X523" s="45"/>
      <c r="Y523" s="45"/>
    </row>
    <row r="524" spans="1:25" ht="13.5" customHeight="1" x14ac:dyDescent="0.3">
      <c r="A524" s="45"/>
      <c r="B524" s="45"/>
      <c r="C524" s="52"/>
      <c r="D524" s="45"/>
      <c r="E524" s="45"/>
      <c r="F524" s="45"/>
      <c r="G524" s="52"/>
      <c r="H524" s="52"/>
      <c r="I524" s="45"/>
      <c r="J524" s="45"/>
      <c r="K524" s="45"/>
      <c r="L524" s="45"/>
      <c r="M524" s="45"/>
      <c r="N524" s="45"/>
      <c r="O524" s="45"/>
      <c r="P524" s="45"/>
      <c r="Q524" s="45"/>
      <c r="R524" s="45"/>
      <c r="S524" s="45"/>
      <c r="T524" s="45"/>
      <c r="U524" s="45"/>
      <c r="V524" s="45"/>
      <c r="W524" s="45"/>
      <c r="X524" s="45"/>
      <c r="Y524" s="45"/>
    </row>
    <row r="525" spans="1:25" ht="13.5" customHeight="1" x14ac:dyDescent="0.3">
      <c r="A525" s="45"/>
      <c r="B525" s="45"/>
      <c r="C525" s="52"/>
      <c r="D525" s="45"/>
      <c r="E525" s="45"/>
      <c r="F525" s="45"/>
      <c r="G525" s="52"/>
      <c r="H525" s="52"/>
      <c r="I525" s="45"/>
      <c r="J525" s="45"/>
      <c r="K525" s="45"/>
      <c r="L525" s="45"/>
      <c r="M525" s="45"/>
      <c r="N525" s="45"/>
      <c r="O525" s="45"/>
      <c r="P525" s="45"/>
      <c r="Q525" s="45"/>
      <c r="R525" s="45"/>
      <c r="S525" s="45"/>
      <c r="T525" s="45"/>
      <c r="U525" s="45"/>
      <c r="V525" s="45"/>
      <c r="W525" s="45"/>
      <c r="X525" s="45"/>
      <c r="Y525" s="45"/>
    </row>
    <row r="526" spans="1:25" ht="13.5" customHeight="1" x14ac:dyDescent="0.3">
      <c r="A526" s="45"/>
      <c r="B526" s="45"/>
      <c r="C526" s="52"/>
      <c r="D526" s="45"/>
      <c r="E526" s="45"/>
      <c r="F526" s="45"/>
      <c r="G526" s="52"/>
      <c r="H526" s="52"/>
      <c r="I526" s="45"/>
      <c r="J526" s="45"/>
      <c r="K526" s="45"/>
      <c r="L526" s="45"/>
      <c r="M526" s="45"/>
      <c r="N526" s="45"/>
      <c r="O526" s="45"/>
      <c r="P526" s="45"/>
      <c r="Q526" s="45"/>
      <c r="R526" s="45"/>
      <c r="S526" s="45"/>
      <c r="T526" s="45"/>
      <c r="U526" s="45"/>
      <c r="V526" s="45"/>
      <c r="W526" s="45"/>
      <c r="X526" s="45"/>
      <c r="Y526" s="45"/>
    </row>
    <row r="527" spans="1:25" ht="13.5" customHeight="1" x14ac:dyDescent="0.3">
      <c r="A527" s="45"/>
      <c r="B527" s="45"/>
      <c r="C527" s="52"/>
      <c r="D527" s="45"/>
      <c r="E527" s="45"/>
      <c r="F527" s="45"/>
      <c r="G527" s="52"/>
      <c r="H527" s="52"/>
      <c r="I527" s="45"/>
      <c r="J527" s="45"/>
      <c r="K527" s="45"/>
      <c r="L527" s="45"/>
      <c r="M527" s="45"/>
      <c r="N527" s="45"/>
      <c r="O527" s="45"/>
      <c r="P527" s="45"/>
      <c r="Q527" s="45"/>
      <c r="R527" s="45"/>
      <c r="S527" s="45"/>
      <c r="T527" s="45"/>
      <c r="U527" s="45"/>
      <c r="V527" s="45"/>
      <c r="W527" s="45"/>
      <c r="X527" s="45"/>
      <c r="Y527" s="45"/>
    </row>
    <row r="528" spans="1:25" ht="13.5" customHeight="1" x14ac:dyDescent="0.3">
      <c r="A528" s="45"/>
      <c r="B528" s="45"/>
      <c r="C528" s="52"/>
      <c r="D528" s="45"/>
      <c r="E528" s="45"/>
      <c r="F528" s="45"/>
      <c r="G528" s="52"/>
      <c r="H528" s="52"/>
      <c r="I528" s="45"/>
      <c r="J528" s="45"/>
      <c r="K528" s="45"/>
      <c r="L528" s="45"/>
      <c r="M528" s="45"/>
      <c r="N528" s="45"/>
      <c r="O528" s="45"/>
      <c r="P528" s="45"/>
      <c r="Q528" s="45"/>
      <c r="R528" s="45"/>
      <c r="S528" s="45"/>
      <c r="T528" s="45"/>
      <c r="U528" s="45"/>
      <c r="V528" s="45"/>
      <c r="W528" s="45"/>
      <c r="X528" s="45"/>
      <c r="Y528" s="45"/>
    </row>
    <row r="529" spans="1:25" ht="13.5" customHeight="1" x14ac:dyDescent="0.3">
      <c r="A529" s="45"/>
      <c r="B529" s="45"/>
      <c r="C529" s="52"/>
      <c r="D529" s="45"/>
      <c r="E529" s="45"/>
      <c r="F529" s="45"/>
      <c r="G529" s="52"/>
      <c r="H529" s="52"/>
      <c r="I529" s="45"/>
      <c r="J529" s="45"/>
      <c r="K529" s="45"/>
      <c r="L529" s="45"/>
      <c r="M529" s="45"/>
      <c r="N529" s="45"/>
      <c r="O529" s="45"/>
      <c r="P529" s="45"/>
      <c r="Q529" s="45"/>
      <c r="R529" s="45"/>
      <c r="S529" s="45"/>
      <c r="T529" s="45"/>
      <c r="U529" s="45"/>
      <c r="V529" s="45"/>
      <c r="W529" s="45"/>
      <c r="X529" s="45"/>
      <c r="Y529" s="45"/>
    </row>
    <row r="530" spans="1:25" ht="13.5" customHeight="1" x14ac:dyDescent="0.3">
      <c r="A530" s="45"/>
      <c r="B530" s="45"/>
      <c r="C530" s="52"/>
      <c r="D530" s="45"/>
      <c r="E530" s="45"/>
      <c r="F530" s="45"/>
      <c r="G530" s="52"/>
      <c r="H530" s="52"/>
      <c r="I530" s="45"/>
      <c r="J530" s="45"/>
      <c r="K530" s="45"/>
      <c r="L530" s="45"/>
      <c r="M530" s="45"/>
      <c r="N530" s="45"/>
      <c r="O530" s="45"/>
      <c r="P530" s="45"/>
      <c r="Q530" s="45"/>
      <c r="R530" s="45"/>
      <c r="S530" s="45"/>
      <c r="T530" s="45"/>
      <c r="U530" s="45"/>
      <c r="V530" s="45"/>
      <c r="W530" s="45"/>
      <c r="X530" s="45"/>
      <c r="Y530" s="45"/>
    </row>
    <row r="531" spans="1:25" ht="13.5" customHeight="1" x14ac:dyDescent="0.3">
      <c r="A531" s="45"/>
      <c r="B531" s="45"/>
      <c r="C531" s="52"/>
      <c r="D531" s="45"/>
      <c r="E531" s="45"/>
      <c r="F531" s="45"/>
      <c r="G531" s="52"/>
      <c r="H531" s="52"/>
      <c r="I531" s="45"/>
      <c r="J531" s="45"/>
      <c r="K531" s="45"/>
      <c r="L531" s="45"/>
      <c r="M531" s="45"/>
      <c r="N531" s="45"/>
      <c r="O531" s="45"/>
      <c r="P531" s="45"/>
      <c r="Q531" s="45"/>
      <c r="R531" s="45"/>
      <c r="S531" s="45"/>
      <c r="T531" s="45"/>
      <c r="U531" s="45"/>
      <c r="V531" s="45"/>
      <c r="W531" s="45"/>
      <c r="X531" s="45"/>
      <c r="Y531" s="45"/>
    </row>
    <row r="532" spans="1:25" ht="13.5" customHeight="1" x14ac:dyDescent="0.3">
      <c r="A532" s="45"/>
      <c r="B532" s="45"/>
      <c r="C532" s="52"/>
      <c r="D532" s="45"/>
      <c r="E532" s="45"/>
      <c r="F532" s="45"/>
      <c r="G532" s="52"/>
      <c r="H532" s="52"/>
      <c r="I532" s="45"/>
      <c r="J532" s="45"/>
      <c r="K532" s="45"/>
      <c r="L532" s="45"/>
      <c r="M532" s="45"/>
      <c r="N532" s="45"/>
      <c r="O532" s="45"/>
      <c r="P532" s="45"/>
      <c r="Q532" s="45"/>
      <c r="R532" s="45"/>
      <c r="S532" s="45"/>
      <c r="T532" s="45"/>
      <c r="U532" s="45"/>
      <c r="V532" s="45"/>
      <c r="W532" s="45"/>
      <c r="X532" s="45"/>
      <c r="Y532" s="45"/>
    </row>
    <row r="533" spans="1:25" ht="13.5" customHeight="1" x14ac:dyDescent="0.3">
      <c r="A533" s="45"/>
      <c r="B533" s="45"/>
      <c r="C533" s="52"/>
      <c r="D533" s="45"/>
      <c r="E533" s="45"/>
      <c r="F533" s="45"/>
      <c r="G533" s="52"/>
      <c r="H533" s="52"/>
      <c r="I533" s="45"/>
      <c r="J533" s="45"/>
      <c r="K533" s="45"/>
      <c r="L533" s="45"/>
      <c r="M533" s="45"/>
      <c r="N533" s="45"/>
      <c r="O533" s="45"/>
      <c r="P533" s="45"/>
      <c r="Q533" s="45"/>
      <c r="R533" s="45"/>
      <c r="S533" s="45"/>
      <c r="T533" s="45"/>
      <c r="U533" s="45"/>
      <c r="V533" s="45"/>
      <c r="W533" s="45"/>
      <c r="X533" s="45"/>
      <c r="Y533" s="45"/>
    </row>
    <row r="534" spans="1:25" ht="13.5" customHeight="1" x14ac:dyDescent="0.3">
      <c r="A534" s="45"/>
      <c r="B534" s="45"/>
      <c r="C534" s="52"/>
      <c r="D534" s="45"/>
      <c r="E534" s="45"/>
      <c r="F534" s="45"/>
      <c r="G534" s="52"/>
      <c r="H534" s="52"/>
      <c r="I534" s="45"/>
      <c r="J534" s="45"/>
      <c r="K534" s="45"/>
      <c r="L534" s="45"/>
      <c r="M534" s="45"/>
      <c r="N534" s="45"/>
      <c r="O534" s="45"/>
      <c r="P534" s="45"/>
      <c r="Q534" s="45"/>
      <c r="R534" s="45"/>
      <c r="S534" s="45"/>
      <c r="T534" s="45"/>
      <c r="U534" s="45"/>
      <c r="V534" s="45"/>
      <c r="W534" s="45"/>
      <c r="X534" s="45"/>
      <c r="Y534" s="45"/>
    </row>
    <row r="535" spans="1:25" ht="13.5" customHeight="1" x14ac:dyDescent="0.3">
      <c r="A535" s="45"/>
      <c r="B535" s="45"/>
      <c r="C535" s="52"/>
      <c r="D535" s="45"/>
      <c r="E535" s="45"/>
      <c r="F535" s="45"/>
      <c r="G535" s="52"/>
      <c r="H535" s="52"/>
      <c r="I535" s="45"/>
      <c r="J535" s="45"/>
      <c r="K535" s="45"/>
      <c r="L535" s="45"/>
      <c r="M535" s="45"/>
      <c r="N535" s="45"/>
      <c r="O535" s="45"/>
      <c r="P535" s="45"/>
      <c r="Q535" s="45"/>
      <c r="R535" s="45"/>
      <c r="S535" s="45"/>
      <c r="T535" s="45"/>
      <c r="U535" s="45"/>
      <c r="V535" s="45"/>
      <c r="W535" s="45"/>
      <c r="X535" s="45"/>
      <c r="Y535" s="45"/>
    </row>
    <row r="536" spans="1:25" ht="13.5" customHeight="1" x14ac:dyDescent="0.3">
      <c r="A536" s="45"/>
      <c r="B536" s="45"/>
      <c r="C536" s="52"/>
      <c r="D536" s="45"/>
      <c r="E536" s="45"/>
      <c r="F536" s="45"/>
      <c r="G536" s="52"/>
      <c r="H536" s="52"/>
      <c r="I536" s="45"/>
      <c r="J536" s="45"/>
      <c r="K536" s="45"/>
      <c r="L536" s="45"/>
      <c r="M536" s="45"/>
      <c r="N536" s="45"/>
      <c r="O536" s="45"/>
      <c r="P536" s="45"/>
      <c r="Q536" s="45"/>
      <c r="R536" s="45"/>
      <c r="S536" s="45"/>
      <c r="T536" s="45"/>
      <c r="U536" s="45"/>
      <c r="V536" s="45"/>
      <c r="W536" s="45"/>
      <c r="X536" s="45"/>
      <c r="Y536" s="45"/>
    </row>
    <row r="537" spans="1:25" ht="13.5" customHeight="1" x14ac:dyDescent="0.3">
      <c r="A537" s="45"/>
      <c r="B537" s="45"/>
      <c r="C537" s="52"/>
      <c r="D537" s="45"/>
      <c r="E537" s="45"/>
      <c r="F537" s="45"/>
      <c r="G537" s="52"/>
      <c r="H537" s="52"/>
      <c r="I537" s="45"/>
      <c r="J537" s="45"/>
      <c r="K537" s="45"/>
      <c r="L537" s="45"/>
      <c r="M537" s="45"/>
      <c r="N537" s="45"/>
      <c r="O537" s="45"/>
      <c r="P537" s="45"/>
      <c r="Q537" s="45"/>
      <c r="R537" s="45"/>
      <c r="S537" s="45"/>
      <c r="T537" s="45"/>
      <c r="U537" s="45"/>
      <c r="V537" s="45"/>
      <c r="W537" s="45"/>
      <c r="X537" s="45"/>
      <c r="Y537" s="45"/>
    </row>
    <row r="538" spans="1:25" ht="13.5" customHeight="1" x14ac:dyDescent="0.3">
      <c r="A538" s="45"/>
      <c r="B538" s="45"/>
      <c r="C538" s="52"/>
      <c r="D538" s="45"/>
      <c r="E538" s="45"/>
      <c r="F538" s="45"/>
      <c r="G538" s="52"/>
      <c r="H538" s="52"/>
      <c r="I538" s="45"/>
      <c r="J538" s="45"/>
      <c r="K538" s="45"/>
      <c r="L538" s="45"/>
      <c r="M538" s="45"/>
      <c r="N538" s="45"/>
      <c r="O538" s="45"/>
      <c r="P538" s="45"/>
      <c r="Q538" s="45"/>
      <c r="R538" s="45"/>
      <c r="S538" s="45"/>
      <c r="T538" s="45"/>
      <c r="U538" s="45"/>
      <c r="V538" s="45"/>
      <c r="W538" s="45"/>
      <c r="X538" s="45"/>
      <c r="Y538" s="45"/>
    </row>
    <row r="539" spans="1:25" ht="13.5" customHeight="1" x14ac:dyDescent="0.3">
      <c r="A539" s="45"/>
      <c r="B539" s="45"/>
      <c r="C539" s="52"/>
      <c r="D539" s="45"/>
      <c r="E539" s="45"/>
      <c r="F539" s="45"/>
      <c r="G539" s="52"/>
      <c r="H539" s="52"/>
      <c r="I539" s="45"/>
      <c r="J539" s="45"/>
      <c r="K539" s="45"/>
      <c r="L539" s="45"/>
      <c r="M539" s="45"/>
      <c r="N539" s="45"/>
      <c r="O539" s="45"/>
      <c r="P539" s="45"/>
      <c r="Q539" s="45"/>
      <c r="R539" s="45"/>
      <c r="S539" s="45"/>
      <c r="T539" s="45"/>
      <c r="U539" s="45"/>
      <c r="V539" s="45"/>
      <c r="W539" s="45"/>
      <c r="X539" s="45"/>
      <c r="Y539" s="45"/>
    </row>
    <row r="540" spans="1:25" ht="13.5" customHeight="1" x14ac:dyDescent="0.3">
      <c r="A540" s="45"/>
      <c r="B540" s="45"/>
      <c r="C540" s="52"/>
      <c r="D540" s="45"/>
      <c r="E540" s="45"/>
      <c r="F540" s="45"/>
      <c r="G540" s="52"/>
      <c r="H540" s="52"/>
      <c r="I540" s="45"/>
      <c r="J540" s="45"/>
      <c r="K540" s="45"/>
      <c r="L540" s="45"/>
      <c r="M540" s="45"/>
      <c r="N540" s="45"/>
      <c r="O540" s="45"/>
      <c r="P540" s="45"/>
      <c r="Q540" s="45"/>
      <c r="R540" s="45"/>
      <c r="S540" s="45"/>
      <c r="T540" s="45"/>
      <c r="U540" s="45"/>
      <c r="V540" s="45"/>
      <c r="W540" s="45"/>
      <c r="X540" s="45"/>
      <c r="Y540" s="45"/>
    </row>
    <row r="541" spans="1:25" ht="13.5" customHeight="1" x14ac:dyDescent="0.3">
      <c r="A541" s="45"/>
      <c r="B541" s="45"/>
      <c r="C541" s="52"/>
      <c r="D541" s="45"/>
      <c r="E541" s="45"/>
      <c r="F541" s="45"/>
      <c r="G541" s="52"/>
      <c r="H541" s="52"/>
      <c r="I541" s="45"/>
      <c r="J541" s="45"/>
      <c r="K541" s="45"/>
      <c r="L541" s="45"/>
      <c r="M541" s="45"/>
      <c r="N541" s="45"/>
      <c r="O541" s="45"/>
      <c r="P541" s="45"/>
      <c r="Q541" s="45"/>
      <c r="R541" s="45"/>
      <c r="S541" s="45"/>
      <c r="T541" s="45"/>
      <c r="U541" s="45"/>
      <c r="V541" s="45"/>
      <c r="W541" s="45"/>
      <c r="X541" s="45"/>
      <c r="Y541" s="45"/>
    </row>
    <row r="542" spans="1:25" ht="13.5" customHeight="1" x14ac:dyDescent="0.3">
      <c r="A542" s="45"/>
      <c r="B542" s="45"/>
      <c r="C542" s="52"/>
      <c r="D542" s="45"/>
      <c r="E542" s="45"/>
      <c r="F542" s="45"/>
      <c r="G542" s="52"/>
      <c r="H542" s="52"/>
      <c r="I542" s="45"/>
      <c r="J542" s="45"/>
      <c r="K542" s="45"/>
      <c r="L542" s="45"/>
      <c r="M542" s="45"/>
      <c r="N542" s="45"/>
      <c r="O542" s="45"/>
      <c r="P542" s="45"/>
      <c r="Q542" s="45"/>
      <c r="R542" s="45"/>
      <c r="S542" s="45"/>
      <c r="T542" s="45"/>
      <c r="U542" s="45"/>
      <c r="V542" s="45"/>
      <c r="W542" s="45"/>
      <c r="X542" s="45"/>
      <c r="Y542" s="45"/>
    </row>
    <row r="543" spans="1:25" ht="13.5" customHeight="1" x14ac:dyDescent="0.3">
      <c r="A543" s="45"/>
      <c r="B543" s="45"/>
      <c r="C543" s="52"/>
      <c r="D543" s="45"/>
      <c r="E543" s="45"/>
      <c r="F543" s="45"/>
      <c r="G543" s="52"/>
      <c r="H543" s="52"/>
      <c r="I543" s="45"/>
      <c r="J543" s="45"/>
      <c r="K543" s="45"/>
      <c r="L543" s="45"/>
      <c r="M543" s="45"/>
      <c r="N543" s="45"/>
      <c r="O543" s="45"/>
      <c r="P543" s="45"/>
      <c r="Q543" s="45"/>
      <c r="R543" s="45"/>
      <c r="S543" s="45"/>
      <c r="T543" s="45"/>
      <c r="U543" s="45"/>
      <c r="V543" s="45"/>
      <c r="W543" s="45"/>
      <c r="X543" s="45"/>
      <c r="Y543" s="45"/>
    </row>
    <row r="544" spans="1:25" ht="13.5" customHeight="1" x14ac:dyDescent="0.3">
      <c r="A544" s="45"/>
      <c r="B544" s="45"/>
      <c r="C544" s="52"/>
      <c r="D544" s="45"/>
      <c r="E544" s="45"/>
      <c r="F544" s="45"/>
      <c r="G544" s="52"/>
      <c r="H544" s="52"/>
      <c r="I544" s="45"/>
      <c r="J544" s="45"/>
      <c r="K544" s="45"/>
      <c r="L544" s="45"/>
      <c r="M544" s="45"/>
      <c r="N544" s="45"/>
      <c r="O544" s="45"/>
      <c r="P544" s="45"/>
      <c r="Q544" s="45"/>
      <c r="R544" s="45"/>
      <c r="S544" s="45"/>
      <c r="T544" s="45"/>
      <c r="U544" s="45"/>
      <c r="V544" s="45"/>
      <c r="W544" s="45"/>
      <c r="X544" s="45"/>
      <c r="Y544" s="45"/>
    </row>
    <row r="545" spans="1:25" ht="13.5" customHeight="1" x14ac:dyDescent="0.3">
      <c r="A545" s="45"/>
      <c r="B545" s="45"/>
      <c r="C545" s="52"/>
      <c r="D545" s="45"/>
      <c r="E545" s="45"/>
      <c r="F545" s="45"/>
      <c r="G545" s="52"/>
      <c r="H545" s="52"/>
      <c r="I545" s="45"/>
      <c r="J545" s="45"/>
      <c r="K545" s="45"/>
      <c r="L545" s="45"/>
      <c r="M545" s="45"/>
      <c r="N545" s="45"/>
      <c r="O545" s="45"/>
      <c r="P545" s="45"/>
      <c r="Q545" s="45"/>
      <c r="R545" s="45"/>
      <c r="S545" s="45"/>
      <c r="T545" s="45"/>
      <c r="U545" s="45"/>
      <c r="V545" s="45"/>
      <c r="W545" s="45"/>
      <c r="X545" s="45"/>
      <c r="Y545" s="45"/>
    </row>
    <row r="546" spans="1:25" ht="13.5" customHeight="1" x14ac:dyDescent="0.3">
      <c r="A546" s="45"/>
      <c r="B546" s="45"/>
      <c r="C546" s="52"/>
      <c r="D546" s="45"/>
      <c r="E546" s="45"/>
      <c r="F546" s="45"/>
      <c r="G546" s="52"/>
      <c r="H546" s="52"/>
      <c r="I546" s="45"/>
      <c r="J546" s="45"/>
      <c r="K546" s="45"/>
      <c r="L546" s="45"/>
      <c r="M546" s="45"/>
      <c r="N546" s="45"/>
      <c r="O546" s="45"/>
      <c r="P546" s="45"/>
      <c r="Q546" s="45"/>
      <c r="R546" s="45"/>
      <c r="S546" s="45"/>
      <c r="T546" s="45"/>
      <c r="U546" s="45"/>
      <c r="V546" s="45"/>
      <c r="W546" s="45"/>
      <c r="X546" s="45"/>
      <c r="Y546" s="45"/>
    </row>
    <row r="547" spans="1:25" ht="13.5" customHeight="1" x14ac:dyDescent="0.3">
      <c r="A547" s="45"/>
      <c r="B547" s="45"/>
      <c r="C547" s="52"/>
      <c r="D547" s="45"/>
      <c r="E547" s="45"/>
      <c r="F547" s="45"/>
      <c r="G547" s="52"/>
      <c r="H547" s="52"/>
      <c r="I547" s="45"/>
      <c r="J547" s="45"/>
      <c r="K547" s="45"/>
      <c r="L547" s="45"/>
      <c r="M547" s="45"/>
      <c r="N547" s="45"/>
      <c r="O547" s="45"/>
      <c r="P547" s="45"/>
      <c r="Q547" s="45"/>
      <c r="R547" s="45"/>
      <c r="S547" s="45"/>
      <c r="T547" s="45"/>
      <c r="U547" s="45"/>
      <c r="V547" s="45"/>
      <c r="W547" s="45"/>
      <c r="X547" s="45"/>
      <c r="Y547" s="45"/>
    </row>
    <row r="548" spans="1:25" ht="13.5" customHeight="1" x14ac:dyDescent="0.3">
      <c r="A548" s="45"/>
      <c r="B548" s="45"/>
      <c r="C548" s="52"/>
      <c r="D548" s="45"/>
      <c r="E548" s="45"/>
      <c r="F548" s="45"/>
      <c r="G548" s="52"/>
      <c r="H548" s="52"/>
      <c r="I548" s="45"/>
      <c r="J548" s="45"/>
      <c r="K548" s="45"/>
      <c r="L548" s="45"/>
      <c r="M548" s="45"/>
      <c r="N548" s="45"/>
      <c r="O548" s="45"/>
      <c r="P548" s="45"/>
      <c r="Q548" s="45"/>
      <c r="R548" s="45"/>
      <c r="S548" s="45"/>
      <c r="T548" s="45"/>
      <c r="U548" s="45"/>
      <c r="V548" s="45"/>
      <c r="W548" s="45"/>
      <c r="X548" s="45"/>
      <c r="Y548" s="45"/>
    </row>
    <row r="549" spans="1:25" ht="13.5" customHeight="1" x14ac:dyDescent="0.3">
      <c r="A549" s="45"/>
      <c r="B549" s="45"/>
      <c r="C549" s="52"/>
      <c r="D549" s="45"/>
      <c r="E549" s="45"/>
      <c r="F549" s="45"/>
      <c r="G549" s="52"/>
      <c r="H549" s="52"/>
      <c r="I549" s="45"/>
      <c r="J549" s="45"/>
      <c r="K549" s="45"/>
      <c r="L549" s="45"/>
      <c r="M549" s="45"/>
      <c r="N549" s="45"/>
      <c r="O549" s="45"/>
      <c r="P549" s="45"/>
      <c r="Q549" s="45"/>
      <c r="R549" s="45"/>
      <c r="S549" s="45"/>
      <c r="T549" s="45"/>
      <c r="U549" s="45"/>
      <c r="V549" s="45"/>
      <c r="W549" s="45"/>
      <c r="X549" s="45"/>
      <c r="Y549" s="45"/>
    </row>
    <row r="550" spans="1:25" ht="13.5" customHeight="1" x14ac:dyDescent="0.3">
      <c r="A550" s="45"/>
      <c r="B550" s="45"/>
      <c r="C550" s="52"/>
      <c r="D550" s="45"/>
      <c r="E550" s="45"/>
      <c r="F550" s="45"/>
      <c r="G550" s="52"/>
      <c r="H550" s="52"/>
      <c r="I550" s="45"/>
      <c r="J550" s="45"/>
      <c r="K550" s="45"/>
      <c r="L550" s="45"/>
      <c r="M550" s="45"/>
      <c r="N550" s="45"/>
      <c r="O550" s="45"/>
      <c r="P550" s="45"/>
      <c r="Q550" s="45"/>
      <c r="R550" s="45"/>
      <c r="S550" s="45"/>
      <c r="T550" s="45"/>
      <c r="U550" s="45"/>
      <c r="V550" s="45"/>
      <c r="W550" s="45"/>
      <c r="X550" s="45"/>
      <c r="Y550" s="45"/>
    </row>
    <row r="551" spans="1:25" ht="13.5" customHeight="1" x14ac:dyDescent="0.3">
      <c r="A551" s="45"/>
      <c r="B551" s="45"/>
      <c r="C551" s="52"/>
      <c r="D551" s="45"/>
      <c r="E551" s="45"/>
      <c r="F551" s="45"/>
      <c r="G551" s="52"/>
      <c r="H551" s="52"/>
      <c r="I551" s="45"/>
      <c r="J551" s="45"/>
      <c r="K551" s="45"/>
      <c r="L551" s="45"/>
      <c r="M551" s="45"/>
      <c r="N551" s="45"/>
      <c r="O551" s="45"/>
      <c r="P551" s="45"/>
      <c r="Q551" s="45"/>
      <c r="R551" s="45"/>
      <c r="S551" s="45"/>
      <c r="T551" s="45"/>
      <c r="U551" s="45"/>
      <c r="V551" s="45"/>
      <c r="W551" s="45"/>
      <c r="X551" s="45"/>
      <c r="Y551" s="45"/>
    </row>
    <row r="552" spans="1:25" ht="13.5" customHeight="1" x14ac:dyDescent="0.3">
      <c r="A552" s="45"/>
      <c r="B552" s="45"/>
      <c r="C552" s="52"/>
      <c r="D552" s="45"/>
      <c r="E552" s="45"/>
      <c r="F552" s="45"/>
      <c r="G552" s="52"/>
      <c r="H552" s="52"/>
      <c r="I552" s="45"/>
      <c r="J552" s="45"/>
      <c r="K552" s="45"/>
      <c r="L552" s="45"/>
      <c r="M552" s="45"/>
      <c r="N552" s="45"/>
      <c r="O552" s="45"/>
      <c r="P552" s="45"/>
      <c r="Q552" s="45"/>
      <c r="R552" s="45"/>
      <c r="S552" s="45"/>
      <c r="T552" s="45"/>
      <c r="U552" s="45"/>
      <c r="V552" s="45"/>
      <c r="W552" s="45"/>
      <c r="X552" s="45"/>
      <c r="Y552" s="45"/>
    </row>
    <row r="553" spans="1:25" ht="13.5" customHeight="1" x14ac:dyDescent="0.3">
      <c r="A553" s="45"/>
      <c r="B553" s="45"/>
      <c r="C553" s="52"/>
      <c r="D553" s="45"/>
      <c r="E553" s="45"/>
      <c r="F553" s="45"/>
      <c r="G553" s="52"/>
      <c r="H553" s="52"/>
      <c r="I553" s="45"/>
      <c r="J553" s="45"/>
      <c r="K553" s="45"/>
      <c r="L553" s="45"/>
      <c r="M553" s="45"/>
      <c r="N553" s="45"/>
      <c r="O553" s="45"/>
      <c r="P553" s="45"/>
      <c r="Q553" s="45"/>
      <c r="R553" s="45"/>
      <c r="S553" s="45"/>
      <c r="T553" s="45"/>
      <c r="U553" s="45"/>
      <c r="V553" s="45"/>
      <c r="W553" s="45"/>
      <c r="X553" s="45"/>
      <c r="Y553" s="45"/>
    </row>
    <row r="554" spans="1:25" ht="13.5" customHeight="1" x14ac:dyDescent="0.3">
      <c r="A554" s="45"/>
      <c r="B554" s="45"/>
      <c r="C554" s="52"/>
      <c r="D554" s="45"/>
      <c r="E554" s="45"/>
      <c r="F554" s="45"/>
      <c r="G554" s="52"/>
      <c r="H554" s="52"/>
      <c r="I554" s="45"/>
      <c r="J554" s="45"/>
      <c r="K554" s="45"/>
      <c r="L554" s="45"/>
      <c r="M554" s="45"/>
      <c r="N554" s="45"/>
      <c r="O554" s="45"/>
      <c r="P554" s="45"/>
      <c r="Q554" s="45"/>
      <c r="R554" s="45"/>
      <c r="S554" s="45"/>
      <c r="T554" s="45"/>
      <c r="U554" s="45"/>
      <c r="V554" s="45"/>
      <c r="W554" s="45"/>
      <c r="X554" s="45"/>
      <c r="Y554" s="45"/>
    </row>
    <row r="555" spans="1:25" ht="13.5" customHeight="1" x14ac:dyDescent="0.3">
      <c r="A555" s="45"/>
      <c r="B555" s="45"/>
      <c r="C555" s="52"/>
      <c r="D555" s="45"/>
      <c r="E555" s="45"/>
      <c r="F555" s="45"/>
      <c r="G555" s="52"/>
      <c r="H555" s="52"/>
      <c r="I555" s="45"/>
      <c r="J555" s="45"/>
      <c r="K555" s="45"/>
      <c r="L555" s="45"/>
      <c r="M555" s="45"/>
      <c r="N555" s="45"/>
      <c r="O555" s="45"/>
      <c r="P555" s="45"/>
      <c r="Q555" s="45"/>
      <c r="R555" s="45"/>
      <c r="S555" s="45"/>
      <c r="T555" s="45"/>
      <c r="U555" s="45"/>
      <c r="V555" s="45"/>
      <c r="W555" s="45"/>
      <c r="X555" s="45"/>
      <c r="Y555" s="45"/>
    </row>
    <row r="556" spans="1:25" ht="13.5" customHeight="1" x14ac:dyDescent="0.3">
      <c r="A556" s="45"/>
      <c r="B556" s="45"/>
      <c r="C556" s="52"/>
      <c r="D556" s="45"/>
      <c r="E556" s="45"/>
      <c r="F556" s="45"/>
      <c r="G556" s="52"/>
      <c r="H556" s="52"/>
      <c r="I556" s="45"/>
      <c r="J556" s="45"/>
      <c r="K556" s="45"/>
      <c r="L556" s="45"/>
      <c r="M556" s="45"/>
      <c r="N556" s="45"/>
      <c r="O556" s="45"/>
      <c r="P556" s="45"/>
      <c r="Q556" s="45"/>
      <c r="R556" s="45"/>
      <c r="S556" s="45"/>
      <c r="T556" s="45"/>
      <c r="U556" s="45"/>
      <c r="V556" s="45"/>
      <c r="W556" s="45"/>
      <c r="X556" s="45"/>
      <c r="Y556" s="45"/>
    </row>
    <row r="557" spans="1:25" ht="13.5" customHeight="1" x14ac:dyDescent="0.3">
      <c r="A557" s="45"/>
      <c r="B557" s="45"/>
      <c r="C557" s="52"/>
      <c r="D557" s="45"/>
      <c r="E557" s="45"/>
      <c r="F557" s="45"/>
      <c r="G557" s="52"/>
      <c r="H557" s="52"/>
      <c r="I557" s="45"/>
      <c r="J557" s="45"/>
      <c r="K557" s="45"/>
      <c r="L557" s="45"/>
      <c r="M557" s="45"/>
      <c r="N557" s="45"/>
      <c r="O557" s="45"/>
      <c r="P557" s="45"/>
      <c r="Q557" s="45"/>
      <c r="R557" s="45"/>
      <c r="S557" s="45"/>
      <c r="T557" s="45"/>
      <c r="U557" s="45"/>
      <c r="V557" s="45"/>
      <c r="W557" s="45"/>
      <c r="X557" s="45"/>
      <c r="Y557" s="45"/>
    </row>
    <row r="558" spans="1:25" ht="13.5" customHeight="1" x14ac:dyDescent="0.3">
      <c r="A558" s="45"/>
      <c r="B558" s="45"/>
      <c r="C558" s="52"/>
      <c r="D558" s="45"/>
      <c r="E558" s="45"/>
      <c r="F558" s="45"/>
      <c r="G558" s="52"/>
      <c r="H558" s="52"/>
      <c r="I558" s="45"/>
      <c r="J558" s="45"/>
      <c r="K558" s="45"/>
      <c r="L558" s="45"/>
      <c r="M558" s="45"/>
      <c r="N558" s="45"/>
      <c r="O558" s="45"/>
      <c r="P558" s="45"/>
      <c r="Q558" s="45"/>
      <c r="R558" s="45"/>
      <c r="S558" s="45"/>
      <c r="T558" s="45"/>
      <c r="U558" s="45"/>
      <c r="V558" s="45"/>
      <c r="W558" s="45"/>
      <c r="X558" s="45"/>
      <c r="Y558" s="45"/>
    </row>
    <row r="559" spans="1:25" ht="13.5" customHeight="1" x14ac:dyDescent="0.3">
      <c r="A559" s="45"/>
      <c r="B559" s="45"/>
      <c r="C559" s="52"/>
      <c r="D559" s="45"/>
      <c r="E559" s="45"/>
      <c r="F559" s="45"/>
      <c r="G559" s="52"/>
      <c r="H559" s="52"/>
      <c r="I559" s="45"/>
      <c r="J559" s="45"/>
      <c r="K559" s="45"/>
      <c r="L559" s="45"/>
      <c r="M559" s="45"/>
      <c r="N559" s="45"/>
      <c r="O559" s="45"/>
      <c r="P559" s="45"/>
      <c r="Q559" s="45"/>
      <c r="R559" s="45"/>
      <c r="S559" s="45"/>
      <c r="T559" s="45"/>
      <c r="U559" s="45"/>
      <c r="V559" s="45"/>
      <c r="W559" s="45"/>
      <c r="X559" s="45"/>
      <c r="Y559" s="45"/>
    </row>
    <row r="560" spans="1:25" ht="13.5" customHeight="1" x14ac:dyDescent="0.3">
      <c r="A560" s="45"/>
      <c r="B560" s="45"/>
      <c r="C560" s="52"/>
      <c r="D560" s="45"/>
      <c r="E560" s="45"/>
      <c r="F560" s="45"/>
      <c r="G560" s="52"/>
      <c r="H560" s="52"/>
      <c r="I560" s="45"/>
      <c r="J560" s="45"/>
      <c r="K560" s="45"/>
      <c r="L560" s="45"/>
      <c r="M560" s="45"/>
      <c r="N560" s="45"/>
      <c r="O560" s="45"/>
      <c r="P560" s="45"/>
      <c r="Q560" s="45"/>
      <c r="R560" s="45"/>
      <c r="S560" s="45"/>
      <c r="T560" s="45"/>
      <c r="U560" s="45"/>
      <c r="V560" s="45"/>
      <c r="W560" s="45"/>
      <c r="X560" s="45"/>
      <c r="Y560" s="45"/>
    </row>
    <row r="561" spans="1:25" ht="13.5" customHeight="1" x14ac:dyDescent="0.3">
      <c r="A561" s="45"/>
      <c r="B561" s="45"/>
      <c r="C561" s="52"/>
      <c r="D561" s="45"/>
      <c r="E561" s="45"/>
      <c r="F561" s="45"/>
      <c r="G561" s="52"/>
      <c r="H561" s="52"/>
      <c r="I561" s="45"/>
      <c r="J561" s="45"/>
      <c r="K561" s="45"/>
      <c r="L561" s="45"/>
      <c r="M561" s="45"/>
      <c r="N561" s="45"/>
      <c r="O561" s="45"/>
      <c r="P561" s="45"/>
      <c r="Q561" s="45"/>
      <c r="R561" s="45"/>
      <c r="S561" s="45"/>
      <c r="T561" s="45"/>
      <c r="U561" s="45"/>
      <c r="V561" s="45"/>
      <c r="W561" s="45"/>
      <c r="X561" s="45"/>
      <c r="Y561" s="45"/>
    </row>
    <row r="562" spans="1:25" ht="13.5" customHeight="1" x14ac:dyDescent="0.3">
      <c r="A562" s="45"/>
      <c r="B562" s="45"/>
      <c r="C562" s="52"/>
      <c r="D562" s="45"/>
      <c r="E562" s="45"/>
      <c r="F562" s="45"/>
      <c r="G562" s="52"/>
      <c r="H562" s="52"/>
      <c r="I562" s="45"/>
      <c r="J562" s="45"/>
      <c r="K562" s="45"/>
      <c r="L562" s="45"/>
      <c r="M562" s="45"/>
      <c r="N562" s="45"/>
      <c r="O562" s="45"/>
      <c r="P562" s="45"/>
      <c r="Q562" s="45"/>
      <c r="R562" s="45"/>
      <c r="S562" s="45"/>
      <c r="T562" s="45"/>
      <c r="U562" s="45"/>
      <c r="V562" s="45"/>
      <c r="W562" s="45"/>
      <c r="X562" s="45"/>
      <c r="Y562" s="45"/>
    </row>
    <row r="563" spans="1:25" ht="13.5" customHeight="1" x14ac:dyDescent="0.3">
      <c r="A563" s="45"/>
      <c r="B563" s="45"/>
      <c r="C563" s="52"/>
      <c r="D563" s="45"/>
      <c r="E563" s="45"/>
      <c r="F563" s="45"/>
      <c r="G563" s="52"/>
      <c r="H563" s="52"/>
      <c r="I563" s="45"/>
      <c r="J563" s="45"/>
      <c r="K563" s="45"/>
      <c r="L563" s="45"/>
      <c r="M563" s="45"/>
      <c r="N563" s="45"/>
      <c r="O563" s="45"/>
      <c r="P563" s="45"/>
      <c r="Q563" s="45"/>
      <c r="R563" s="45"/>
      <c r="S563" s="45"/>
      <c r="T563" s="45"/>
      <c r="U563" s="45"/>
      <c r="V563" s="45"/>
      <c r="W563" s="45"/>
      <c r="X563" s="45"/>
      <c r="Y563" s="45"/>
    </row>
    <row r="564" spans="1:25" ht="13.5" customHeight="1" x14ac:dyDescent="0.3">
      <c r="A564" s="45"/>
      <c r="B564" s="45"/>
      <c r="C564" s="52"/>
      <c r="D564" s="45"/>
      <c r="E564" s="45"/>
      <c r="F564" s="45"/>
      <c r="G564" s="52"/>
      <c r="H564" s="52"/>
      <c r="I564" s="45"/>
      <c r="J564" s="45"/>
      <c r="K564" s="45"/>
      <c r="L564" s="45"/>
      <c r="M564" s="45"/>
      <c r="N564" s="45"/>
      <c r="O564" s="45"/>
      <c r="P564" s="45"/>
      <c r="Q564" s="45"/>
      <c r="R564" s="45"/>
      <c r="S564" s="45"/>
      <c r="T564" s="45"/>
      <c r="U564" s="45"/>
      <c r="V564" s="45"/>
      <c r="W564" s="45"/>
      <c r="X564" s="45"/>
      <c r="Y564" s="45"/>
    </row>
    <row r="565" spans="1:25" ht="13.5" customHeight="1" x14ac:dyDescent="0.3">
      <c r="A565" s="45"/>
      <c r="B565" s="45"/>
      <c r="C565" s="52"/>
      <c r="D565" s="45"/>
      <c r="E565" s="45"/>
      <c r="F565" s="45"/>
      <c r="G565" s="52"/>
      <c r="H565" s="52"/>
      <c r="I565" s="45"/>
      <c r="J565" s="45"/>
      <c r="K565" s="45"/>
      <c r="L565" s="45"/>
      <c r="M565" s="45"/>
      <c r="N565" s="45"/>
      <c r="O565" s="45"/>
      <c r="P565" s="45"/>
      <c r="Q565" s="45"/>
      <c r="R565" s="45"/>
      <c r="S565" s="45"/>
      <c r="T565" s="45"/>
      <c r="U565" s="45"/>
      <c r="V565" s="45"/>
      <c r="W565" s="45"/>
      <c r="X565" s="45"/>
      <c r="Y565" s="45"/>
    </row>
    <row r="566" spans="1:25" ht="13.5" customHeight="1" x14ac:dyDescent="0.3">
      <c r="A566" s="45"/>
      <c r="B566" s="45"/>
      <c r="C566" s="52"/>
      <c r="D566" s="45"/>
      <c r="E566" s="45"/>
      <c r="F566" s="45"/>
      <c r="G566" s="52"/>
      <c r="H566" s="52"/>
      <c r="I566" s="45"/>
      <c r="J566" s="45"/>
      <c r="K566" s="45"/>
      <c r="L566" s="45"/>
      <c r="M566" s="45"/>
      <c r="N566" s="45"/>
      <c r="O566" s="45"/>
      <c r="P566" s="45"/>
      <c r="Q566" s="45"/>
      <c r="R566" s="45"/>
      <c r="S566" s="45"/>
      <c r="T566" s="45"/>
      <c r="U566" s="45"/>
      <c r="V566" s="45"/>
      <c r="W566" s="45"/>
      <c r="X566" s="45"/>
      <c r="Y566" s="45"/>
    </row>
    <row r="567" spans="1:25" ht="13.5" customHeight="1" x14ac:dyDescent="0.3">
      <c r="A567" s="45"/>
      <c r="B567" s="45"/>
      <c r="C567" s="52"/>
      <c r="D567" s="45"/>
      <c r="E567" s="45"/>
      <c r="F567" s="45"/>
      <c r="G567" s="52"/>
      <c r="H567" s="52"/>
      <c r="I567" s="45"/>
      <c r="J567" s="45"/>
      <c r="K567" s="45"/>
      <c r="L567" s="45"/>
      <c r="M567" s="45"/>
      <c r="N567" s="45"/>
      <c r="O567" s="45"/>
      <c r="P567" s="45"/>
      <c r="Q567" s="45"/>
      <c r="R567" s="45"/>
      <c r="S567" s="45"/>
      <c r="T567" s="45"/>
      <c r="U567" s="45"/>
      <c r="V567" s="45"/>
      <c r="W567" s="45"/>
      <c r="X567" s="45"/>
      <c r="Y567" s="45"/>
    </row>
    <row r="568" spans="1:25" ht="13.5" customHeight="1" x14ac:dyDescent="0.3">
      <c r="A568" s="45"/>
      <c r="B568" s="45"/>
      <c r="C568" s="52"/>
      <c r="D568" s="45"/>
      <c r="E568" s="45"/>
      <c r="F568" s="45"/>
      <c r="G568" s="52"/>
      <c r="H568" s="52"/>
      <c r="I568" s="45"/>
      <c r="J568" s="45"/>
      <c r="K568" s="45"/>
      <c r="L568" s="45"/>
      <c r="M568" s="45"/>
      <c r="N568" s="45"/>
      <c r="O568" s="45"/>
      <c r="P568" s="45"/>
      <c r="Q568" s="45"/>
      <c r="R568" s="45"/>
      <c r="S568" s="45"/>
      <c r="T568" s="45"/>
      <c r="U568" s="45"/>
      <c r="V568" s="45"/>
      <c r="W568" s="45"/>
      <c r="X568" s="45"/>
      <c r="Y568" s="45"/>
    </row>
    <row r="569" spans="1:25" ht="13.5" customHeight="1" x14ac:dyDescent="0.3">
      <c r="A569" s="45"/>
      <c r="B569" s="45"/>
      <c r="C569" s="52"/>
      <c r="D569" s="45"/>
      <c r="E569" s="45"/>
      <c r="F569" s="45"/>
      <c r="G569" s="52"/>
      <c r="H569" s="52"/>
      <c r="I569" s="45"/>
      <c r="J569" s="45"/>
      <c r="K569" s="45"/>
      <c r="L569" s="45"/>
      <c r="M569" s="45"/>
      <c r="N569" s="45"/>
      <c r="O569" s="45"/>
      <c r="P569" s="45"/>
      <c r="Q569" s="45"/>
      <c r="R569" s="45"/>
      <c r="S569" s="45"/>
      <c r="T569" s="45"/>
      <c r="U569" s="45"/>
      <c r="V569" s="45"/>
      <c r="W569" s="45"/>
      <c r="X569" s="45"/>
      <c r="Y569" s="45"/>
    </row>
    <row r="570" spans="1:25" ht="13.5" customHeight="1" x14ac:dyDescent="0.3">
      <c r="A570" s="45"/>
      <c r="B570" s="45"/>
      <c r="C570" s="52"/>
      <c r="D570" s="45"/>
      <c r="E570" s="45"/>
      <c r="F570" s="45"/>
      <c r="G570" s="52"/>
      <c r="H570" s="52"/>
      <c r="I570" s="45"/>
      <c r="J570" s="45"/>
      <c r="K570" s="45"/>
      <c r="L570" s="45"/>
      <c r="M570" s="45"/>
      <c r="N570" s="45"/>
      <c r="O570" s="45"/>
      <c r="P570" s="45"/>
      <c r="Q570" s="45"/>
      <c r="R570" s="45"/>
      <c r="S570" s="45"/>
      <c r="T570" s="45"/>
      <c r="U570" s="45"/>
      <c r="V570" s="45"/>
      <c r="W570" s="45"/>
      <c r="X570" s="45"/>
      <c r="Y570" s="45"/>
    </row>
    <row r="571" spans="1:25" ht="13.5" customHeight="1" x14ac:dyDescent="0.3">
      <c r="A571" s="45"/>
      <c r="B571" s="45"/>
      <c r="C571" s="52"/>
      <c r="D571" s="45"/>
      <c r="E571" s="45"/>
      <c r="F571" s="45"/>
      <c r="G571" s="52"/>
      <c r="H571" s="52"/>
      <c r="I571" s="45"/>
      <c r="J571" s="45"/>
      <c r="K571" s="45"/>
      <c r="L571" s="45"/>
      <c r="M571" s="45"/>
      <c r="N571" s="45"/>
      <c r="O571" s="45"/>
      <c r="P571" s="45"/>
      <c r="Q571" s="45"/>
      <c r="R571" s="45"/>
      <c r="S571" s="45"/>
      <c r="T571" s="45"/>
      <c r="U571" s="45"/>
      <c r="V571" s="45"/>
      <c r="W571" s="45"/>
      <c r="X571" s="45"/>
      <c r="Y571" s="45"/>
    </row>
    <row r="572" spans="1:25" ht="13.5" customHeight="1" x14ac:dyDescent="0.3">
      <c r="A572" s="45"/>
      <c r="B572" s="45"/>
      <c r="C572" s="52"/>
      <c r="D572" s="45"/>
      <c r="E572" s="45"/>
      <c r="F572" s="45"/>
      <c r="G572" s="52"/>
      <c r="H572" s="52"/>
      <c r="I572" s="45"/>
      <c r="J572" s="45"/>
      <c r="K572" s="45"/>
      <c r="L572" s="45"/>
      <c r="M572" s="45"/>
      <c r="N572" s="45"/>
      <c r="O572" s="45"/>
      <c r="P572" s="45"/>
      <c r="Q572" s="45"/>
      <c r="R572" s="45"/>
      <c r="S572" s="45"/>
      <c r="T572" s="45"/>
      <c r="U572" s="45"/>
      <c r="V572" s="45"/>
      <c r="W572" s="45"/>
      <c r="X572" s="45"/>
      <c r="Y572" s="45"/>
    </row>
    <row r="573" spans="1:25" ht="13.5" customHeight="1" x14ac:dyDescent="0.3">
      <c r="A573" s="45"/>
      <c r="B573" s="45"/>
      <c r="C573" s="52"/>
      <c r="D573" s="45"/>
      <c r="E573" s="45"/>
      <c r="F573" s="45"/>
      <c r="G573" s="52"/>
      <c r="H573" s="52"/>
      <c r="I573" s="45"/>
      <c r="J573" s="45"/>
      <c r="K573" s="45"/>
      <c r="L573" s="45"/>
      <c r="M573" s="45"/>
      <c r="N573" s="45"/>
      <c r="O573" s="45"/>
      <c r="P573" s="45"/>
      <c r="Q573" s="45"/>
      <c r="R573" s="45"/>
      <c r="S573" s="45"/>
      <c r="T573" s="45"/>
      <c r="U573" s="45"/>
      <c r="V573" s="45"/>
      <c r="W573" s="45"/>
      <c r="X573" s="45"/>
      <c r="Y573" s="45"/>
    </row>
    <row r="574" spans="1:25" ht="13.5" customHeight="1" x14ac:dyDescent="0.3">
      <c r="A574" s="45"/>
      <c r="B574" s="45"/>
      <c r="C574" s="52"/>
      <c r="D574" s="45"/>
      <c r="E574" s="45"/>
      <c r="F574" s="45"/>
      <c r="G574" s="52"/>
      <c r="H574" s="52"/>
      <c r="I574" s="45"/>
      <c r="J574" s="45"/>
      <c r="K574" s="45"/>
      <c r="L574" s="45"/>
      <c r="M574" s="45"/>
      <c r="N574" s="45"/>
      <c r="O574" s="45"/>
      <c r="P574" s="45"/>
      <c r="Q574" s="45"/>
      <c r="R574" s="45"/>
      <c r="S574" s="45"/>
      <c r="T574" s="45"/>
      <c r="U574" s="45"/>
      <c r="V574" s="45"/>
      <c r="W574" s="45"/>
      <c r="X574" s="45"/>
      <c r="Y574" s="45"/>
    </row>
    <row r="575" spans="1:25" ht="13.5" customHeight="1" x14ac:dyDescent="0.3">
      <c r="A575" s="45"/>
      <c r="B575" s="45"/>
      <c r="C575" s="52"/>
      <c r="D575" s="45"/>
      <c r="E575" s="45"/>
      <c r="F575" s="45"/>
      <c r="G575" s="52"/>
      <c r="H575" s="52"/>
      <c r="I575" s="45"/>
      <c r="J575" s="45"/>
      <c r="K575" s="45"/>
      <c r="L575" s="45"/>
      <c r="M575" s="45"/>
      <c r="N575" s="45"/>
      <c r="O575" s="45"/>
      <c r="P575" s="45"/>
      <c r="Q575" s="45"/>
      <c r="R575" s="45"/>
      <c r="S575" s="45"/>
      <c r="T575" s="45"/>
      <c r="U575" s="45"/>
      <c r="V575" s="45"/>
      <c r="W575" s="45"/>
      <c r="X575" s="45"/>
      <c r="Y575" s="45"/>
    </row>
    <row r="576" spans="1:25" ht="13.5" customHeight="1" x14ac:dyDescent="0.3">
      <c r="A576" s="45"/>
      <c r="B576" s="45"/>
      <c r="C576" s="52"/>
      <c r="D576" s="45"/>
      <c r="E576" s="45"/>
      <c r="F576" s="45"/>
      <c r="G576" s="52"/>
      <c r="H576" s="52"/>
      <c r="I576" s="45"/>
      <c r="J576" s="45"/>
      <c r="K576" s="45"/>
      <c r="L576" s="45"/>
      <c r="M576" s="45"/>
      <c r="N576" s="45"/>
      <c r="O576" s="45"/>
      <c r="P576" s="45"/>
      <c r="Q576" s="45"/>
      <c r="R576" s="45"/>
      <c r="S576" s="45"/>
      <c r="T576" s="45"/>
      <c r="U576" s="45"/>
      <c r="V576" s="45"/>
      <c r="W576" s="45"/>
      <c r="X576" s="45"/>
      <c r="Y576" s="45"/>
    </row>
    <row r="577" spans="1:25" ht="13.5" customHeight="1" x14ac:dyDescent="0.3">
      <c r="A577" s="45"/>
      <c r="B577" s="45"/>
      <c r="C577" s="52"/>
      <c r="D577" s="45"/>
      <c r="E577" s="45"/>
      <c r="F577" s="45"/>
      <c r="G577" s="52"/>
      <c r="H577" s="52"/>
      <c r="I577" s="45"/>
      <c r="J577" s="45"/>
      <c r="K577" s="45"/>
      <c r="L577" s="45"/>
      <c r="M577" s="45"/>
      <c r="N577" s="45"/>
      <c r="O577" s="45"/>
      <c r="P577" s="45"/>
      <c r="Q577" s="45"/>
      <c r="R577" s="45"/>
      <c r="S577" s="45"/>
      <c r="T577" s="45"/>
      <c r="U577" s="45"/>
      <c r="V577" s="45"/>
      <c r="W577" s="45"/>
      <c r="X577" s="45"/>
      <c r="Y577" s="45"/>
    </row>
    <row r="578" spans="1:25" ht="13.5" customHeight="1" x14ac:dyDescent="0.3">
      <c r="A578" s="45"/>
      <c r="B578" s="45"/>
      <c r="C578" s="52"/>
      <c r="D578" s="45"/>
      <c r="E578" s="45"/>
      <c r="F578" s="45"/>
      <c r="G578" s="52"/>
      <c r="H578" s="52"/>
      <c r="I578" s="45"/>
      <c r="J578" s="45"/>
      <c r="K578" s="45"/>
      <c r="L578" s="45"/>
      <c r="M578" s="45"/>
      <c r="N578" s="45"/>
      <c r="O578" s="45"/>
      <c r="P578" s="45"/>
      <c r="Q578" s="45"/>
      <c r="R578" s="45"/>
      <c r="S578" s="45"/>
      <c r="T578" s="45"/>
      <c r="U578" s="45"/>
      <c r="V578" s="45"/>
      <c r="W578" s="45"/>
      <c r="X578" s="45"/>
      <c r="Y578" s="45"/>
    </row>
    <row r="579" spans="1:25" ht="13.5" customHeight="1" x14ac:dyDescent="0.3">
      <c r="A579" s="45"/>
      <c r="B579" s="45"/>
      <c r="C579" s="52"/>
      <c r="D579" s="45"/>
      <c r="E579" s="45"/>
      <c r="F579" s="45"/>
      <c r="G579" s="52"/>
      <c r="H579" s="52"/>
      <c r="I579" s="45"/>
      <c r="J579" s="45"/>
      <c r="K579" s="45"/>
      <c r="L579" s="45"/>
      <c r="M579" s="45"/>
      <c r="N579" s="45"/>
      <c r="O579" s="45"/>
      <c r="P579" s="45"/>
      <c r="Q579" s="45"/>
      <c r="R579" s="45"/>
      <c r="S579" s="45"/>
      <c r="T579" s="45"/>
      <c r="U579" s="45"/>
      <c r="V579" s="45"/>
      <c r="W579" s="45"/>
      <c r="X579" s="45"/>
      <c r="Y579" s="45"/>
    </row>
    <row r="580" spans="1:25" ht="13.5" customHeight="1" x14ac:dyDescent="0.3">
      <c r="A580" s="45"/>
      <c r="B580" s="45"/>
      <c r="C580" s="52"/>
      <c r="D580" s="45"/>
      <c r="E580" s="45"/>
      <c r="F580" s="45"/>
      <c r="G580" s="52"/>
      <c r="H580" s="52"/>
      <c r="I580" s="45"/>
      <c r="J580" s="45"/>
      <c r="K580" s="45"/>
      <c r="L580" s="45"/>
      <c r="M580" s="45"/>
      <c r="N580" s="45"/>
      <c r="O580" s="45"/>
      <c r="P580" s="45"/>
      <c r="Q580" s="45"/>
      <c r="R580" s="45"/>
      <c r="S580" s="45"/>
      <c r="T580" s="45"/>
      <c r="U580" s="45"/>
      <c r="V580" s="45"/>
      <c r="W580" s="45"/>
      <c r="X580" s="45"/>
      <c r="Y580" s="45"/>
    </row>
    <row r="581" spans="1:25" ht="13.5" customHeight="1" x14ac:dyDescent="0.3">
      <c r="A581" s="45"/>
      <c r="B581" s="45"/>
      <c r="C581" s="52"/>
      <c r="D581" s="45"/>
      <c r="E581" s="45"/>
      <c r="F581" s="45"/>
      <c r="G581" s="52"/>
      <c r="H581" s="52"/>
      <c r="I581" s="45"/>
      <c r="J581" s="45"/>
      <c r="K581" s="45"/>
      <c r="L581" s="45"/>
      <c r="M581" s="45"/>
      <c r="N581" s="45"/>
      <c r="O581" s="45"/>
      <c r="P581" s="45"/>
      <c r="Q581" s="45"/>
      <c r="R581" s="45"/>
      <c r="S581" s="45"/>
      <c r="T581" s="45"/>
      <c r="U581" s="45"/>
      <c r="V581" s="45"/>
      <c r="W581" s="45"/>
      <c r="X581" s="45"/>
      <c r="Y581" s="45"/>
    </row>
    <row r="582" spans="1:25" ht="13.5" customHeight="1" x14ac:dyDescent="0.3">
      <c r="A582" s="45"/>
      <c r="B582" s="45"/>
      <c r="C582" s="52"/>
      <c r="D582" s="45"/>
      <c r="E582" s="45"/>
      <c r="F582" s="45"/>
      <c r="G582" s="52"/>
      <c r="H582" s="52"/>
      <c r="I582" s="45"/>
      <c r="J582" s="45"/>
      <c r="K582" s="45"/>
      <c r="L582" s="45"/>
      <c r="M582" s="45"/>
      <c r="N582" s="45"/>
      <c r="O582" s="45"/>
      <c r="P582" s="45"/>
      <c r="Q582" s="45"/>
      <c r="R582" s="45"/>
      <c r="S582" s="45"/>
      <c r="T582" s="45"/>
      <c r="U582" s="45"/>
      <c r="V582" s="45"/>
      <c r="W582" s="45"/>
      <c r="X582" s="45"/>
      <c r="Y582" s="45"/>
    </row>
    <row r="583" spans="1:25" ht="13.5" customHeight="1" x14ac:dyDescent="0.3">
      <c r="A583" s="45"/>
      <c r="B583" s="45"/>
      <c r="C583" s="52"/>
      <c r="D583" s="45"/>
      <c r="E583" s="45"/>
      <c r="F583" s="45"/>
      <c r="G583" s="52"/>
      <c r="H583" s="52"/>
      <c r="I583" s="45"/>
      <c r="J583" s="45"/>
      <c r="K583" s="45"/>
      <c r="L583" s="45"/>
      <c r="M583" s="45"/>
      <c r="N583" s="45"/>
      <c r="O583" s="45"/>
      <c r="P583" s="45"/>
      <c r="Q583" s="45"/>
      <c r="R583" s="45"/>
      <c r="S583" s="45"/>
      <c r="T583" s="45"/>
      <c r="U583" s="45"/>
      <c r="V583" s="45"/>
      <c r="W583" s="45"/>
      <c r="X583" s="45"/>
      <c r="Y583" s="45"/>
    </row>
    <row r="584" spans="1:25" ht="13.5" customHeight="1" x14ac:dyDescent="0.3">
      <c r="A584" s="45"/>
      <c r="B584" s="45"/>
      <c r="C584" s="52"/>
      <c r="D584" s="45"/>
      <c r="E584" s="45"/>
      <c r="F584" s="45"/>
      <c r="G584" s="52"/>
      <c r="H584" s="52"/>
      <c r="I584" s="45"/>
      <c r="J584" s="45"/>
      <c r="K584" s="45"/>
      <c r="L584" s="45"/>
      <c r="M584" s="45"/>
      <c r="N584" s="45"/>
      <c r="O584" s="45"/>
      <c r="P584" s="45"/>
      <c r="Q584" s="45"/>
      <c r="R584" s="45"/>
      <c r="S584" s="45"/>
      <c r="T584" s="45"/>
      <c r="U584" s="45"/>
      <c r="V584" s="45"/>
      <c r="W584" s="45"/>
      <c r="X584" s="45"/>
      <c r="Y584" s="45"/>
    </row>
    <row r="585" spans="1:25" ht="13.5" customHeight="1" x14ac:dyDescent="0.3">
      <c r="A585" s="45"/>
      <c r="B585" s="45"/>
      <c r="C585" s="52"/>
      <c r="D585" s="45"/>
      <c r="E585" s="45"/>
      <c r="F585" s="45"/>
      <c r="G585" s="52"/>
      <c r="H585" s="52"/>
      <c r="I585" s="45"/>
      <c r="J585" s="45"/>
      <c r="K585" s="45"/>
      <c r="L585" s="45"/>
      <c r="M585" s="45"/>
      <c r="N585" s="45"/>
      <c r="O585" s="45"/>
      <c r="P585" s="45"/>
      <c r="Q585" s="45"/>
      <c r="R585" s="45"/>
      <c r="S585" s="45"/>
      <c r="T585" s="45"/>
      <c r="U585" s="45"/>
      <c r="V585" s="45"/>
      <c r="W585" s="45"/>
      <c r="X585" s="45"/>
      <c r="Y585" s="45"/>
    </row>
    <row r="586" spans="1:25" ht="13.5" customHeight="1" x14ac:dyDescent="0.3">
      <c r="A586" s="45"/>
      <c r="B586" s="45"/>
      <c r="C586" s="52"/>
      <c r="D586" s="45"/>
      <c r="E586" s="45"/>
      <c r="F586" s="45"/>
      <c r="G586" s="52"/>
      <c r="H586" s="52"/>
      <c r="I586" s="45"/>
      <c r="J586" s="45"/>
      <c r="K586" s="45"/>
      <c r="L586" s="45"/>
      <c r="M586" s="45"/>
      <c r="N586" s="45"/>
      <c r="O586" s="45"/>
      <c r="P586" s="45"/>
      <c r="Q586" s="45"/>
      <c r="R586" s="45"/>
      <c r="S586" s="45"/>
      <c r="T586" s="45"/>
      <c r="U586" s="45"/>
      <c r="V586" s="45"/>
      <c r="W586" s="45"/>
      <c r="X586" s="45"/>
      <c r="Y586" s="45"/>
    </row>
    <row r="587" spans="1:25" ht="13.5" customHeight="1" x14ac:dyDescent="0.3">
      <c r="A587" s="45"/>
      <c r="B587" s="45"/>
      <c r="C587" s="52"/>
      <c r="D587" s="45"/>
      <c r="E587" s="45"/>
      <c r="F587" s="45"/>
      <c r="G587" s="52"/>
      <c r="H587" s="52"/>
      <c r="I587" s="45"/>
      <c r="J587" s="45"/>
      <c r="K587" s="45"/>
      <c r="L587" s="45"/>
      <c r="M587" s="45"/>
      <c r="N587" s="45"/>
      <c r="O587" s="45"/>
      <c r="P587" s="45"/>
      <c r="Q587" s="45"/>
      <c r="R587" s="45"/>
      <c r="S587" s="45"/>
      <c r="T587" s="45"/>
      <c r="U587" s="45"/>
      <c r="V587" s="45"/>
      <c r="W587" s="45"/>
      <c r="X587" s="45"/>
      <c r="Y587" s="45"/>
    </row>
    <row r="588" spans="1:25" ht="13.5" customHeight="1" x14ac:dyDescent="0.3">
      <c r="A588" s="45"/>
      <c r="B588" s="45"/>
      <c r="C588" s="52"/>
      <c r="D588" s="45"/>
      <c r="E588" s="45"/>
      <c r="F588" s="45"/>
      <c r="G588" s="52"/>
      <c r="H588" s="52"/>
      <c r="I588" s="45"/>
      <c r="J588" s="45"/>
      <c r="K588" s="45"/>
      <c r="L588" s="45"/>
      <c r="M588" s="45"/>
      <c r="N588" s="45"/>
      <c r="O588" s="45"/>
      <c r="P588" s="45"/>
      <c r="Q588" s="45"/>
      <c r="R588" s="45"/>
      <c r="S588" s="45"/>
      <c r="T588" s="45"/>
      <c r="U588" s="45"/>
      <c r="V588" s="45"/>
      <c r="W588" s="45"/>
      <c r="X588" s="45"/>
      <c r="Y588" s="45"/>
    </row>
    <row r="589" spans="1:25" ht="13.5" customHeight="1" x14ac:dyDescent="0.3">
      <c r="A589" s="45"/>
      <c r="B589" s="45"/>
      <c r="C589" s="52"/>
      <c r="D589" s="45"/>
      <c r="E589" s="45"/>
      <c r="F589" s="45"/>
      <c r="G589" s="52"/>
      <c r="H589" s="52"/>
      <c r="I589" s="45"/>
      <c r="J589" s="45"/>
      <c r="K589" s="45"/>
      <c r="L589" s="45"/>
      <c r="M589" s="45"/>
      <c r="N589" s="45"/>
      <c r="O589" s="45"/>
      <c r="P589" s="45"/>
      <c r="Q589" s="45"/>
      <c r="R589" s="45"/>
      <c r="S589" s="45"/>
      <c r="T589" s="45"/>
      <c r="U589" s="45"/>
      <c r="V589" s="45"/>
      <c r="W589" s="45"/>
      <c r="X589" s="45"/>
      <c r="Y589" s="45"/>
    </row>
    <row r="590" spans="1:25" ht="13.5" customHeight="1" x14ac:dyDescent="0.3">
      <c r="A590" s="45"/>
      <c r="B590" s="45"/>
      <c r="C590" s="52"/>
      <c r="D590" s="45"/>
      <c r="E590" s="45"/>
      <c r="F590" s="45"/>
      <c r="G590" s="52"/>
      <c r="H590" s="52"/>
      <c r="I590" s="45"/>
      <c r="J590" s="45"/>
      <c r="K590" s="45"/>
      <c r="L590" s="45"/>
      <c r="M590" s="45"/>
      <c r="N590" s="45"/>
      <c r="O590" s="45"/>
      <c r="P590" s="45"/>
      <c r="Q590" s="45"/>
      <c r="R590" s="45"/>
      <c r="S590" s="45"/>
      <c r="T590" s="45"/>
      <c r="U590" s="45"/>
      <c r="V590" s="45"/>
      <c r="W590" s="45"/>
      <c r="X590" s="45"/>
      <c r="Y590" s="45"/>
    </row>
    <row r="591" spans="1:25" ht="13.5" customHeight="1" x14ac:dyDescent="0.3">
      <c r="A591" s="45"/>
      <c r="B591" s="45"/>
      <c r="C591" s="52"/>
      <c r="D591" s="45"/>
      <c r="E591" s="45"/>
      <c r="F591" s="45"/>
      <c r="G591" s="52"/>
      <c r="H591" s="52"/>
      <c r="I591" s="45"/>
      <c r="J591" s="45"/>
      <c r="K591" s="45"/>
      <c r="L591" s="45"/>
      <c r="M591" s="45"/>
      <c r="N591" s="45"/>
      <c r="O591" s="45"/>
      <c r="P591" s="45"/>
      <c r="Q591" s="45"/>
      <c r="R591" s="45"/>
      <c r="S591" s="45"/>
      <c r="T591" s="45"/>
      <c r="U591" s="45"/>
      <c r="V591" s="45"/>
      <c r="W591" s="45"/>
      <c r="X591" s="45"/>
      <c r="Y591" s="45"/>
    </row>
    <row r="592" spans="1:25" ht="13.5" customHeight="1" x14ac:dyDescent="0.3">
      <c r="A592" s="45"/>
      <c r="B592" s="45"/>
      <c r="C592" s="52"/>
      <c r="D592" s="45"/>
      <c r="E592" s="45"/>
      <c r="F592" s="45"/>
      <c r="G592" s="52"/>
      <c r="H592" s="52"/>
      <c r="I592" s="45"/>
      <c r="J592" s="45"/>
      <c r="K592" s="45"/>
      <c r="L592" s="45"/>
      <c r="M592" s="45"/>
      <c r="N592" s="45"/>
      <c r="O592" s="45"/>
      <c r="P592" s="45"/>
      <c r="Q592" s="45"/>
      <c r="R592" s="45"/>
      <c r="S592" s="45"/>
      <c r="T592" s="45"/>
      <c r="U592" s="45"/>
      <c r="V592" s="45"/>
      <c r="W592" s="45"/>
      <c r="X592" s="45"/>
      <c r="Y592" s="45"/>
    </row>
    <row r="593" spans="1:25" ht="13.5" customHeight="1" x14ac:dyDescent="0.3">
      <c r="A593" s="45"/>
      <c r="B593" s="45"/>
      <c r="C593" s="52"/>
      <c r="D593" s="45"/>
      <c r="E593" s="45"/>
      <c r="F593" s="45"/>
      <c r="G593" s="52"/>
      <c r="H593" s="52"/>
      <c r="I593" s="45"/>
      <c r="J593" s="45"/>
      <c r="K593" s="45"/>
      <c r="L593" s="45"/>
      <c r="M593" s="45"/>
      <c r="N593" s="45"/>
      <c r="O593" s="45"/>
      <c r="P593" s="45"/>
      <c r="Q593" s="45"/>
      <c r="R593" s="45"/>
      <c r="S593" s="45"/>
      <c r="T593" s="45"/>
      <c r="U593" s="45"/>
      <c r="V593" s="45"/>
      <c r="W593" s="45"/>
      <c r="X593" s="45"/>
      <c r="Y593" s="45"/>
    </row>
    <row r="594" spans="1:25" ht="13.5" customHeight="1" x14ac:dyDescent="0.3">
      <c r="A594" s="45"/>
      <c r="B594" s="45"/>
      <c r="C594" s="52"/>
      <c r="D594" s="45"/>
      <c r="E594" s="45"/>
      <c r="F594" s="45"/>
      <c r="G594" s="52"/>
      <c r="H594" s="52"/>
      <c r="I594" s="45"/>
      <c r="J594" s="45"/>
      <c r="K594" s="45"/>
      <c r="L594" s="45"/>
      <c r="M594" s="45"/>
      <c r="N594" s="45"/>
      <c r="O594" s="45"/>
      <c r="P594" s="45"/>
      <c r="Q594" s="45"/>
      <c r="R594" s="45"/>
      <c r="S594" s="45"/>
      <c r="T594" s="45"/>
      <c r="U594" s="45"/>
      <c r="V594" s="45"/>
      <c r="W594" s="45"/>
      <c r="X594" s="45"/>
      <c r="Y594" s="45"/>
    </row>
    <row r="595" spans="1:25" ht="13.5" customHeight="1" x14ac:dyDescent="0.3">
      <c r="A595" s="45"/>
      <c r="B595" s="45"/>
      <c r="C595" s="52"/>
      <c r="D595" s="45"/>
      <c r="E595" s="45"/>
      <c r="F595" s="45"/>
      <c r="G595" s="52"/>
      <c r="H595" s="52"/>
      <c r="I595" s="45"/>
      <c r="J595" s="45"/>
      <c r="K595" s="45"/>
      <c r="L595" s="45"/>
      <c r="M595" s="45"/>
      <c r="N595" s="45"/>
      <c r="O595" s="45"/>
      <c r="P595" s="45"/>
      <c r="Q595" s="45"/>
      <c r="R595" s="45"/>
      <c r="S595" s="45"/>
      <c r="T595" s="45"/>
      <c r="U595" s="45"/>
      <c r="V595" s="45"/>
      <c r="W595" s="45"/>
      <c r="X595" s="45"/>
      <c r="Y595" s="45"/>
    </row>
    <row r="596" spans="1:25" ht="13.5" customHeight="1" x14ac:dyDescent="0.3">
      <c r="A596" s="45"/>
      <c r="B596" s="45"/>
      <c r="C596" s="52"/>
      <c r="D596" s="45"/>
      <c r="E596" s="45"/>
      <c r="F596" s="45"/>
      <c r="G596" s="52"/>
      <c r="H596" s="52"/>
      <c r="I596" s="45"/>
      <c r="J596" s="45"/>
      <c r="K596" s="45"/>
      <c r="L596" s="45"/>
      <c r="M596" s="45"/>
      <c r="N596" s="45"/>
      <c r="O596" s="45"/>
      <c r="P596" s="45"/>
      <c r="Q596" s="45"/>
      <c r="R596" s="45"/>
      <c r="S596" s="45"/>
      <c r="T596" s="45"/>
      <c r="U596" s="45"/>
      <c r="V596" s="45"/>
      <c r="W596" s="45"/>
      <c r="X596" s="45"/>
      <c r="Y596" s="45"/>
    </row>
    <row r="597" spans="1:25" ht="13.5" customHeight="1" x14ac:dyDescent="0.3">
      <c r="A597" s="45"/>
      <c r="B597" s="45"/>
      <c r="C597" s="52"/>
      <c r="D597" s="45"/>
      <c r="E597" s="45"/>
      <c r="F597" s="45"/>
      <c r="G597" s="52"/>
      <c r="H597" s="52"/>
      <c r="I597" s="45"/>
      <c r="J597" s="45"/>
      <c r="K597" s="45"/>
      <c r="L597" s="45"/>
      <c r="M597" s="45"/>
      <c r="N597" s="45"/>
      <c r="O597" s="45"/>
      <c r="P597" s="45"/>
      <c r="Q597" s="45"/>
      <c r="R597" s="45"/>
      <c r="S597" s="45"/>
      <c r="T597" s="45"/>
      <c r="U597" s="45"/>
      <c r="V597" s="45"/>
      <c r="W597" s="45"/>
      <c r="X597" s="45"/>
      <c r="Y597" s="45"/>
    </row>
    <row r="598" spans="1:25" ht="13.5" customHeight="1" x14ac:dyDescent="0.3">
      <c r="A598" s="45"/>
      <c r="B598" s="45"/>
      <c r="C598" s="52"/>
      <c r="D598" s="45"/>
      <c r="E598" s="45"/>
      <c r="F598" s="45"/>
      <c r="G598" s="52"/>
      <c r="H598" s="52"/>
      <c r="I598" s="45"/>
      <c r="J598" s="45"/>
      <c r="K598" s="45"/>
      <c r="L598" s="45"/>
      <c r="M598" s="45"/>
      <c r="N598" s="45"/>
      <c r="O598" s="45"/>
      <c r="P598" s="45"/>
      <c r="Q598" s="45"/>
      <c r="R598" s="45"/>
      <c r="S598" s="45"/>
      <c r="T598" s="45"/>
      <c r="U598" s="45"/>
      <c r="V598" s="45"/>
      <c r="W598" s="45"/>
      <c r="X598" s="45"/>
      <c r="Y598" s="45"/>
    </row>
    <row r="599" spans="1:25" ht="13.5" customHeight="1" x14ac:dyDescent="0.3">
      <c r="A599" s="45"/>
      <c r="B599" s="45"/>
      <c r="C599" s="52"/>
      <c r="D599" s="45"/>
      <c r="E599" s="45"/>
      <c r="F599" s="45"/>
      <c r="G599" s="52"/>
      <c r="H599" s="52"/>
      <c r="I599" s="45"/>
      <c r="J599" s="45"/>
      <c r="K599" s="45"/>
      <c r="L599" s="45"/>
      <c r="M599" s="45"/>
      <c r="N599" s="45"/>
      <c r="O599" s="45"/>
      <c r="P599" s="45"/>
      <c r="Q599" s="45"/>
      <c r="R599" s="45"/>
      <c r="S599" s="45"/>
      <c r="T599" s="45"/>
      <c r="U599" s="45"/>
      <c r="V599" s="45"/>
      <c r="W599" s="45"/>
      <c r="X599" s="45"/>
      <c r="Y599" s="45"/>
    </row>
    <row r="600" spans="1:25" ht="13.5" customHeight="1" x14ac:dyDescent="0.3">
      <c r="A600" s="45"/>
      <c r="B600" s="45"/>
      <c r="C600" s="52"/>
      <c r="D600" s="45"/>
      <c r="E600" s="45"/>
      <c r="F600" s="45"/>
      <c r="G600" s="52"/>
      <c r="H600" s="52"/>
      <c r="I600" s="45"/>
      <c r="J600" s="45"/>
      <c r="K600" s="45"/>
      <c r="L600" s="45"/>
      <c r="M600" s="45"/>
      <c r="N600" s="45"/>
      <c r="O600" s="45"/>
      <c r="P600" s="45"/>
      <c r="Q600" s="45"/>
      <c r="R600" s="45"/>
      <c r="S600" s="45"/>
      <c r="T600" s="45"/>
      <c r="U600" s="45"/>
      <c r="V600" s="45"/>
      <c r="W600" s="45"/>
      <c r="X600" s="45"/>
      <c r="Y600" s="45"/>
    </row>
    <row r="601" spans="1:25" ht="13.5" customHeight="1" x14ac:dyDescent="0.3">
      <c r="A601" s="45"/>
      <c r="B601" s="45"/>
      <c r="C601" s="52"/>
      <c r="D601" s="45"/>
      <c r="E601" s="45"/>
      <c r="F601" s="45"/>
      <c r="G601" s="52"/>
      <c r="H601" s="52"/>
      <c r="I601" s="45"/>
      <c r="J601" s="45"/>
      <c r="K601" s="45"/>
      <c r="L601" s="45"/>
      <c r="M601" s="45"/>
      <c r="N601" s="45"/>
      <c r="O601" s="45"/>
      <c r="P601" s="45"/>
      <c r="Q601" s="45"/>
      <c r="R601" s="45"/>
      <c r="S601" s="45"/>
      <c r="T601" s="45"/>
      <c r="U601" s="45"/>
      <c r="V601" s="45"/>
      <c r="W601" s="45"/>
      <c r="X601" s="45"/>
      <c r="Y601" s="45"/>
    </row>
    <row r="602" spans="1:25" ht="13.5" customHeight="1" x14ac:dyDescent="0.3">
      <c r="A602" s="45"/>
      <c r="B602" s="45"/>
      <c r="C602" s="52"/>
      <c r="D602" s="45"/>
      <c r="E602" s="45"/>
      <c r="F602" s="45"/>
      <c r="G602" s="52"/>
      <c r="H602" s="52"/>
      <c r="I602" s="45"/>
      <c r="J602" s="45"/>
      <c r="K602" s="45"/>
      <c r="L602" s="45"/>
      <c r="M602" s="45"/>
      <c r="N602" s="45"/>
      <c r="O602" s="45"/>
      <c r="P602" s="45"/>
      <c r="Q602" s="45"/>
      <c r="R602" s="45"/>
      <c r="S602" s="45"/>
      <c r="T602" s="45"/>
      <c r="U602" s="45"/>
      <c r="V602" s="45"/>
      <c r="W602" s="45"/>
      <c r="X602" s="45"/>
      <c r="Y602" s="45"/>
    </row>
    <row r="603" spans="1:25" ht="13.5" customHeight="1" x14ac:dyDescent="0.3">
      <c r="A603" s="45"/>
      <c r="B603" s="45"/>
      <c r="C603" s="52"/>
      <c r="D603" s="45"/>
      <c r="E603" s="45"/>
      <c r="F603" s="45"/>
      <c r="G603" s="52"/>
      <c r="H603" s="52"/>
      <c r="I603" s="45"/>
      <c r="J603" s="45"/>
      <c r="K603" s="45"/>
      <c r="L603" s="45"/>
      <c r="M603" s="45"/>
      <c r="N603" s="45"/>
      <c r="O603" s="45"/>
      <c r="P603" s="45"/>
      <c r="Q603" s="45"/>
      <c r="R603" s="45"/>
      <c r="S603" s="45"/>
      <c r="T603" s="45"/>
      <c r="U603" s="45"/>
      <c r="V603" s="45"/>
      <c r="W603" s="45"/>
      <c r="X603" s="45"/>
      <c r="Y603" s="45"/>
    </row>
    <row r="604" spans="1:25" ht="13.5" customHeight="1" x14ac:dyDescent="0.3">
      <c r="A604" s="45"/>
      <c r="B604" s="45"/>
      <c r="C604" s="52"/>
      <c r="D604" s="45"/>
      <c r="E604" s="45"/>
      <c r="F604" s="45"/>
      <c r="G604" s="52"/>
      <c r="H604" s="52"/>
      <c r="I604" s="45"/>
      <c r="J604" s="45"/>
      <c r="K604" s="45"/>
      <c r="L604" s="45"/>
      <c r="M604" s="45"/>
      <c r="N604" s="45"/>
      <c r="O604" s="45"/>
      <c r="P604" s="45"/>
      <c r="Q604" s="45"/>
      <c r="R604" s="45"/>
      <c r="S604" s="45"/>
      <c r="T604" s="45"/>
      <c r="U604" s="45"/>
      <c r="V604" s="45"/>
      <c r="W604" s="45"/>
      <c r="X604" s="45"/>
      <c r="Y604" s="45"/>
    </row>
    <row r="605" spans="1:25" ht="13.5" customHeight="1" x14ac:dyDescent="0.3">
      <c r="A605" s="45"/>
      <c r="B605" s="45"/>
      <c r="C605" s="52"/>
      <c r="D605" s="45"/>
      <c r="E605" s="45"/>
      <c r="F605" s="45"/>
      <c r="G605" s="52"/>
      <c r="H605" s="52"/>
      <c r="I605" s="45"/>
      <c r="J605" s="45"/>
      <c r="K605" s="45"/>
      <c r="L605" s="45"/>
      <c r="M605" s="45"/>
      <c r="N605" s="45"/>
      <c r="O605" s="45"/>
      <c r="P605" s="45"/>
      <c r="Q605" s="45"/>
      <c r="R605" s="45"/>
      <c r="S605" s="45"/>
      <c r="T605" s="45"/>
      <c r="U605" s="45"/>
      <c r="V605" s="45"/>
      <c r="W605" s="45"/>
      <c r="X605" s="45"/>
      <c r="Y605" s="45"/>
    </row>
    <row r="606" spans="1:25" ht="13.5" customHeight="1" x14ac:dyDescent="0.3">
      <c r="A606" s="45"/>
      <c r="B606" s="45"/>
      <c r="C606" s="52"/>
      <c r="D606" s="45"/>
      <c r="E606" s="45"/>
      <c r="F606" s="45"/>
      <c r="G606" s="52"/>
      <c r="H606" s="52"/>
      <c r="I606" s="45"/>
      <c r="J606" s="45"/>
      <c r="K606" s="45"/>
      <c r="L606" s="45"/>
      <c r="M606" s="45"/>
      <c r="N606" s="45"/>
      <c r="O606" s="45"/>
      <c r="P606" s="45"/>
      <c r="Q606" s="45"/>
      <c r="R606" s="45"/>
      <c r="S606" s="45"/>
      <c r="T606" s="45"/>
      <c r="U606" s="45"/>
      <c r="V606" s="45"/>
      <c r="W606" s="45"/>
      <c r="X606" s="45"/>
      <c r="Y606" s="45"/>
    </row>
    <row r="607" spans="1:25" ht="13.5" customHeight="1" x14ac:dyDescent="0.3">
      <c r="A607" s="45"/>
      <c r="B607" s="45"/>
      <c r="C607" s="52"/>
      <c r="D607" s="45"/>
      <c r="E607" s="45"/>
      <c r="F607" s="45"/>
      <c r="G607" s="52"/>
      <c r="H607" s="52"/>
      <c r="I607" s="45"/>
      <c r="J607" s="45"/>
      <c r="K607" s="45"/>
      <c r="L607" s="45"/>
      <c r="M607" s="45"/>
      <c r="N607" s="45"/>
      <c r="O607" s="45"/>
      <c r="P607" s="45"/>
      <c r="Q607" s="45"/>
      <c r="R607" s="45"/>
      <c r="S607" s="45"/>
      <c r="T607" s="45"/>
      <c r="U607" s="45"/>
      <c r="V607" s="45"/>
      <c r="W607" s="45"/>
      <c r="X607" s="45"/>
      <c r="Y607" s="45"/>
    </row>
    <row r="608" spans="1:25" ht="13.5" customHeight="1" x14ac:dyDescent="0.3">
      <c r="A608" s="45"/>
      <c r="B608" s="45"/>
      <c r="C608" s="52"/>
      <c r="D608" s="45"/>
      <c r="E608" s="45"/>
      <c r="F608" s="45"/>
      <c r="G608" s="52"/>
      <c r="H608" s="52"/>
      <c r="I608" s="45"/>
      <c r="J608" s="45"/>
      <c r="K608" s="45"/>
      <c r="L608" s="45"/>
      <c r="M608" s="45"/>
      <c r="N608" s="45"/>
      <c r="O608" s="45"/>
      <c r="P608" s="45"/>
      <c r="Q608" s="45"/>
      <c r="R608" s="45"/>
      <c r="S608" s="45"/>
      <c r="T608" s="45"/>
      <c r="U608" s="45"/>
      <c r="V608" s="45"/>
      <c r="W608" s="45"/>
      <c r="X608" s="45"/>
      <c r="Y608" s="45"/>
    </row>
    <row r="609" spans="1:25" ht="13.5" customHeight="1" x14ac:dyDescent="0.3">
      <c r="A609" s="45"/>
      <c r="B609" s="45"/>
      <c r="C609" s="52"/>
      <c r="D609" s="45"/>
      <c r="E609" s="45"/>
      <c r="F609" s="45"/>
      <c r="G609" s="52"/>
      <c r="H609" s="52"/>
      <c r="I609" s="45"/>
      <c r="J609" s="45"/>
      <c r="K609" s="45"/>
      <c r="L609" s="45"/>
      <c r="M609" s="45"/>
      <c r="N609" s="45"/>
      <c r="O609" s="45"/>
      <c r="P609" s="45"/>
      <c r="Q609" s="45"/>
      <c r="R609" s="45"/>
      <c r="S609" s="45"/>
      <c r="T609" s="45"/>
      <c r="U609" s="45"/>
      <c r="V609" s="45"/>
      <c r="W609" s="45"/>
      <c r="X609" s="45"/>
      <c r="Y609" s="45"/>
    </row>
    <row r="610" spans="1:25" ht="13.5" customHeight="1" x14ac:dyDescent="0.3">
      <c r="A610" s="45"/>
      <c r="B610" s="45"/>
      <c r="C610" s="52"/>
      <c r="D610" s="45"/>
      <c r="E610" s="45"/>
      <c r="F610" s="45"/>
      <c r="G610" s="52"/>
      <c r="H610" s="52"/>
      <c r="I610" s="45"/>
      <c r="J610" s="45"/>
      <c r="K610" s="45"/>
      <c r="L610" s="45"/>
      <c r="M610" s="45"/>
      <c r="N610" s="45"/>
      <c r="O610" s="45"/>
      <c r="P610" s="45"/>
      <c r="Q610" s="45"/>
      <c r="R610" s="45"/>
      <c r="S610" s="45"/>
      <c r="T610" s="45"/>
      <c r="U610" s="45"/>
      <c r="V610" s="45"/>
      <c r="W610" s="45"/>
      <c r="X610" s="45"/>
      <c r="Y610" s="45"/>
    </row>
    <row r="611" spans="1:25" ht="13.5" customHeight="1" x14ac:dyDescent="0.3">
      <c r="A611" s="45"/>
      <c r="B611" s="45"/>
      <c r="C611" s="52"/>
      <c r="D611" s="45"/>
      <c r="E611" s="45"/>
      <c r="F611" s="45"/>
      <c r="G611" s="52"/>
      <c r="H611" s="52"/>
      <c r="I611" s="45"/>
      <c r="J611" s="45"/>
      <c r="K611" s="45"/>
      <c r="L611" s="45"/>
      <c r="M611" s="45"/>
      <c r="N611" s="45"/>
      <c r="O611" s="45"/>
      <c r="P611" s="45"/>
      <c r="Q611" s="45"/>
      <c r="R611" s="45"/>
      <c r="S611" s="45"/>
      <c r="T611" s="45"/>
      <c r="U611" s="45"/>
      <c r="V611" s="45"/>
      <c r="W611" s="45"/>
      <c r="X611" s="45"/>
      <c r="Y611" s="45"/>
    </row>
    <row r="612" spans="1:25" ht="13.5" customHeight="1" x14ac:dyDescent="0.3">
      <c r="A612" s="45"/>
      <c r="B612" s="45"/>
      <c r="C612" s="52"/>
      <c r="D612" s="45"/>
      <c r="E612" s="45"/>
      <c r="F612" s="45"/>
      <c r="G612" s="52"/>
      <c r="H612" s="52"/>
      <c r="I612" s="45"/>
      <c r="J612" s="45"/>
      <c r="K612" s="45"/>
      <c r="L612" s="45"/>
      <c r="M612" s="45"/>
      <c r="N612" s="45"/>
      <c r="O612" s="45"/>
      <c r="P612" s="45"/>
      <c r="Q612" s="45"/>
      <c r="R612" s="45"/>
      <c r="S612" s="45"/>
      <c r="T612" s="45"/>
      <c r="U612" s="45"/>
      <c r="V612" s="45"/>
      <c r="W612" s="45"/>
      <c r="X612" s="45"/>
      <c r="Y612" s="45"/>
    </row>
    <row r="613" spans="1:25" ht="13.5" customHeight="1" x14ac:dyDescent="0.3">
      <c r="A613" s="45"/>
      <c r="B613" s="45"/>
      <c r="C613" s="52"/>
      <c r="D613" s="45"/>
      <c r="E613" s="45"/>
      <c r="F613" s="45"/>
      <c r="G613" s="52"/>
      <c r="H613" s="52"/>
      <c r="I613" s="45"/>
      <c r="J613" s="45"/>
      <c r="K613" s="45"/>
      <c r="L613" s="45"/>
      <c r="M613" s="45"/>
      <c r="N613" s="45"/>
      <c r="O613" s="45"/>
      <c r="P613" s="45"/>
      <c r="Q613" s="45"/>
      <c r="R613" s="45"/>
      <c r="S613" s="45"/>
      <c r="T613" s="45"/>
      <c r="U613" s="45"/>
      <c r="V613" s="45"/>
      <c r="W613" s="45"/>
      <c r="X613" s="45"/>
      <c r="Y613" s="45"/>
    </row>
    <row r="614" spans="1:25" ht="13.5" customHeight="1" x14ac:dyDescent="0.3">
      <c r="A614" s="45"/>
      <c r="B614" s="45"/>
      <c r="C614" s="52"/>
      <c r="D614" s="45"/>
      <c r="E614" s="45"/>
      <c r="F614" s="45"/>
      <c r="G614" s="52"/>
      <c r="H614" s="52"/>
      <c r="I614" s="45"/>
      <c r="J614" s="45"/>
      <c r="K614" s="45"/>
      <c r="L614" s="45"/>
      <c r="M614" s="45"/>
      <c r="N614" s="45"/>
      <c r="O614" s="45"/>
      <c r="P614" s="45"/>
      <c r="Q614" s="45"/>
      <c r="R614" s="45"/>
      <c r="S614" s="45"/>
      <c r="T614" s="45"/>
      <c r="U614" s="45"/>
      <c r="V614" s="45"/>
      <c r="W614" s="45"/>
      <c r="X614" s="45"/>
      <c r="Y614" s="45"/>
    </row>
    <row r="615" spans="1:25" ht="13.5" customHeight="1" x14ac:dyDescent="0.3">
      <c r="A615" s="45"/>
      <c r="B615" s="45"/>
      <c r="C615" s="52"/>
      <c r="D615" s="45"/>
      <c r="E615" s="45"/>
      <c r="F615" s="45"/>
      <c r="G615" s="52"/>
      <c r="H615" s="52"/>
      <c r="I615" s="45"/>
      <c r="J615" s="45"/>
      <c r="K615" s="45"/>
      <c r="L615" s="45"/>
      <c r="M615" s="45"/>
      <c r="N615" s="45"/>
      <c r="O615" s="45"/>
      <c r="P615" s="45"/>
      <c r="Q615" s="45"/>
      <c r="R615" s="45"/>
      <c r="S615" s="45"/>
      <c r="T615" s="45"/>
      <c r="U615" s="45"/>
      <c r="V615" s="45"/>
      <c r="W615" s="45"/>
      <c r="X615" s="45"/>
      <c r="Y615" s="45"/>
    </row>
    <row r="616" spans="1:25" ht="13.5" customHeight="1" x14ac:dyDescent="0.3">
      <c r="A616" s="45"/>
      <c r="B616" s="45"/>
      <c r="C616" s="52"/>
      <c r="D616" s="45"/>
      <c r="E616" s="45"/>
      <c r="F616" s="45"/>
      <c r="G616" s="52"/>
      <c r="H616" s="52"/>
      <c r="I616" s="45"/>
      <c r="J616" s="45"/>
      <c r="K616" s="45"/>
      <c r="L616" s="45"/>
      <c r="M616" s="45"/>
      <c r="N616" s="45"/>
      <c r="O616" s="45"/>
      <c r="P616" s="45"/>
      <c r="Q616" s="45"/>
      <c r="R616" s="45"/>
      <c r="S616" s="45"/>
      <c r="T616" s="45"/>
      <c r="U616" s="45"/>
      <c r="V616" s="45"/>
      <c r="W616" s="45"/>
      <c r="X616" s="45"/>
      <c r="Y616" s="45"/>
    </row>
    <row r="617" spans="1:25" ht="13.5" customHeight="1" x14ac:dyDescent="0.3">
      <c r="A617" s="45"/>
      <c r="B617" s="45"/>
      <c r="C617" s="52"/>
      <c r="D617" s="45"/>
      <c r="E617" s="45"/>
      <c r="F617" s="45"/>
      <c r="G617" s="52"/>
      <c r="H617" s="52"/>
      <c r="I617" s="45"/>
      <c r="J617" s="45"/>
      <c r="K617" s="45"/>
      <c r="L617" s="45"/>
      <c r="M617" s="45"/>
      <c r="N617" s="45"/>
      <c r="O617" s="45"/>
      <c r="P617" s="45"/>
      <c r="Q617" s="45"/>
      <c r="R617" s="45"/>
      <c r="S617" s="45"/>
      <c r="T617" s="45"/>
      <c r="U617" s="45"/>
      <c r="V617" s="45"/>
      <c r="W617" s="45"/>
      <c r="X617" s="45"/>
      <c r="Y617" s="45"/>
    </row>
    <row r="618" spans="1:25" ht="13.5" customHeight="1" x14ac:dyDescent="0.3">
      <c r="A618" s="45"/>
      <c r="B618" s="45"/>
      <c r="C618" s="52"/>
      <c r="D618" s="45"/>
      <c r="E618" s="45"/>
      <c r="F618" s="45"/>
      <c r="G618" s="52"/>
      <c r="H618" s="52"/>
      <c r="I618" s="45"/>
      <c r="J618" s="45"/>
      <c r="K618" s="45"/>
      <c r="L618" s="45"/>
      <c r="M618" s="45"/>
      <c r="N618" s="45"/>
      <c r="O618" s="45"/>
      <c r="P618" s="45"/>
      <c r="Q618" s="45"/>
      <c r="R618" s="45"/>
      <c r="S618" s="45"/>
      <c r="T618" s="45"/>
      <c r="U618" s="45"/>
      <c r="V618" s="45"/>
      <c r="W618" s="45"/>
      <c r="X618" s="45"/>
      <c r="Y618" s="45"/>
    </row>
    <row r="619" spans="1:25" ht="13.5" customHeight="1" x14ac:dyDescent="0.3">
      <c r="A619" s="45"/>
      <c r="B619" s="45"/>
      <c r="C619" s="52"/>
      <c r="D619" s="45"/>
      <c r="E619" s="45"/>
      <c r="F619" s="45"/>
      <c r="G619" s="52"/>
      <c r="H619" s="52"/>
      <c r="I619" s="45"/>
      <c r="J619" s="45"/>
      <c r="K619" s="45"/>
      <c r="L619" s="45"/>
      <c r="M619" s="45"/>
      <c r="N619" s="45"/>
      <c r="O619" s="45"/>
      <c r="P619" s="45"/>
      <c r="Q619" s="45"/>
      <c r="R619" s="45"/>
      <c r="S619" s="45"/>
      <c r="T619" s="45"/>
      <c r="U619" s="45"/>
      <c r="V619" s="45"/>
      <c r="W619" s="45"/>
      <c r="X619" s="45"/>
      <c r="Y619" s="45"/>
    </row>
    <row r="620" spans="1:25" ht="13.5" customHeight="1" x14ac:dyDescent="0.3">
      <c r="A620" s="45"/>
      <c r="B620" s="45"/>
      <c r="C620" s="52"/>
      <c r="D620" s="45"/>
      <c r="E620" s="45"/>
      <c r="F620" s="45"/>
      <c r="G620" s="52"/>
      <c r="H620" s="52"/>
      <c r="I620" s="45"/>
      <c r="J620" s="45"/>
      <c r="K620" s="45"/>
      <c r="L620" s="45"/>
      <c r="M620" s="45"/>
      <c r="N620" s="45"/>
      <c r="O620" s="45"/>
      <c r="P620" s="45"/>
      <c r="Q620" s="45"/>
      <c r="R620" s="45"/>
      <c r="S620" s="45"/>
      <c r="T620" s="45"/>
      <c r="U620" s="45"/>
      <c r="V620" s="45"/>
      <c r="W620" s="45"/>
      <c r="X620" s="45"/>
      <c r="Y620" s="45"/>
    </row>
    <row r="621" spans="1:25" ht="13.5" customHeight="1" x14ac:dyDescent="0.3">
      <c r="A621" s="45"/>
      <c r="B621" s="45"/>
      <c r="C621" s="52"/>
      <c r="D621" s="45"/>
      <c r="E621" s="45"/>
      <c r="F621" s="45"/>
      <c r="G621" s="52"/>
      <c r="H621" s="52"/>
      <c r="I621" s="45"/>
      <c r="J621" s="45"/>
      <c r="K621" s="45"/>
      <c r="L621" s="45"/>
      <c r="M621" s="45"/>
      <c r="N621" s="45"/>
      <c r="O621" s="45"/>
      <c r="P621" s="45"/>
      <c r="Q621" s="45"/>
      <c r="R621" s="45"/>
      <c r="S621" s="45"/>
      <c r="T621" s="45"/>
      <c r="U621" s="45"/>
      <c r="V621" s="45"/>
      <c r="W621" s="45"/>
      <c r="X621" s="45"/>
      <c r="Y621" s="45"/>
    </row>
    <row r="622" spans="1:25" ht="13.5" customHeight="1" x14ac:dyDescent="0.3">
      <c r="A622" s="45"/>
      <c r="B622" s="45"/>
      <c r="C622" s="52"/>
      <c r="D622" s="45"/>
      <c r="E622" s="45"/>
      <c r="F622" s="45"/>
      <c r="G622" s="52"/>
      <c r="H622" s="52"/>
      <c r="I622" s="45"/>
      <c r="J622" s="45"/>
      <c r="K622" s="45"/>
      <c r="L622" s="45"/>
      <c r="M622" s="45"/>
      <c r="N622" s="45"/>
      <c r="O622" s="45"/>
      <c r="P622" s="45"/>
      <c r="Q622" s="45"/>
      <c r="R622" s="45"/>
      <c r="S622" s="45"/>
      <c r="T622" s="45"/>
      <c r="U622" s="45"/>
      <c r="V622" s="45"/>
      <c r="W622" s="45"/>
      <c r="X622" s="45"/>
      <c r="Y622" s="45"/>
    </row>
    <row r="623" spans="1:25" ht="13.5" customHeight="1" x14ac:dyDescent="0.3">
      <c r="A623" s="45"/>
      <c r="B623" s="45"/>
      <c r="C623" s="52"/>
      <c r="D623" s="45"/>
      <c r="E623" s="45"/>
      <c r="F623" s="45"/>
      <c r="G623" s="52"/>
      <c r="H623" s="52"/>
      <c r="I623" s="45"/>
      <c r="J623" s="45"/>
      <c r="K623" s="45"/>
      <c r="L623" s="45"/>
      <c r="M623" s="45"/>
      <c r="N623" s="45"/>
      <c r="O623" s="45"/>
      <c r="P623" s="45"/>
      <c r="Q623" s="45"/>
      <c r="R623" s="45"/>
      <c r="S623" s="45"/>
      <c r="T623" s="45"/>
      <c r="U623" s="45"/>
      <c r="V623" s="45"/>
      <c r="W623" s="45"/>
      <c r="X623" s="45"/>
      <c r="Y623" s="45"/>
    </row>
    <row r="624" spans="1:25" ht="13.5" customHeight="1" x14ac:dyDescent="0.3">
      <c r="A624" s="45"/>
      <c r="B624" s="45"/>
      <c r="C624" s="52"/>
      <c r="D624" s="45"/>
      <c r="E624" s="45"/>
      <c r="F624" s="45"/>
      <c r="G624" s="52"/>
      <c r="H624" s="52"/>
      <c r="I624" s="45"/>
      <c r="J624" s="45"/>
      <c r="K624" s="45"/>
      <c r="L624" s="45"/>
      <c r="M624" s="45"/>
      <c r="N624" s="45"/>
      <c r="O624" s="45"/>
      <c r="P624" s="45"/>
      <c r="Q624" s="45"/>
      <c r="R624" s="45"/>
      <c r="S624" s="45"/>
      <c r="T624" s="45"/>
      <c r="U624" s="45"/>
      <c r="V624" s="45"/>
      <c r="W624" s="45"/>
      <c r="X624" s="45"/>
      <c r="Y624" s="45"/>
    </row>
    <row r="625" spans="1:25" ht="13.5" customHeight="1" x14ac:dyDescent="0.3">
      <c r="A625" s="45"/>
      <c r="B625" s="45"/>
      <c r="C625" s="52"/>
      <c r="D625" s="45"/>
      <c r="E625" s="45"/>
      <c r="F625" s="45"/>
      <c r="G625" s="52"/>
      <c r="H625" s="52"/>
      <c r="I625" s="45"/>
      <c r="J625" s="45"/>
      <c r="K625" s="45"/>
      <c r="L625" s="45"/>
      <c r="M625" s="45"/>
      <c r="N625" s="45"/>
      <c r="O625" s="45"/>
      <c r="P625" s="45"/>
      <c r="Q625" s="45"/>
      <c r="R625" s="45"/>
      <c r="S625" s="45"/>
      <c r="T625" s="45"/>
      <c r="U625" s="45"/>
      <c r="V625" s="45"/>
      <c r="W625" s="45"/>
      <c r="X625" s="45"/>
      <c r="Y625" s="45"/>
    </row>
    <row r="626" spans="1:25" ht="13.5" customHeight="1" x14ac:dyDescent="0.3">
      <c r="A626" s="45"/>
      <c r="B626" s="45"/>
      <c r="C626" s="52"/>
      <c r="D626" s="45"/>
      <c r="E626" s="45"/>
      <c r="F626" s="45"/>
      <c r="G626" s="52"/>
      <c r="H626" s="52"/>
      <c r="I626" s="45"/>
      <c r="J626" s="45"/>
      <c r="K626" s="45"/>
      <c r="L626" s="45"/>
      <c r="M626" s="45"/>
      <c r="N626" s="45"/>
      <c r="O626" s="45"/>
      <c r="P626" s="45"/>
      <c r="Q626" s="45"/>
      <c r="R626" s="45"/>
      <c r="S626" s="45"/>
      <c r="T626" s="45"/>
      <c r="U626" s="45"/>
      <c r="V626" s="45"/>
      <c r="W626" s="45"/>
      <c r="X626" s="45"/>
      <c r="Y626" s="45"/>
    </row>
    <row r="627" spans="1:25" ht="13.5" customHeight="1" x14ac:dyDescent="0.3">
      <c r="A627" s="45"/>
      <c r="B627" s="45"/>
      <c r="C627" s="52"/>
      <c r="D627" s="45"/>
      <c r="E627" s="45"/>
      <c r="F627" s="45"/>
      <c r="G627" s="52"/>
      <c r="H627" s="52"/>
      <c r="I627" s="45"/>
      <c r="J627" s="45"/>
      <c r="K627" s="45"/>
      <c r="L627" s="45"/>
      <c r="M627" s="45"/>
      <c r="N627" s="45"/>
      <c r="O627" s="45"/>
      <c r="P627" s="45"/>
      <c r="Q627" s="45"/>
      <c r="R627" s="45"/>
      <c r="S627" s="45"/>
      <c r="T627" s="45"/>
      <c r="U627" s="45"/>
      <c r="V627" s="45"/>
      <c r="W627" s="45"/>
      <c r="X627" s="45"/>
      <c r="Y627" s="45"/>
    </row>
    <row r="628" spans="1:25" ht="13.5" customHeight="1" x14ac:dyDescent="0.3">
      <c r="A628" s="45"/>
      <c r="B628" s="45"/>
      <c r="C628" s="52"/>
      <c r="D628" s="45"/>
      <c r="E628" s="45"/>
      <c r="F628" s="45"/>
      <c r="G628" s="52"/>
      <c r="H628" s="52"/>
      <c r="I628" s="45"/>
      <c r="J628" s="45"/>
      <c r="K628" s="45"/>
      <c r="L628" s="45"/>
      <c r="M628" s="45"/>
      <c r="N628" s="45"/>
      <c r="O628" s="45"/>
      <c r="P628" s="45"/>
      <c r="Q628" s="45"/>
      <c r="R628" s="45"/>
      <c r="S628" s="45"/>
      <c r="T628" s="45"/>
      <c r="U628" s="45"/>
      <c r="V628" s="45"/>
      <c r="W628" s="45"/>
      <c r="X628" s="45"/>
      <c r="Y628" s="45"/>
    </row>
    <row r="629" spans="1:25" ht="13.5" customHeight="1" x14ac:dyDescent="0.3">
      <c r="A629" s="45"/>
      <c r="B629" s="45"/>
      <c r="C629" s="52"/>
      <c r="D629" s="45"/>
      <c r="E629" s="45"/>
      <c r="F629" s="45"/>
      <c r="G629" s="52"/>
      <c r="H629" s="52"/>
      <c r="I629" s="45"/>
      <c r="J629" s="45"/>
      <c r="K629" s="45"/>
      <c r="L629" s="45"/>
      <c r="M629" s="45"/>
      <c r="N629" s="45"/>
      <c r="O629" s="45"/>
      <c r="P629" s="45"/>
      <c r="Q629" s="45"/>
      <c r="R629" s="45"/>
      <c r="S629" s="45"/>
      <c r="T629" s="45"/>
      <c r="U629" s="45"/>
      <c r="V629" s="45"/>
      <c r="W629" s="45"/>
      <c r="X629" s="45"/>
      <c r="Y629" s="45"/>
    </row>
    <row r="630" spans="1:25" ht="13.5" customHeight="1" x14ac:dyDescent="0.3">
      <c r="A630" s="45"/>
      <c r="B630" s="45"/>
      <c r="C630" s="52"/>
      <c r="D630" s="45"/>
      <c r="E630" s="45"/>
      <c r="F630" s="45"/>
      <c r="G630" s="52"/>
      <c r="H630" s="52"/>
      <c r="I630" s="45"/>
      <c r="J630" s="45"/>
      <c r="K630" s="45"/>
      <c r="L630" s="45"/>
      <c r="M630" s="45"/>
      <c r="N630" s="45"/>
      <c r="O630" s="45"/>
      <c r="P630" s="45"/>
      <c r="Q630" s="45"/>
      <c r="R630" s="45"/>
      <c r="S630" s="45"/>
      <c r="T630" s="45"/>
      <c r="U630" s="45"/>
      <c r="V630" s="45"/>
      <c r="W630" s="45"/>
      <c r="X630" s="45"/>
      <c r="Y630" s="45"/>
    </row>
    <row r="631" spans="1:25" ht="13.5" customHeight="1" x14ac:dyDescent="0.3">
      <c r="A631" s="45"/>
      <c r="B631" s="45"/>
      <c r="C631" s="52"/>
      <c r="D631" s="45"/>
      <c r="E631" s="45"/>
      <c r="F631" s="45"/>
      <c r="G631" s="52"/>
      <c r="H631" s="52"/>
      <c r="I631" s="45"/>
      <c r="J631" s="45"/>
      <c r="K631" s="45"/>
      <c r="L631" s="45"/>
      <c r="M631" s="45"/>
      <c r="N631" s="45"/>
      <c r="O631" s="45"/>
      <c r="P631" s="45"/>
      <c r="Q631" s="45"/>
      <c r="R631" s="45"/>
      <c r="S631" s="45"/>
      <c r="T631" s="45"/>
      <c r="U631" s="45"/>
      <c r="V631" s="45"/>
      <c r="W631" s="45"/>
      <c r="X631" s="45"/>
      <c r="Y631" s="45"/>
    </row>
    <row r="632" spans="1:25" ht="13.5" customHeight="1" x14ac:dyDescent="0.3">
      <c r="A632" s="45"/>
      <c r="B632" s="45"/>
      <c r="C632" s="52"/>
      <c r="D632" s="45"/>
      <c r="E632" s="45"/>
      <c r="F632" s="45"/>
      <c r="G632" s="52"/>
      <c r="H632" s="52"/>
      <c r="I632" s="45"/>
      <c r="J632" s="45"/>
      <c r="K632" s="45"/>
      <c r="L632" s="45"/>
      <c r="M632" s="45"/>
      <c r="N632" s="45"/>
      <c r="O632" s="45"/>
      <c r="P632" s="45"/>
      <c r="Q632" s="45"/>
      <c r="R632" s="45"/>
      <c r="S632" s="45"/>
      <c r="T632" s="45"/>
      <c r="U632" s="45"/>
      <c r="V632" s="45"/>
      <c r="W632" s="45"/>
      <c r="X632" s="45"/>
      <c r="Y632" s="45"/>
    </row>
    <row r="633" spans="1:25" ht="13.5" customHeight="1" x14ac:dyDescent="0.3">
      <c r="A633" s="45"/>
      <c r="B633" s="45"/>
      <c r="C633" s="52"/>
      <c r="D633" s="45"/>
      <c r="E633" s="45"/>
      <c r="F633" s="45"/>
      <c r="G633" s="52"/>
      <c r="H633" s="52"/>
      <c r="I633" s="45"/>
      <c r="J633" s="45"/>
      <c r="K633" s="45"/>
      <c r="L633" s="45"/>
      <c r="M633" s="45"/>
      <c r="N633" s="45"/>
      <c r="O633" s="45"/>
      <c r="P633" s="45"/>
      <c r="Q633" s="45"/>
      <c r="R633" s="45"/>
      <c r="S633" s="45"/>
      <c r="T633" s="45"/>
      <c r="U633" s="45"/>
      <c r="V633" s="45"/>
      <c r="W633" s="45"/>
      <c r="X633" s="45"/>
      <c r="Y633" s="45"/>
    </row>
    <row r="634" spans="1:25" ht="13.5" customHeight="1" x14ac:dyDescent="0.3">
      <c r="A634" s="45"/>
      <c r="B634" s="45"/>
      <c r="C634" s="52"/>
      <c r="D634" s="45"/>
      <c r="E634" s="45"/>
      <c r="F634" s="45"/>
      <c r="G634" s="52"/>
      <c r="H634" s="52"/>
      <c r="I634" s="45"/>
      <c r="J634" s="45"/>
      <c r="K634" s="45"/>
      <c r="L634" s="45"/>
      <c r="M634" s="45"/>
      <c r="N634" s="45"/>
      <c r="O634" s="45"/>
      <c r="P634" s="45"/>
      <c r="Q634" s="45"/>
      <c r="R634" s="45"/>
      <c r="S634" s="45"/>
      <c r="T634" s="45"/>
      <c r="U634" s="45"/>
      <c r="V634" s="45"/>
      <c r="W634" s="45"/>
      <c r="X634" s="45"/>
      <c r="Y634" s="45"/>
    </row>
    <row r="635" spans="1:25" ht="13.5" customHeight="1" x14ac:dyDescent="0.3">
      <c r="A635" s="45"/>
      <c r="B635" s="45"/>
      <c r="C635" s="52"/>
      <c r="D635" s="45"/>
      <c r="E635" s="45"/>
      <c r="F635" s="45"/>
      <c r="G635" s="52"/>
      <c r="H635" s="52"/>
      <c r="I635" s="45"/>
      <c r="J635" s="45"/>
      <c r="K635" s="45"/>
      <c r="L635" s="45"/>
      <c r="M635" s="45"/>
      <c r="N635" s="45"/>
      <c r="O635" s="45"/>
      <c r="P635" s="45"/>
      <c r="Q635" s="45"/>
      <c r="R635" s="45"/>
      <c r="S635" s="45"/>
      <c r="T635" s="45"/>
      <c r="U635" s="45"/>
      <c r="V635" s="45"/>
      <c r="W635" s="45"/>
      <c r="X635" s="45"/>
      <c r="Y635" s="45"/>
    </row>
    <row r="636" spans="1:25" ht="13.5" customHeight="1" x14ac:dyDescent="0.3">
      <c r="A636" s="45"/>
      <c r="B636" s="45"/>
      <c r="C636" s="52"/>
      <c r="D636" s="45"/>
      <c r="E636" s="45"/>
      <c r="F636" s="45"/>
      <c r="G636" s="52"/>
      <c r="H636" s="52"/>
      <c r="I636" s="45"/>
      <c r="J636" s="45"/>
      <c r="K636" s="45"/>
      <c r="L636" s="45"/>
      <c r="M636" s="45"/>
      <c r="N636" s="45"/>
      <c r="O636" s="45"/>
      <c r="P636" s="45"/>
      <c r="Q636" s="45"/>
      <c r="R636" s="45"/>
      <c r="S636" s="45"/>
      <c r="T636" s="45"/>
      <c r="U636" s="45"/>
      <c r="V636" s="45"/>
      <c r="W636" s="45"/>
      <c r="X636" s="45"/>
      <c r="Y636" s="45"/>
    </row>
    <row r="637" spans="1:25" ht="13.5" customHeight="1" x14ac:dyDescent="0.3">
      <c r="A637" s="45"/>
      <c r="B637" s="45"/>
      <c r="C637" s="52"/>
      <c r="D637" s="45"/>
      <c r="E637" s="45"/>
      <c r="F637" s="45"/>
      <c r="G637" s="52"/>
      <c r="H637" s="52"/>
      <c r="I637" s="45"/>
      <c r="J637" s="45"/>
      <c r="K637" s="45"/>
      <c r="L637" s="45"/>
      <c r="M637" s="45"/>
      <c r="N637" s="45"/>
      <c r="O637" s="45"/>
      <c r="P637" s="45"/>
      <c r="Q637" s="45"/>
      <c r="R637" s="45"/>
      <c r="S637" s="45"/>
      <c r="T637" s="45"/>
      <c r="U637" s="45"/>
      <c r="V637" s="45"/>
      <c r="W637" s="45"/>
      <c r="X637" s="45"/>
      <c r="Y637" s="45"/>
    </row>
    <row r="638" spans="1:25" ht="13.5" customHeight="1" x14ac:dyDescent="0.3">
      <c r="A638" s="45"/>
      <c r="B638" s="45"/>
      <c r="C638" s="52"/>
      <c r="D638" s="45"/>
      <c r="E638" s="45"/>
      <c r="F638" s="45"/>
      <c r="G638" s="52"/>
      <c r="H638" s="52"/>
      <c r="I638" s="45"/>
      <c r="J638" s="45"/>
      <c r="K638" s="45"/>
      <c r="L638" s="45"/>
      <c r="M638" s="45"/>
      <c r="N638" s="45"/>
      <c r="O638" s="45"/>
      <c r="P638" s="45"/>
      <c r="Q638" s="45"/>
      <c r="R638" s="45"/>
      <c r="S638" s="45"/>
      <c r="T638" s="45"/>
      <c r="U638" s="45"/>
      <c r="V638" s="45"/>
      <c r="W638" s="45"/>
      <c r="X638" s="45"/>
      <c r="Y638" s="45"/>
    </row>
    <row r="639" spans="1:25" ht="13.5" customHeight="1" x14ac:dyDescent="0.3">
      <c r="A639" s="45"/>
      <c r="B639" s="45"/>
      <c r="C639" s="52"/>
      <c r="D639" s="45"/>
      <c r="E639" s="45"/>
      <c r="F639" s="45"/>
      <c r="G639" s="52"/>
      <c r="H639" s="52"/>
      <c r="I639" s="45"/>
      <c r="J639" s="45"/>
      <c r="K639" s="45"/>
      <c r="L639" s="45"/>
      <c r="M639" s="45"/>
      <c r="N639" s="45"/>
      <c r="O639" s="45"/>
      <c r="P639" s="45"/>
      <c r="Q639" s="45"/>
      <c r="R639" s="45"/>
      <c r="S639" s="45"/>
      <c r="T639" s="45"/>
      <c r="U639" s="45"/>
      <c r="V639" s="45"/>
      <c r="W639" s="45"/>
      <c r="X639" s="45"/>
      <c r="Y639" s="45"/>
    </row>
    <row r="640" spans="1:25" ht="13.5" customHeight="1" x14ac:dyDescent="0.3">
      <c r="A640" s="45"/>
      <c r="B640" s="45"/>
      <c r="C640" s="52"/>
      <c r="D640" s="45"/>
      <c r="E640" s="45"/>
      <c r="F640" s="45"/>
      <c r="G640" s="52"/>
      <c r="H640" s="52"/>
      <c r="I640" s="45"/>
      <c r="J640" s="45"/>
      <c r="K640" s="45"/>
      <c r="L640" s="45"/>
      <c r="M640" s="45"/>
      <c r="N640" s="45"/>
      <c r="O640" s="45"/>
      <c r="P640" s="45"/>
      <c r="Q640" s="45"/>
      <c r="R640" s="45"/>
      <c r="S640" s="45"/>
      <c r="T640" s="45"/>
      <c r="U640" s="45"/>
      <c r="V640" s="45"/>
      <c r="W640" s="45"/>
      <c r="X640" s="45"/>
      <c r="Y640" s="45"/>
    </row>
    <row r="641" spans="1:25" ht="13.5" customHeight="1" x14ac:dyDescent="0.3">
      <c r="A641" s="45"/>
      <c r="B641" s="45"/>
      <c r="C641" s="52"/>
      <c r="D641" s="45"/>
      <c r="E641" s="45"/>
      <c r="F641" s="45"/>
      <c r="G641" s="52"/>
      <c r="H641" s="52"/>
      <c r="I641" s="45"/>
      <c r="J641" s="45"/>
      <c r="K641" s="45"/>
      <c r="L641" s="45"/>
      <c r="M641" s="45"/>
      <c r="N641" s="45"/>
      <c r="O641" s="45"/>
      <c r="P641" s="45"/>
      <c r="Q641" s="45"/>
      <c r="R641" s="45"/>
      <c r="S641" s="45"/>
      <c r="T641" s="45"/>
      <c r="U641" s="45"/>
      <c r="V641" s="45"/>
      <c r="W641" s="45"/>
      <c r="X641" s="45"/>
      <c r="Y641" s="45"/>
    </row>
    <row r="642" spans="1:25" ht="13.5" customHeight="1" x14ac:dyDescent="0.3">
      <c r="A642" s="45"/>
      <c r="B642" s="45"/>
      <c r="C642" s="52"/>
      <c r="D642" s="45"/>
      <c r="E642" s="45"/>
      <c r="F642" s="45"/>
      <c r="G642" s="52"/>
      <c r="H642" s="52"/>
      <c r="I642" s="45"/>
      <c r="J642" s="45"/>
      <c r="K642" s="45"/>
      <c r="L642" s="45"/>
      <c r="M642" s="45"/>
      <c r="N642" s="45"/>
      <c r="O642" s="45"/>
      <c r="P642" s="45"/>
      <c r="Q642" s="45"/>
      <c r="R642" s="45"/>
      <c r="S642" s="45"/>
      <c r="T642" s="45"/>
      <c r="U642" s="45"/>
      <c r="V642" s="45"/>
      <c r="W642" s="45"/>
      <c r="X642" s="45"/>
      <c r="Y642" s="45"/>
    </row>
    <row r="643" spans="1:25" ht="13.5" customHeight="1" x14ac:dyDescent="0.3">
      <c r="A643" s="45"/>
      <c r="B643" s="45"/>
      <c r="C643" s="52"/>
      <c r="D643" s="45"/>
      <c r="E643" s="45"/>
      <c r="F643" s="45"/>
      <c r="G643" s="52"/>
      <c r="H643" s="52"/>
      <c r="I643" s="45"/>
      <c r="J643" s="45"/>
      <c r="K643" s="45"/>
      <c r="L643" s="45"/>
      <c r="M643" s="45"/>
      <c r="N643" s="45"/>
      <c r="O643" s="45"/>
      <c r="P643" s="45"/>
      <c r="Q643" s="45"/>
      <c r="R643" s="45"/>
      <c r="S643" s="45"/>
      <c r="T643" s="45"/>
      <c r="U643" s="45"/>
      <c r="V643" s="45"/>
      <c r="W643" s="45"/>
      <c r="X643" s="45"/>
      <c r="Y643" s="45"/>
    </row>
    <row r="644" spans="1:25" ht="13.5" customHeight="1" x14ac:dyDescent="0.3">
      <c r="A644" s="45"/>
      <c r="B644" s="45"/>
      <c r="C644" s="52"/>
      <c r="D644" s="45"/>
      <c r="E644" s="45"/>
      <c r="F644" s="45"/>
      <c r="G644" s="52"/>
      <c r="H644" s="52"/>
      <c r="I644" s="45"/>
      <c r="J644" s="45"/>
      <c r="K644" s="45"/>
      <c r="L644" s="45"/>
      <c r="M644" s="45"/>
      <c r="N644" s="45"/>
      <c r="O644" s="45"/>
      <c r="P644" s="45"/>
      <c r="Q644" s="45"/>
      <c r="R644" s="45"/>
      <c r="S644" s="45"/>
      <c r="T644" s="45"/>
      <c r="U644" s="45"/>
      <c r="V644" s="45"/>
      <c r="W644" s="45"/>
      <c r="X644" s="45"/>
      <c r="Y644" s="45"/>
    </row>
    <row r="645" spans="1:25" ht="13.5" customHeight="1" x14ac:dyDescent="0.3">
      <c r="A645" s="45"/>
      <c r="B645" s="45"/>
      <c r="C645" s="52"/>
      <c r="D645" s="45"/>
      <c r="E645" s="45"/>
      <c r="F645" s="45"/>
      <c r="G645" s="52"/>
      <c r="H645" s="52"/>
      <c r="I645" s="45"/>
      <c r="J645" s="45"/>
      <c r="K645" s="45"/>
      <c r="L645" s="45"/>
      <c r="M645" s="45"/>
      <c r="N645" s="45"/>
      <c r="O645" s="45"/>
      <c r="P645" s="45"/>
      <c r="Q645" s="45"/>
      <c r="R645" s="45"/>
      <c r="S645" s="45"/>
      <c r="T645" s="45"/>
      <c r="U645" s="45"/>
      <c r="V645" s="45"/>
      <c r="W645" s="45"/>
      <c r="X645" s="45"/>
      <c r="Y645" s="45"/>
    </row>
    <row r="646" spans="1:25" ht="13.5" customHeight="1" x14ac:dyDescent="0.3">
      <c r="A646" s="45"/>
      <c r="B646" s="45"/>
      <c r="C646" s="52"/>
      <c r="D646" s="45"/>
      <c r="E646" s="45"/>
      <c r="F646" s="45"/>
      <c r="G646" s="52"/>
      <c r="H646" s="52"/>
      <c r="I646" s="45"/>
      <c r="J646" s="45"/>
      <c r="K646" s="45"/>
      <c r="L646" s="45"/>
      <c r="M646" s="45"/>
      <c r="N646" s="45"/>
      <c r="O646" s="45"/>
      <c r="P646" s="45"/>
      <c r="Q646" s="45"/>
      <c r="R646" s="45"/>
      <c r="S646" s="45"/>
      <c r="T646" s="45"/>
      <c r="U646" s="45"/>
      <c r="V646" s="45"/>
      <c r="W646" s="45"/>
      <c r="X646" s="45"/>
      <c r="Y646" s="45"/>
    </row>
    <row r="647" spans="1:25" ht="13.5" customHeight="1" x14ac:dyDescent="0.3">
      <c r="A647" s="45"/>
      <c r="B647" s="45"/>
      <c r="C647" s="52"/>
      <c r="D647" s="45"/>
      <c r="E647" s="45"/>
      <c r="F647" s="45"/>
      <c r="G647" s="52"/>
      <c r="H647" s="52"/>
      <c r="I647" s="45"/>
      <c r="J647" s="45"/>
      <c r="K647" s="45"/>
      <c r="L647" s="45"/>
      <c r="M647" s="45"/>
      <c r="N647" s="45"/>
      <c r="O647" s="45"/>
      <c r="P647" s="45"/>
      <c r="Q647" s="45"/>
      <c r="R647" s="45"/>
      <c r="S647" s="45"/>
      <c r="T647" s="45"/>
      <c r="U647" s="45"/>
      <c r="V647" s="45"/>
      <c r="W647" s="45"/>
      <c r="X647" s="45"/>
      <c r="Y647" s="45"/>
    </row>
    <row r="648" spans="1:25" ht="13.5" customHeight="1" x14ac:dyDescent="0.3">
      <c r="A648" s="45"/>
      <c r="B648" s="45"/>
      <c r="C648" s="52"/>
      <c r="D648" s="45"/>
      <c r="E648" s="45"/>
      <c r="F648" s="45"/>
      <c r="G648" s="52"/>
      <c r="H648" s="52"/>
      <c r="I648" s="45"/>
      <c r="J648" s="45"/>
      <c r="K648" s="45"/>
      <c r="L648" s="45"/>
      <c r="M648" s="45"/>
      <c r="N648" s="45"/>
      <c r="O648" s="45"/>
      <c r="P648" s="45"/>
      <c r="Q648" s="45"/>
      <c r="R648" s="45"/>
      <c r="S648" s="45"/>
      <c r="T648" s="45"/>
      <c r="U648" s="45"/>
      <c r="V648" s="45"/>
      <c r="W648" s="45"/>
      <c r="X648" s="45"/>
      <c r="Y648" s="45"/>
    </row>
    <row r="649" spans="1:25" ht="13.5" customHeight="1" x14ac:dyDescent="0.3">
      <c r="A649" s="45"/>
      <c r="B649" s="45"/>
      <c r="C649" s="52"/>
      <c r="D649" s="45"/>
      <c r="E649" s="45"/>
      <c r="F649" s="45"/>
      <c r="G649" s="52"/>
      <c r="H649" s="52"/>
      <c r="I649" s="45"/>
      <c r="J649" s="45"/>
      <c r="K649" s="45"/>
      <c r="L649" s="45"/>
      <c r="M649" s="45"/>
      <c r="N649" s="45"/>
      <c r="O649" s="45"/>
      <c r="P649" s="45"/>
      <c r="Q649" s="45"/>
      <c r="R649" s="45"/>
      <c r="S649" s="45"/>
      <c r="T649" s="45"/>
      <c r="U649" s="45"/>
      <c r="V649" s="45"/>
      <c r="W649" s="45"/>
      <c r="X649" s="45"/>
      <c r="Y649" s="45"/>
    </row>
    <row r="650" spans="1:25" ht="13.5" customHeight="1" x14ac:dyDescent="0.3">
      <c r="A650" s="45"/>
      <c r="B650" s="45"/>
      <c r="C650" s="52"/>
      <c r="D650" s="45"/>
      <c r="E650" s="45"/>
      <c r="F650" s="45"/>
      <c r="G650" s="52"/>
      <c r="H650" s="52"/>
      <c r="I650" s="45"/>
      <c r="J650" s="45"/>
      <c r="K650" s="45"/>
      <c r="L650" s="45"/>
      <c r="M650" s="45"/>
      <c r="N650" s="45"/>
      <c r="O650" s="45"/>
      <c r="P650" s="45"/>
      <c r="Q650" s="45"/>
      <c r="R650" s="45"/>
      <c r="S650" s="45"/>
      <c r="T650" s="45"/>
      <c r="U650" s="45"/>
      <c r="V650" s="45"/>
      <c r="W650" s="45"/>
      <c r="X650" s="45"/>
      <c r="Y650" s="45"/>
    </row>
    <row r="651" spans="1:25" ht="13.5" customHeight="1" x14ac:dyDescent="0.3">
      <c r="A651" s="45"/>
      <c r="B651" s="45"/>
      <c r="C651" s="52"/>
      <c r="D651" s="45"/>
      <c r="E651" s="45"/>
      <c r="F651" s="45"/>
      <c r="G651" s="52"/>
      <c r="H651" s="52"/>
      <c r="I651" s="45"/>
      <c r="J651" s="45"/>
      <c r="K651" s="45"/>
      <c r="L651" s="45"/>
      <c r="M651" s="45"/>
      <c r="N651" s="45"/>
      <c r="O651" s="45"/>
      <c r="P651" s="45"/>
      <c r="Q651" s="45"/>
      <c r="R651" s="45"/>
      <c r="S651" s="45"/>
      <c r="T651" s="45"/>
      <c r="U651" s="45"/>
      <c r="V651" s="45"/>
      <c r="W651" s="45"/>
      <c r="X651" s="45"/>
      <c r="Y651" s="45"/>
    </row>
    <row r="652" spans="1:25" ht="13.5" customHeight="1" x14ac:dyDescent="0.3">
      <c r="A652" s="45"/>
      <c r="B652" s="45"/>
      <c r="C652" s="52"/>
      <c r="D652" s="45"/>
      <c r="E652" s="45"/>
      <c r="F652" s="45"/>
      <c r="G652" s="52"/>
      <c r="H652" s="52"/>
      <c r="I652" s="45"/>
      <c r="J652" s="45"/>
      <c r="K652" s="45"/>
      <c r="L652" s="45"/>
      <c r="M652" s="45"/>
      <c r="N652" s="45"/>
      <c r="O652" s="45"/>
      <c r="P652" s="45"/>
      <c r="Q652" s="45"/>
      <c r="R652" s="45"/>
      <c r="S652" s="45"/>
      <c r="T652" s="45"/>
      <c r="U652" s="45"/>
      <c r="V652" s="45"/>
      <c r="W652" s="45"/>
      <c r="X652" s="45"/>
      <c r="Y652" s="45"/>
    </row>
    <row r="653" spans="1:25" ht="13.5" customHeight="1" x14ac:dyDescent="0.3">
      <c r="A653" s="45"/>
      <c r="B653" s="45"/>
      <c r="C653" s="52"/>
      <c r="D653" s="45"/>
      <c r="E653" s="45"/>
      <c r="F653" s="45"/>
      <c r="G653" s="52"/>
      <c r="H653" s="52"/>
      <c r="I653" s="45"/>
      <c r="J653" s="45"/>
      <c r="K653" s="45"/>
      <c r="L653" s="45"/>
      <c r="M653" s="45"/>
      <c r="N653" s="45"/>
      <c r="O653" s="45"/>
      <c r="P653" s="45"/>
      <c r="Q653" s="45"/>
      <c r="R653" s="45"/>
      <c r="S653" s="45"/>
      <c r="T653" s="45"/>
      <c r="U653" s="45"/>
      <c r="V653" s="45"/>
      <c r="W653" s="45"/>
      <c r="X653" s="45"/>
      <c r="Y653" s="45"/>
    </row>
    <row r="654" spans="1:25" ht="13.5" customHeight="1" x14ac:dyDescent="0.3">
      <c r="A654" s="45"/>
      <c r="B654" s="45"/>
      <c r="C654" s="52"/>
      <c r="D654" s="45"/>
      <c r="E654" s="45"/>
      <c r="F654" s="45"/>
      <c r="G654" s="52"/>
      <c r="H654" s="52"/>
      <c r="I654" s="45"/>
      <c r="J654" s="45"/>
      <c r="K654" s="45"/>
      <c r="L654" s="45"/>
      <c r="M654" s="45"/>
      <c r="N654" s="45"/>
      <c r="O654" s="45"/>
      <c r="P654" s="45"/>
      <c r="Q654" s="45"/>
      <c r="R654" s="45"/>
      <c r="S654" s="45"/>
      <c r="T654" s="45"/>
      <c r="U654" s="45"/>
      <c r="V654" s="45"/>
      <c r="W654" s="45"/>
      <c r="X654" s="45"/>
      <c r="Y654" s="45"/>
    </row>
    <row r="655" spans="1:25" ht="13.5" customHeight="1" x14ac:dyDescent="0.3">
      <c r="A655" s="45"/>
      <c r="B655" s="45"/>
      <c r="C655" s="52"/>
      <c r="D655" s="45"/>
      <c r="E655" s="45"/>
      <c r="F655" s="45"/>
      <c r="G655" s="52"/>
      <c r="H655" s="52"/>
      <c r="I655" s="45"/>
      <c r="J655" s="45"/>
      <c r="K655" s="45"/>
      <c r="L655" s="45"/>
      <c r="M655" s="45"/>
      <c r="N655" s="45"/>
      <c r="O655" s="45"/>
      <c r="P655" s="45"/>
      <c r="Q655" s="45"/>
      <c r="R655" s="45"/>
      <c r="S655" s="45"/>
      <c r="T655" s="45"/>
      <c r="U655" s="45"/>
      <c r="V655" s="45"/>
      <c r="W655" s="45"/>
      <c r="X655" s="45"/>
      <c r="Y655" s="45"/>
    </row>
    <row r="656" spans="1:25" ht="13.5" customHeight="1" x14ac:dyDescent="0.3">
      <c r="A656" s="45"/>
      <c r="B656" s="45"/>
      <c r="C656" s="52"/>
      <c r="D656" s="45"/>
      <c r="E656" s="45"/>
      <c r="F656" s="45"/>
      <c r="G656" s="52"/>
      <c r="H656" s="52"/>
      <c r="I656" s="45"/>
      <c r="J656" s="45"/>
      <c r="K656" s="45"/>
      <c r="L656" s="45"/>
      <c r="M656" s="45"/>
      <c r="N656" s="45"/>
      <c r="O656" s="45"/>
      <c r="P656" s="45"/>
      <c r="Q656" s="45"/>
      <c r="R656" s="45"/>
      <c r="S656" s="45"/>
      <c r="T656" s="45"/>
      <c r="U656" s="45"/>
      <c r="V656" s="45"/>
      <c r="W656" s="45"/>
      <c r="X656" s="45"/>
      <c r="Y656" s="45"/>
    </row>
    <row r="657" spans="1:25" ht="13.5" customHeight="1" x14ac:dyDescent="0.3">
      <c r="A657" s="45"/>
      <c r="B657" s="45"/>
      <c r="C657" s="52"/>
      <c r="D657" s="45"/>
      <c r="E657" s="45"/>
      <c r="F657" s="45"/>
      <c r="G657" s="52"/>
      <c r="H657" s="52"/>
      <c r="I657" s="45"/>
      <c r="J657" s="45"/>
      <c r="K657" s="45"/>
      <c r="L657" s="45"/>
      <c r="M657" s="45"/>
      <c r="N657" s="45"/>
      <c r="O657" s="45"/>
      <c r="P657" s="45"/>
      <c r="Q657" s="45"/>
      <c r="R657" s="45"/>
      <c r="S657" s="45"/>
      <c r="T657" s="45"/>
      <c r="U657" s="45"/>
      <c r="V657" s="45"/>
      <c r="W657" s="45"/>
      <c r="X657" s="45"/>
      <c r="Y657" s="45"/>
    </row>
    <row r="658" spans="1:25" ht="13.5" customHeight="1" x14ac:dyDescent="0.3">
      <c r="A658" s="45"/>
      <c r="B658" s="45"/>
      <c r="C658" s="52"/>
      <c r="D658" s="45"/>
      <c r="E658" s="45"/>
      <c r="F658" s="45"/>
      <c r="G658" s="52"/>
      <c r="H658" s="52"/>
      <c r="I658" s="45"/>
      <c r="J658" s="45"/>
      <c r="K658" s="45"/>
      <c r="L658" s="45"/>
      <c r="M658" s="45"/>
      <c r="N658" s="45"/>
      <c r="O658" s="45"/>
      <c r="P658" s="45"/>
      <c r="Q658" s="45"/>
      <c r="R658" s="45"/>
      <c r="S658" s="45"/>
      <c r="T658" s="45"/>
      <c r="U658" s="45"/>
      <c r="V658" s="45"/>
      <c r="W658" s="45"/>
      <c r="X658" s="45"/>
      <c r="Y658" s="45"/>
    </row>
    <row r="659" spans="1:25" ht="13.5" customHeight="1" x14ac:dyDescent="0.3">
      <c r="A659" s="45"/>
      <c r="B659" s="45"/>
      <c r="C659" s="52"/>
      <c r="D659" s="45"/>
      <c r="E659" s="45"/>
      <c r="F659" s="45"/>
      <c r="G659" s="52"/>
      <c r="H659" s="52"/>
      <c r="I659" s="45"/>
      <c r="J659" s="45"/>
      <c r="K659" s="45"/>
      <c r="L659" s="45"/>
      <c r="M659" s="45"/>
      <c r="N659" s="45"/>
      <c r="O659" s="45"/>
      <c r="P659" s="45"/>
      <c r="Q659" s="45"/>
      <c r="R659" s="45"/>
      <c r="S659" s="45"/>
      <c r="T659" s="45"/>
      <c r="U659" s="45"/>
      <c r="V659" s="45"/>
      <c r="W659" s="45"/>
      <c r="X659" s="45"/>
      <c r="Y659" s="45"/>
    </row>
    <row r="660" spans="1:25" ht="13.5" customHeight="1" x14ac:dyDescent="0.3">
      <c r="A660" s="45"/>
      <c r="B660" s="45"/>
      <c r="C660" s="52"/>
      <c r="D660" s="45"/>
      <c r="E660" s="45"/>
      <c r="F660" s="45"/>
      <c r="G660" s="52"/>
      <c r="H660" s="52"/>
      <c r="I660" s="45"/>
      <c r="J660" s="45"/>
      <c r="K660" s="45"/>
      <c r="L660" s="45"/>
      <c r="M660" s="45"/>
      <c r="N660" s="45"/>
      <c r="O660" s="45"/>
      <c r="P660" s="45"/>
      <c r="Q660" s="45"/>
      <c r="R660" s="45"/>
      <c r="S660" s="45"/>
      <c r="T660" s="45"/>
      <c r="U660" s="45"/>
      <c r="V660" s="45"/>
      <c r="W660" s="45"/>
      <c r="X660" s="45"/>
      <c r="Y660" s="45"/>
    </row>
    <row r="661" spans="1:25" ht="13.5" customHeight="1" x14ac:dyDescent="0.3">
      <c r="A661" s="45"/>
      <c r="B661" s="45"/>
      <c r="C661" s="52"/>
      <c r="D661" s="45"/>
      <c r="E661" s="45"/>
      <c r="F661" s="45"/>
      <c r="G661" s="52"/>
      <c r="H661" s="52"/>
      <c r="I661" s="45"/>
      <c r="J661" s="45"/>
      <c r="K661" s="45"/>
      <c r="L661" s="45"/>
      <c r="M661" s="45"/>
      <c r="N661" s="45"/>
      <c r="O661" s="45"/>
      <c r="P661" s="45"/>
      <c r="Q661" s="45"/>
      <c r="R661" s="45"/>
      <c r="S661" s="45"/>
      <c r="T661" s="45"/>
      <c r="U661" s="45"/>
      <c r="V661" s="45"/>
      <c r="W661" s="45"/>
      <c r="X661" s="45"/>
      <c r="Y661" s="45"/>
    </row>
    <row r="662" spans="1:25" ht="13.5" customHeight="1" x14ac:dyDescent="0.3">
      <c r="A662" s="45"/>
      <c r="B662" s="45"/>
      <c r="C662" s="52"/>
      <c r="D662" s="45"/>
      <c r="E662" s="45"/>
      <c r="F662" s="45"/>
      <c r="G662" s="52"/>
      <c r="H662" s="52"/>
      <c r="I662" s="45"/>
      <c r="J662" s="45"/>
      <c r="K662" s="45"/>
      <c r="L662" s="45"/>
      <c r="M662" s="45"/>
      <c r="N662" s="45"/>
      <c r="O662" s="45"/>
      <c r="P662" s="45"/>
      <c r="Q662" s="45"/>
      <c r="R662" s="45"/>
      <c r="S662" s="45"/>
      <c r="T662" s="45"/>
      <c r="U662" s="45"/>
      <c r="V662" s="45"/>
      <c r="W662" s="45"/>
      <c r="X662" s="45"/>
      <c r="Y662" s="45"/>
    </row>
    <row r="663" spans="1:25" ht="13.5" customHeight="1" x14ac:dyDescent="0.3">
      <c r="A663" s="45"/>
      <c r="B663" s="45"/>
      <c r="C663" s="52"/>
      <c r="D663" s="45"/>
      <c r="E663" s="45"/>
      <c r="F663" s="45"/>
      <c r="G663" s="52"/>
      <c r="H663" s="52"/>
      <c r="I663" s="45"/>
      <c r="J663" s="45"/>
      <c r="K663" s="45"/>
      <c r="L663" s="45"/>
      <c r="M663" s="45"/>
      <c r="N663" s="45"/>
      <c r="O663" s="45"/>
      <c r="P663" s="45"/>
      <c r="Q663" s="45"/>
      <c r="R663" s="45"/>
      <c r="S663" s="45"/>
      <c r="T663" s="45"/>
      <c r="U663" s="45"/>
      <c r="V663" s="45"/>
      <c r="W663" s="45"/>
      <c r="X663" s="45"/>
      <c r="Y663" s="45"/>
    </row>
    <row r="664" spans="1:25" ht="13.5" customHeight="1" x14ac:dyDescent="0.3">
      <c r="A664" s="45"/>
      <c r="B664" s="45"/>
      <c r="C664" s="52"/>
      <c r="D664" s="45"/>
      <c r="E664" s="45"/>
      <c r="F664" s="45"/>
      <c r="G664" s="52"/>
      <c r="H664" s="52"/>
      <c r="I664" s="45"/>
      <c r="J664" s="45"/>
      <c r="K664" s="45"/>
      <c r="L664" s="45"/>
      <c r="M664" s="45"/>
      <c r="N664" s="45"/>
      <c r="O664" s="45"/>
      <c r="P664" s="45"/>
      <c r="Q664" s="45"/>
      <c r="R664" s="45"/>
      <c r="S664" s="45"/>
      <c r="T664" s="45"/>
      <c r="U664" s="45"/>
      <c r="V664" s="45"/>
      <c r="W664" s="45"/>
      <c r="X664" s="45"/>
      <c r="Y664" s="45"/>
    </row>
    <row r="665" spans="1:25" ht="13.5" customHeight="1" x14ac:dyDescent="0.3">
      <c r="A665" s="45"/>
      <c r="B665" s="45"/>
      <c r="C665" s="52"/>
      <c r="D665" s="45"/>
      <c r="E665" s="45"/>
      <c r="F665" s="45"/>
      <c r="G665" s="52"/>
      <c r="H665" s="52"/>
      <c r="I665" s="45"/>
      <c r="J665" s="45"/>
      <c r="K665" s="45"/>
      <c r="L665" s="45"/>
      <c r="M665" s="45"/>
      <c r="N665" s="45"/>
      <c r="O665" s="45"/>
      <c r="P665" s="45"/>
      <c r="Q665" s="45"/>
      <c r="R665" s="45"/>
      <c r="S665" s="45"/>
      <c r="T665" s="45"/>
      <c r="U665" s="45"/>
      <c r="V665" s="45"/>
      <c r="W665" s="45"/>
      <c r="X665" s="45"/>
      <c r="Y665" s="45"/>
    </row>
    <row r="666" spans="1:25" ht="13.5" customHeight="1" x14ac:dyDescent="0.3">
      <c r="A666" s="45"/>
      <c r="B666" s="45"/>
      <c r="C666" s="52"/>
      <c r="D666" s="45"/>
      <c r="E666" s="45"/>
      <c r="F666" s="45"/>
      <c r="G666" s="52"/>
      <c r="H666" s="52"/>
      <c r="I666" s="45"/>
      <c r="J666" s="45"/>
      <c r="K666" s="45"/>
      <c r="L666" s="45"/>
      <c r="M666" s="45"/>
      <c r="N666" s="45"/>
      <c r="O666" s="45"/>
      <c r="P666" s="45"/>
      <c r="Q666" s="45"/>
      <c r="R666" s="45"/>
      <c r="S666" s="45"/>
      <c r="T666" s="45"/>
      <c r="U666" s="45"/>
      <c r="V666" s="45"/>
      <c r="W666" s="45"/>
      <c r="X666" s="45"/>
      <c r="Y666" s="45"/>
    </row>
    <row r="667" spans="1:25" ht="13.5" customHeight="1" x14ac:dyDescent="0.3">
      <c r="A667" s="45"/>
      <c r="B667" s="45"/>
      <c r="C667" s="52"/>
      <c r="D667" s="45"/>
      <c r="E667" s="45"/>
      <c r="F667" s="45"/>
      <c r="G667" s="52"/>
      <c r="H667" s="52"/>
      <c r="I667" s="45"/>
      <c r="J667" s="45"/>
      <c r="K667" s="45"/>
      <c r="L667" s="45"/>
      <c r="M667" s="45"/>
      <c r="N667" s="45"/>
      <c r="O667" s="45"/>
      <c r="P667" s="45"/>
      <c r="Q667" s="45"/>
      <c r="R667" s="45"/>
      <c r="S667" s="45"/>
      <c r="T667" s="45"/>
      <c r="U667" s="45"/>
      <c r="V667" s="45"/>
      <c r="W667" s="45"/>
      <c r="X667" s="45"/>
      <c r="Y667" s="45"/>
    </row>
    <row r="668" spans="1:25" ht="13.5" customHeight="1" x14ac:dyDescent="0.3">
      <c r="A668" s="45"/>
      <c r="B668" s="45"/>
      <c r="C668" s="52"/>
      <c r="D668" s="45"/>
      <c r="E668" s="45"/>
      <c r="F668" s="45"/>
      <c r="G668" s="52"/>
      <c r="H668" s="52"/>
      <c r="I668" s="45"/>
      <c r="J668" s="45"/>
      <c r="K668" s="45"/>
      <c r="L668" s="45"/>
      <c r="M668" s="45"/>
      <c r="N668" s="45"/>
      <c r="O668" s="45"/>
      <c r="P668" s="45"/>
      <c r="Q668" s="45"/>
      <c r="R668" s="45"/>
      <c r="S668" s="45"/>
      <c r="T668" s="45"/>
      <c r="U668" s="45"/>
      <c r="V668" s="45"/>
      <c r="W668" s="45"/>
      <c r="X668" s="45"/>
      <c r="Y668" s="45"/>
    </row>
    <row r="669" spans="1:25" ht="13.5" customHeight="1" x14ac:dyDescent="0.3">
      <c r="A669" s="45"/>
      <c r="B669" s="45"/>
      <c r="C669" s="52"/>
      <c r="D669" s="45"/>
      <c r="E669" s="45"/>
      <c r="F669" s="45"/>
      <c r="G669" s="52"/>
      <c r="H669" s="52"/>
      <c r="I669" s="45"/>
      <c r="J669" s="45"/>
      <c r="K669" s="45"/>
      <c r="L669" s="45"/>
      <c r="M669" s="45"/>
      <c r="N669" s="45"/>
      <c r="O669" s="45"/>
      <c r="P669" s="45"/>
      <c r="Q669" s="45"/>
      <c r="R669" s="45"/>
      <c r="S669" s="45"/>
      <c r="T669" s="45"/>
      <c r="U669" s="45"/>
      <c r="V669" s="45"/>
      <c r="W669" s="45"/>
      <c r="X669" s="45"/>
      <c r="Y669" s="45"/>
    </row>
    <row r="670" spans="1:25" ht="13.5" customHeight="1" x14ac:dyDescent="0.3">
      <c r="A670" s="45"/>
      <c r="B670" s="45"/>
      <c r="C670" s="52"/>
      <c r="D670" s="45"/>
      <c r="E670" s="45"/>
      <c r="F670" s="45"/>
      <c r="G670" s="52"/>
      <c r="H670" s="52"/>
      <c r="I670" s="45"/>
      <c r="J670" s="45"/>
      <c r="K670" s="45"/>
      <c r="L670" s="45"/>
      <c r="M670" s="45"/>
      <c r="N670" s="45"/>
      <c r="O670" s="45"/>
      <c r="P670" s="45"/>
      <c r="Q670" s="45"/>
      <c r="R670" s="45"/>
      <c r="S670" s="45"/>
      <c r="T670" s="45"/>
      <c r="U670" s="45"/>
      <c r="V670" s="45"/>
      <c r="W670" s="45"/>
      <c r="X670" s="45"/>
      <c r="Y670" s="45"/>
    </row>
    <row r="671" spans="1:25" ht="13.5" customHeight="1" x14ac:dyDescent="0.3">
      <c r="A671" s="45"/>
      <c r="B671" s="45"/>
      <c r="C671" s="52"/>
      <c r="D671" s="45"/>
      <c r="E671" s="45"/>
      <c r="F671" s="45"/>
      <c r="G671" s="52"/>
      <c r="H671" s="52"/>
      <c r="I671" s="45"/>
      <c r="J671" s="45"/>
      <c r="K671" s="45"/>
      <c r="L671" s="45"/>
      <c r="M671" s="45"/>
      <c r="N671" s="45"/>
      <c r="O671" s="45"/>
      <c r="P671" s="45"/>
      <c r="Q671" s="45"/>
      <c r="R671" s="45"/>
      <c r="S671" s="45"/>
      <c r="T671" s="45"/>
      <c r="U671" s="45"/>
      <c r="V671" s="45"/>
      <c r="W671" s="45"/>
      <c r="X671" s="45"/>
      <c r="Y671" s="45"/>
    </row>
    <row r="672" spans="1:25" ht="13.5" customHeight="1" x14ac:dyDescent="0.3">
      <c r="A672" s="45"/>
      <c r="B672" s="45"/>
      <c r="C672" s="52"/>
      <c r="D672" s="45"/>
      <c r="E672" s="45"/>
      <c r="F672" s="45"/>
      <c r="G672" s="52"/>
      <c r="H672" s="52"/>
      <c r="I672" s="45"/>
      <c r="J672" s="45"/>
      <c r="K672" s="45"/>
      <c r="L672" s="45"/>
      <c r="M672" s="45"/>
      <c r="N672" s="45"/>
      <c r="O672" s="45"/>
      <c r="P672" s="45"/>
      <c r="Q672" s="45"/>
      <c r="R672" s="45"/>
      <c r="S672" s="45"/>
      <c r="T672" s="45"/>
      <c r="U672" s="45"/>
      <c r="V672" s="45"/>
      <c r="W672" s="45"/>
      <c r="X672" s="45"/>
      <c r="Y672" s="45"/>
    </row>
    <row r="673" spans="1:25" ht="13.5" customHeight="1" x14ac:dyDescent="0.3">
      <c r="A673" s="45"/>
      <c r="B673" s="45"/>
      <c r="C673" s="52"/>
      <c r="D673" s="45"/>
      <c r="E673" s="45"/>
      <c r="F673" s="45"/>
      <c r="G673" s="52"/>
      <c r="H673" s="52"/>
      <c r="I673" s="45"/>
      <c r="J673" s="45"/>
      <c r="K673" s="45"/>
      <c r="L673" s="45"/>
      <c r="M673" s="45"/>
      <c r="N673" s="45"/>
      <c r="O673" s="45"/>
      <c r="P673" s="45"/>
      <c r="Q673" s="45"/>
      <c r="R673" s="45"/>
      <c r="S673" s="45"/>
      <c r="T673" s="45"/>
      <c r="U673" s="45"/>
      <c r="V673" s="45"/>
      <c r="W673" s="45"/>
      <c r="X673" s="45"/>
      <c r="Y673" s="45"/>
    </row>
    <row r="674" spans="1:25" ht="13.5" customHeight="1" x14ac:dyDescent="0.3">
      <c r="A674" s="45"/>
      <c r="B674" s="45"/>
      <c r="C674" s="52"/>
      <c r="D674" s="45"/>
      <c r="E674" s="45"/>
      <c r="F674" s="45"/>
      <c r="G674" s="52"/>
      <c r="H674" s="52"/>
      <c r="I674" s="45"/>
      <c r="J674" s="45"/>
      <c r="K674" s="45"/>
      <c r="L674" s="45"/>
      <c r="M674" s="45"/>
      <c r="N674" s="45"/>
      <c r="O674" s="45"/>
      <c r="P674" s="45"/>
      <c r="Q674" s="45"/>
      <c r="R674" s="45"/>
      <c r="S674" s="45"/>
      <c r="T674" s="45"/>
      <c r="U674" s="45"/>
      <c r="V674" s="45"/>
      <c r="W674" s="45"/>
      <c r="X674" s="45"/>
      <c r="Y674" s="45"/>
    </row>
    <row r="675" spans="1:25" ht="13.5" customHeight="1" x14ac:dyDescent="0.3">
      <c r="A675" s="45"/>
      <c r="B675" s="45"/>
      <c r="C675" s="52"/>
      <c r="D675" s="45"/>
      <c r="E675" s="45"/>
      <c r="F675" s="45"/>
      <c r="G675" s="52"/>
      <c r="H675" s="52"/>
      <c r="I675" s="45"/>
      <c r="J675" s="45"/>
      <c r="K675" s="45"/>
      <c r="L675" s="45"/>
      <c r="M675" s="45"/>
      <c r="N675" s="45"/>
      <c r="O675" s="45"/>
      <c r="P675" s="45"/>
      <c r="Q675" s="45"/>
      <c r="R675" s="45"/>
      <c r="S675" s="45"/>
      <c r="T675" s="45"/>
      <c r="U675" s="45"/>
      <c r="V675" s="45"/>
      <c r="W675" s="45"/>
      <c r="X675" s="45"/>
      <c r="Y675" s="45"/>
    </row>
    <row r="676" spans="1:25" ht="13.5" customHeight="1" x14ac:dyDescent="0.3">
      <c r="A676" s="45"/>
      <c r="B676" s="45"/>
      <c r="C676" s="52"/>
      <c r="D676" s="45"/>
      <c r="E676" s="45"/>
      <c r="F676" s="45"/>
      <c r="G676" s="52"/>
      <c r="H676" s="52"/>
      <c r="I676" s="45"/>
      <c r="J676" s="45"/>
      <c r="K676" s="45"/>
      <c r="L676" s="45"/>
      <c r="M676" s="45"/>
      <c r="N676" s="45"/>
      <c r="O676" s="45"/>
      <c r="P676" s="45"/>
      <c r="Q676" s="45"/>
      <c r="R676" s="45"/>
      <c r="S676" s="45"/>
      <c r="T676" s="45"/>
      <c r="U676" s="45"/>
      <c r="V676" s="45"/>
      <c r="W676" s="45"/>
      <c r="X676" s="45"/>
      <c r="Y676" s="45"/>
    </row>
    <row r="677" spans="1:25" ht="13.5" customHeight="1" x14ac:dyDescent="0.3">
      <c r="A677" s="45"/>
      <c r="B677" s="45"/>
      <c r="C677" s="52"/>
      <c r="D677" s="45"/>
      <c r="E677" s="45"/>
      <c r="F677" s="45"/>
      <c r="G677" s="52"/>
      <c r="H677" s="52"/>
      <c r="I677" s="45"/>
      <c r="J677" s="45"/>
      <c r="K677" s="45"/>
      <c r="L677" s="45"/>
      <c r="M677" s="45"/>
      <c r="N677" s="45"/>
      <c r="O677" s="45"/>
      <c r="P677" s="45"/>
      <c r="Q677" s="45"/>
      <c r="R677" s="45"/>
      <c r="S677" s="45"/>
      <c r="T677" s="45"/>
      <c r="U677" s="45"/>
      <c r="V677" s="45"/>
      <c r="W677" s="45"/>
      <c r="X677" s="45"/>
      <c r="Y677" s="45"/>
    </row>
    <row r="678" spans="1:25" ht="13.5" customHeight="1" x14ac:dyDescent="0.3">
      <c r="A678" s="45"/>
      <c r="B678" s="45"/>
      <c r="C678" s="52"/>
      <c r="D678" s="45"/>
      <c r="E678" s="45"/>
      <c r="F678" s="45"/>
      <c r="G678" s="52"/>
      <c r="H678" s="52"/>
      <c r="I678" s="45"/>
      <c r="J678" s="45"/>
      <c r="K678" s="45"/>
      <c r="L678" s="45"/>
      <c r="M678" s="45"/>
      <c r="N678" s="45"/>
      <c r="O678" s="45"/>
      <c r="P678" s="45"/>
      <c r="Q678" s="45"/>
      <c r="R678" s="45"/>
      <c r="S678" s="45"/>
      <c r="T678" s="45"/>
      <c r="U678" s="45"/>
      <c r="V678" s="45"/>
      <c r="W678" s="45"/>
      <c r="X678" s="45"/>
      <c r="Y678" s="45"/>
    </row>
    <row r="679" spans="1:25" ht="13.5" customHeight="1" x14ac:dyDescent="0.3">
      <c r="A679" s="45"/>
      <c r="B679" s="45"/>
      <c r="C679" s="52"/>
      <c r="D679" s="45"/>
      <c r="E679" s="45"/>
      <c r="F679" s="45"/>
      <c r="G679" s="52"/>
      <c r="H679" s="52"/>
      <c r="I679" s="45"/>
      <c r="J679" s="45"/>
      <c r="K679" s="45"/>
      <c r="L679" s="45"/>
      <c r="M679" s="45"/>
      <c r="N679" s="45"/>
      <c r="O679" s="45"/>
      <c r="P679" s="45"/>
      <c r="Q679" s="45"/>
      <c r="R679" s="45"/>
      <c r="S679" s="45"/>
      <c r="T679" s="45"/>
      <c r="U679" s="45"/>
      <c r="V679" s="45"/>
      <c r="W679" s="45"/>
      <c r="X679" s="45"/>
      <c r="Y679" s="45"/>
    </row>
    <row r="680" spans="1:25" ht="13.5" customHeight="1" x14ac:dyDescent="0.3">
      <c r="A680" s="45"/>
      <c r="B680" s="45"/>
      <c r="C680" s="52"/>
      <c r="D680" s="45"/>
      <c r="E680" s="45"/>
      <c r="F680" s="45"/>
      <c r="G680" s="52"/>
      <c r="H680" s="52"/>
      <c r="I680" s="45"/>
      <c r="J680" s="45"/>
      <c r="K680" s="45"/>
      <c r="L680" s="45"/>
      <c r="M680" s="45"/>
      <c r="N680" s="45"/>
      <c r="O680" s="45"/>
      <c r="P680" s="45"/>
      <c r="Q680" s="45"/>
      <c r="R680" s="45"/>
      <c r="S680" s="45"/>
      <c r="T680" s="45"/>
      <c r="U680" s="45"/>
      <c r="V680" s="45"/>
      <c r="W680" s="45"/>
      <c r="X680" s="45"/>
      <c r="Y680" s="45"/>
    </row>
    <row r="681" spans="1:25" ht="13.5" customHeight="1" x14ac:dyDescent="0.3">
      <c r="A681" s="45"/>
      <c r="B681" s="45"/>
      <c r="C681" s="52"/>
      <c r="D681" s="45"/>
      <c r="E681" s="45"/>
      <c r="F681" s="45"/>
      <c r="G681" s="52"/>
      <c r="H681" s="52"/>
      <c r="I681" s="45"/>
      <c r="J681" s="45"/>
      <c r="K681" s="45"/>
      <c r="L681" s="45"/>
      <c r="M681" s="45"/>
      <c r="N681" s="45"/>
      <c r="O681" s="45"/>
      <c r="P681" s="45"/>
      <c r="Q681" s="45"/>
      <c r="R681" s="45"/>
      <c r="S681" s="45"/>
      <c r="T681" s="45"/>
      <c r="U681" s="45"/>
      <c r="V681" s="45"/>
      <c r="W681" s="45"/>
      <c r="X681" s="45"/>
      <c r="Y681" s="45"/>
    </row>
    <row r="682" spans="1:25" ht="13.5" customHeight="1" x14ac:dyDescent="0.3">
      <c r="A682" s="45"/>
      <c r="B682" s="45"/>
      <c r="C682" s="52"/>
      <c r="D682" s="45"/>
      <c r="E682" s="45"/>
      <c r="F682" s="45"/>
      <c r="G682" s="52"/>
      <c r="H682" s="52"/>
      <c r="I682" s="45"/>
      <c r="J682" s="45"/>
      <c r="K682" s="45"/>
      <c r="L682" s="45"/>
      <c r="M682" s="45"/>
      <c r="N682" s="45"/>
      <c r="O682" s="45"/>
      <c r="P682" s="45"/>
      <c r="Q682" s="45"/>
      <c r="R682" s="45"/>
      <c r="S682" s="45"/>
      <c r="T682" s="45"/>
      <c r="U682" s="45"/>
      <c r="V682" s="45"/>
      <c r="W682" s="45"/>
      <c r="X682" s="45"/>
      <c r="Y682" s="45"/>
    </row>
    <row r="683" spans="1:25" ht="13.5" customHeight="1" x14ac:dyDescent="0.3">
      <c r="A683" s="45"/>
      <c r="B683" s="45"/>
      <c r="C683" s="52"/>
      <c r="D683" s="45"/>
      <c r="E683" s="45"/>
      <c r="F683" s="45"/>
      <c r="G683" s="52"/>
      <c r="H683" s="52"/>
      <c r="I683" s="45"/>
      <c r="J683" s="45"/>
      <c r="K683" s="45"/>
      <c r="L683" s="45"/>
      <c r="M683" s="45"/>
      <c r="N683" s="45"/>
      <c r="O683" s="45"/>
      <c r="P683" s="45"/>
      <c r="Q683" s="45"/>
      <c r="R683" s="45"/>
      <c r="S683" s="45"/>
      <c r="T683" s="45"/>
      <c r="U683" s="45"/>
      <c r="V683" s="45"/>
      <c r="W683" s="45"/>
      <c r="X683" s="45"/>
      <c r="Y683" s="45"/>
    </row>
    <row r="684" spans="1:25" ht="13.5" customHeight="1" x14ac:dyDescent="0.3">
      <c r="A684" s="45"/>
      <c r="B684" s="45"/>
      <c r="C684" s="52"/>
      <c r="D684" s="45"/>
      <c r="E684" s="45"/>
      <c r="F684" s="45"/>
      <c r="G684" s="52"/>
      <c r="H684" s="52"/>
      <c r="I684" s="45"/>
      <c r="J684" s="45"/>
      <c r="K684" s="45"/>
      <c r="L684" s="45"/>
      <c r="M684" s="45"/>
      <c r="N684" s="45"/>
      <c r="O684" s="45"/>
      <c r="P684" s="45"/>
      <c r="Q684" s="45"/>
      <c r="R684" s="45"/>
      <c r="S684" s="45"/>
      <c r="T684" s="45"/>
      <c r="U684" s="45"/>
      <c r="V684" s="45"/>
      <c r="W684" s="45"/>
      <c r="X684" s="45"/>
      <c r="Y684" s="45"/>
    </row>
    <row r="685" spans="1:25" ht="13.5" customHeight="1" x14ac:dyDescent="0.3">
      <c r="A685" s="45"/>
      <c r="B685" s="45"/>
      <c r="C685" s="52"/>
      <c r="D685" s="45"/>
      <c r="E685" s="45"/>
      <c r="F685" s="45"/>
      <c r="G685" s="52"/>
      <c r="H685" s="52"/>
      <c r="I685" s="45"/>
      <c r="J685" s="45"/>
      <c r="K685" s="45"/>
      <c r="L685" s="45"/>
      <c r="M685" s="45"/>
      <c r="N685" s="45"/>
      <c r="O685" s="45"/>
      <c r="P685" s="45"/>
      <c r="Q685" s="45"/>
      <c r="R685" s="45"/>
      <c r="S685" s="45"/>
      <c r="T685" s="45"/>
      <c r="U685" s="45"/>
      <c r="V685" s="45"/>
      <c r="W685" s="45"/>
      <c r="X685" s="45"/>
      <c r="Y685" s="45"/>
    </row>
    <row r="686" spans="1:25" ht="13.5" customHeight="1" x14ac:dyDescent="0.3">
      <c r="A686" s="45"/>
      <c r="B686" s="45"/>
      <c r="C686" s="52"/>
      <c r="D686" s="45"/>
      <c r="E686" s="45"/>
      <c r="F686" s="45"/>
      <c r="G686" s="52"/>
      <c r="H686" s="52"/>
      <c r="I686" s="45"/>
      <c r="J686" s="45"/>
      <c r="K686" s="45"/>
      <c r="L686" s="45"/>
      <c r="M686" s="45"/>
      <c r="N686" s="45"/>
      <c r="O686" s="45"/>
      <c r="P686" s="45"/>
      <c r="Q686" s="45"/>
      <c r="R686" s="45"/>
      <c r="S686" s="45"/>
      <c r="T686" s="45"/>
      <c r="U686" s="45"/>
      <c r="V686" s="45"/>
      <c r="W686" s="45"/>
      <c r="X686" s="45"/>
      <c r="Y686" s="45"/>
    </row>
    <row r="687" spans="1:25" ht="13.5" customHeight="1" x14ac:dyDescent="0.3">
      <c r="A687" s="45"/>
      <c r="B687" s="45"/>
      <c r="C687" s="52"/>
      <c r="D687" s="45"/>
      <c r="E687" s="45"/>
      <c r="F687" s="45"/>
      <c r="G687" s="52"/>
      <c r="H687" s="52"/>
      <c r="I687" s="45"/>
      <c r="J687" s="45"/>
      <c r="K687" s="45"/>
      <c r="L687" s="45"/>
      <c r="M687" s="45"/>
      <c r="N687" s="45"/>
      <c r="O687" s="45"/>
      <c r="P687" s="45"/>
      <c r="Q687" s="45"/>
      <c r="R687" s="45"/>
      <c r="S687" s="45"/>
      <c r="T687" s="45"/>
      <c r="U687" s="45"/>
      <c r="V687" s="45"/>
      <c r="W687" s="45"/>
      <c r="X687" s="45"/>
      <c r="Y687" s="45"/>
    </row>
    <row r="688" spans="1:25" ht="13.5" customHeight="1" x14ac:dyDescent="0.3">
      <c r="A688" s="45"/>
      <c r="B688" s="45"/>
      <c r="C688" s="52"/>
      <c r="D688" s="45"/>
      <c r="E688" s="45"/>
      <c r="F688" s="45"/>
      <c r="G688" s="52"/>
      <c r="H688" s="52"/>
      <c r="I688" s="45"/>
      <c r="J688" s="45"/>
      <c r="K688" s="45"/>
      <c r="L688" s="45"/>
      <c r="M688" s="45"/>
      <c r="N688" s="45"/>
      <c r="O688" s="45"/>
      <c r="P688" s="45"/>
      <c r="Q688" s="45"/>
      <c r="R688" s="45"/>
      <c r="S688" s="45"/>
      <c r="T688" s="45"/>
      <c r="U688" s="45"/>
      <c r="V688" s="45"/>
      <c r="W688" s="45"/>
      <c r="X688" s="45"/>
      <c r="Y688" s="45"/>
    </row>
    <row r="689" spans="1:25" ht="13.5" customHeight="1" x14ac:dyDescent="0.3">
      <c r="A689" s="45"/>
      <c r="B689" s="45"/>
      <c r="C689" s="52"/>
      <c r="D689" s="45"/>
      <c r="E689" s="45"/>
      <c r="F689" s="45"/>
      <c r="G689" s="52"/>
      <c r="H689" s="52"/>
      <c r="I689" s="45"/>
      <c r="J689" s="45"/>
      <c r="K689" s="45"/>
      <c r="L689" s="45"/>
      <c r="M689" s="45"/>
      <c r="N689" s="45"/>
      <c r="O689" s="45"/>
      <c r="P689" s="45"/>
      <c r="Q689" s="45"/>
      <c r="R689" s="45"/>
      <c r="S689" s="45"/>
      <c r="T689" s="45"/>
      <c r="U689" s="45"/>
      <c r="V689" s="45"/>
      <c r="W689" s="45"/>
      <c r="X689" s="45"/>
      <c r="Y689" s="45"/>
    </row>
    <row r="690" spans="1:25" ht="13.5" customHeight="1" x14ac:dyDescent="0.3">
      <c r="A690" s="45"/>
      <c r="B690" s="45"/>
      <c r="C690" s="52"/>
      <c r="D690" s="45"/>
      <c r="E690" s="45"/>
      <c r="F690" s="45"/>
      <c r="G690" s="52"/>
      <c r="H690" s="52"/>
      <c r="I690" s="45"/>
      <c r="J690" s="45"/>
      <c r="K690" s="45"/>
      <c r="L690" s="45"/>
      <c r="M690" s="45"/>
      <c r="N690" s="45"/>
      <c r="O690" s="45"/>
      <c r="P690" s="45"/>
      <c r="Q690" s="45"/>
      <c r="R690" s="45"/>
      <c r="S690" s="45"/>
      <c r="T690" s="45"/>
      <c r="U690" s="45"/>
      <c r="V690" s="45"/>
      <c r="W690" s="45"/>
      <c r="X690" s="45"/>
      <c r="Y690" s="45"/>
    </row>
    <row r="691" spans="1:25" ht="13.5" customHeight="1" x14ac:dyDescent="0.3">
      <c r="A691" s="45"/>
      <c r="B691" s="45"/>
      <c r="C691" s="52"/>
      <c r="D691" s="45"/>
      <c r="E691" s="45"/>
      <c r="F691" s="45"/>
      <c r="G691" s="52"/>
      <c r="H691" s="52"/>
      <c r="I691" s="45"/>
      <c r="J691" s="45"/>
      <c r="K691" s="45"/>
      <c r="L691" s="45"/>
      <c r="M691" s="45"/>
      <c r="N691" s="45"/>
      <c r="O691" s="45"/>
      <c r="P691" s="45"/>
      <c r="Q691" s="45"/>
      <c r="R691" s="45"/>
      <c r="S691" s="45"/>
      <c r="T691" s="45"/>
      <c r="U691" s="45"/>
      <c r="V691" s="45"/>
      <c r="W691" s="45"/>
      <c r="X691" s="45"/>
      <c r="Y691" s="45"/>
    </row>
    <row r="692" spans="1:25" ht="13.5" customHeight="1" x14ac:dyDescent="0.3">
      <c r="A692" s="45"/>
      <c r="B692" s="45"/>
      <c r="C692" s="52"/>
      <c r="D692" s="45"/>
      <c r="E692" s="45"/>
      <c r="F692" s="45"/>
      <c r="G692" s="52"/>
      <c r="H692" s="52"/>
      <c r="I692" s="45"/>
      <c r="J692" s="45"/>
      <c r="K692" s="45"/>
      <c r="L692" s="45"/>
      <c r="M692" s="45"/>
      <c r="N692" s="45"/>
      <c r="O692" s="45"/>
      <c r="P692" s="45"/>
      <c r="Q692" s="45"/>
      <c r="R692" s="45"/>
      <c r="S692" s="45"/>
      <c r="T692" s="45"/>
      <c r="U692" s="45"/>
      <c r="V692" s="45"/>
      <c r="W692" s="45"/>
      <c r="X692" s="45"/>
      <c r="Y692" s="45"/>
    </row>
    <row r="693" spans="1:25" ht="13.5" customHeight="1" x14ac:dyDescent="0.3">
      <c r="A693" s="45"/>
      <c r="B693" s="45"/>
      <c r="C693" s="52"/>
      <c r="D693" s="45"/>
      <c r="E693" s="45"/>
      <c r="F693" s="45"/>
      <c r="G693" s="52"/>
      <c r="H693" s="52"/>
      <c r="I693" s="45"/>
      <c r="J693" s="45"/>
      <c r="K693" s="45"/>
      <c r="L693" s="45"/>
      <c r="M693" s="45"/>
      <c r="N693" s="45"/>
      <c r="O693" s="45"/>
      <c r="P693" s="45"/>
      <c r="Q693" s="45"/>
      <c r="R693" s="45"/>
      <c r="S693" s="45"/>
      <c r="T693" s="45"/>
      <c r="U693" s="45"/>
      <c r="V693" s="45"/>
      <c r="W693" s="45"/>
      <c r="X693" s="45"/>
      <c r="Y693" s="45"/>
    </row>
    <row r="694" spans="1:25" ht="13.5" customHeight="1" x14ac:dyDescent="0.3">
      <c r="A694" s="45"/>
      <c r="B694" s="45"/>
      <c r="C694" s="52"/>
      <c r="D694" s="45"/>
      <c r="E694" s="45"/>
      <c r="F694" s="45"/>
      <c r="G694" s="52"/>
      <c r="H694" s="52"/>
      <c r="I694" s="45"/>
      <c r="J694" s="45"/>
      <c r="K694" s="45"/>
      <c r="L694" s="45"/>
      <c r="M694" s="45"/>
      <c r="N694" s="45"/>
      <c r="O694" s="45"/>
      <c r="P694" s="45"/>
      <c r="Q694" s="45"/>
      <c r="R694" s="45"/>
      <c r="S694" s="45"/>
      <c r="T694" s="45"/>
      <c r="U694" s="45"/>
      <c r="V694" s="45"/>
      <c r="W694" s="45"/>
      <c r="X694" s="45"/>
      <c r="Y694" s="45"/>
    </row>
    <row r="695" spans="1:25" ht="13.5" customHeight="1" x14ac:dyDescent="0.3">
      <c r="A695" s="45"/>
      <c r="B695" s="45"/>
      <c r="C695" s="52"/>
      <c r="D695" s="45"/>
      <c r="E695" s="45"/>
      <c r="F695" s="45"/>
      <c r="G695" s="52"/>
      <c r="H695" s="52"/>
      <c r="I695" s="45"/>
      <c r="J695" s="45"/>
      <c r="K695" s="45"/>
      <c r="L695" s="45"/>
      <c r="M695" s="45"/>
      <c r="N695" s="45"/>
      <c r="O695" s="45"/>
      <c r="P695" s="45"/>
      <c r="Q695" s="45"/>
      <c r="R695" s="45"/>
      <c r="S695" s="45"/>
      <c r="T695" s="45"/>
      <c r="U695" s="45"/>
      <c r="V695" s="45"/>
      <c r="W695" s="45"/>
      <c r="X695" s="45"/>
      <c r="Y695" s="45"/>
    </row>
    <row r="696" spans="1:25" ht="13.5" customHeight="1" x14ac:dyDescent="0.3">
      <c r="A696" s="45"/>
      <c r="B696" s="45"/>
      <c r="C696" s="52"/>
      <c r="D696" s="45"/>
      <c r="E696" s="45"/>
      <c r="F696" s="45"/>
      <c r="G696" s="52"/>
      <c r="H696" s="52"/>
      <c r="I696" s="45"/>
      <c r="J696" s="45"/>
      <c r="K696" s="45"/>
      <c r="L696" s="45"/>
      <c r="M696" s="45"/>
      <c r="N696" s="45"/>
      <c r="O696" s="45"/>
      <c r="P696" s="45"/>
      <c r="Q696" s="45"/>
      <c r="R696" s="45"/>
      <c r="S696" s="45"/>
      <c r="T696" s="45"/>
      <c r="U696" s="45"/>
      <c r="V696" s="45"/>
      <c r="W696" s="45"/>
      <c r="X696" s="45"/>
      <c r="Y696" s="45"/>
    </row>
    <row r="697" spans="1:25" ht="13.5" customHeight="1" x14ac:dyDescent="0.3">
      <c r="A697" s="45"/>
      <c r="B697" s="45"/>
      <c r="C697" s="52"/>
      <c r="D697" s="45"/>
      <c r="E697" s="45"/>
      <c r="F697" s="45"/>
      <c r="G697" s="52"/>
      <c r="H697" s="52"/>
      <c r="I697" s="45"/>
      <c r="J697" s="45"/>
      <c r="K697" s="45"/>
      <c r="L697" s="45"/>
      <c r="M697" s="45"/>
      <c r="N697" s="45"/>
      <c r="O697" s="45"/>
      <c r="P697" s="45"/>
      <c r="Q697" s="45"/>
      <c r="R697" s="45"/>
      <c r="S697" s="45"/>
      <c r="T697" s="45"/>
      <c r="U697" s="45"/>
      <c r="V697" s="45"/>
      <c r="W697" s="45"/>
      <c r="X697" s="45"/>
      <c r="Y697" s="45"/>
    </row>
    <row r="698" spans="1:25" ht="13.5" customHeight="1" x14ac:dyDescent="0.3">
      <c r="A698" s="45"/>
      <c r="B698" s="45"/>
      <c r="C698" s="52"/>
      <c r="D698" s="45"/>
      <c r="E698" s="45"/>
      <c r="F698" s="45"/>
      <c r="G698" s="52"/>
      <c r="H698" s="52"/>
      <c r="I698" s="45"/>
      <c r="J698" s="45"/>
      <c r="K698" s="45"/>
      <c r="L698" s="45"/>
      <c r="M698" s="45"/>
      <c r="N698" s="45"/>
      <c r="O698" s="45"/>
      <c r="P698" s="45"/>
      <c r="Q698" s="45"/>
      <c r="R698" s="45"/>
      <c r="S698" s="45"/>
      <c r="T698" s="45"/>
      <c r="U698" s="45"/>
      <c r="V698" s="45"/>
      <c r="W698" s="45"/>
      <c r="X698" s="45"/>
      <c r="Y698" s="45"/>
    </row>
    <row r="699" spans="1:25" ht="13.5" customHeight="1" x14ac:dyDescent="0.3">
      <c r="A699" s="45"/>
      <c r="B699" s="45"/>
      <c r="C699" s="52"/>
      <c r="D699" s="45"/>
      <c r="E699" s="45"/>
      <c r="F699" s="45"/>
      <c r="G699" s="52"/>
      <c r="H699" s="52"/>
      <c r="I699" s="45"/>
      <c r="J699" s="45"/>
      <c r="K699" s="45"/>
      <c r="L699" s="45"/>
      <c r="M699" s="45"/>
      <c r="N699" s="45"/>
      <c r="O699" s="45"/>
      <c r="P699" s="45"/>
      <c r="Q699" s="45"/>
      <c r="R699" s="45"/>
      <c r="S699" s="45"/>
      <c r="T699" s="45"/>
      <c r="U699" s="45"/>
      <c r="V699" s="45"/>
      <c r="W699" s="45"/>
      <c r="X699" s="45"/>
      <c r="Y699" s="45"/>
    </row>
    <row r="700" spans="1:25" ht="13.5" customHeight="1" x14ac:dyDescent="0.3">
      <c r="A700" s="45"/>
      <c r="B700" s="45"/>
      <c r="C700" s="52"/>
      <c r="D700" s="45"/>
      <c r="E700" s="45"/>
      <c r="F700" s="45"/>
      <c r="G700" s="52"/>
      <c r="H700" s="52"/>
      <c r="I700" s="45"/>
      <c r="J700" s="45"/>
      <c r="K700" s="45"/>
      <c r="L700" s="45"/>
      <c r="M700" s="45"/>
      <c r="N700" s="45"/>
      <c r="O700" s="45"/>
      <c r="P700" s="45"/>
      <c r="Q700" s="45"/>
      <c r="R700" s="45"/>
      <c r="S700" s="45"/>
      <c r="T700" s="45"/>
      <c r="U700" s="45"/>
      <c r="V700" s="45"/>
      <c r="W700" s="45"/>
      <c r="X700" s="45"/>
      <c r="Y700" s="45"/>
    </row>
    <row r="701" spans="1:25" ht="13.5" customHeight="1" x14ac:dyDescent="0.3">
      <c r="A701" s="45"/>
      <c r="B701" s="45"/>
      <c r="C701" s="52"/>
      <c r="D701" s="45"/>
      <c r="E701" s="45"/>
      <c r="F701" s="45"/>
      <c r="G701" s="52"/>
      <c r="H701" s="52"/>
      <c r="I701" s="45"/>
      <c r="J701" s="45"/>
      <c r="K701" s="45"/>
      <c r="L701" s="45"/>
      <c r="M701" s="45"/>
      <c r="N701" s="45"/>
      <c r="O701" s="45"/>
      <c r="P701" s="45"/>
      <c r="Q701" s="45"/>
      <c r="R701" s="45"/>
      <c r="S701" s="45"/>
      <c r="T701" s="45"/>
      <c r="U701" s="45"/>
      <c r="V701" s="45"/>
      <c r="W701" s="45"/>
      <c r="X701" s="45"/>
      <c r="Y701" s="45"/>
    </row>
    <row r="702" spans="1:25" ht="13.5" customHeight="1" x14ac:dyDescent="0.3">
      <c r="A702" s="45"/>
      <c r="B702" s="45"/>
      <c r="C702" s="52"/>
      <c r="D702" s="45"/>
      <c r="E702" s="45"/>
      <c r="F702" s="45"/>
      <c r="G702" s="52"/>
      <c r="H702" s="52"/>
      <c r="I702" s="45"/>
      <c r="J702" s="45"/>
      <c r="K702" s="45"/>
      <c r="L702" s="45"/>
      <c r="M702" s="45"/>
      <c r="N702" s="45"/>
      <c r="O702" s="45"/>
      <c r="P702" s="45"/>
      <c r="Q702" s="45"/>
      <c r="R702" s="45"/>
      <c r="S702" s="45"/>
      <c r="T702" s="45"/>
      <c r="U702" s="45"/>
      <c r="V702" s="45"/>
      <c r="W702" s="45"/>
      <c r="X702" s="45"/>
      <c r="Y702" s="45"/>
    </row>
    <row r="703" spans="1:25" ht="13.5" customHeight="1" x14ac:dyDescent="0.3">
      <c r="A703" s="45"/>
      <c r="B703" s="45"/>
      <c r="C703" s="52"/>
      <c r="D703" s="45"/>
      <c r="E703" s="45"/>
      <c r="F703" s="45"/>
      <c r="G703" s="52"/>
      <c r="H703" s="52"/>
      <c r="I703" s="45"/>
      <c r="J703" s="45"/>
      <c r="K703" s="45"/>
      <c r="L703" s="45"/>
      <c r="M703" s="45"/>
      <c r="N703" s="45"/>
      <c r="O703" s="45"/>
      <c r="P703" s="45"/>
      <c r="Q703" s="45"/>
      <c r="R703" s="45"/>
      <c r="S703" s="45"/>
      <c r="T703" s="45"/>
      <c r="U703" s="45"/>
      <c r="V703" s="45"/>
      <c r="W703" s="45"/>
      <c r="X703" s="45"/>
      <c r="Y703" s="45"/>
    </row>
    <row r="704" spans="1:25" ht="13.5" customHeight="1" x14ac:dyDescent="0.3">
      <c r="A704" s="45"/>
      <c r="B704" s="45"/>
      <c r="C704" s="52"/>
      <c r="D704" s="45"/>
      <c r="E704" s="45"/>
      <c r="F704" s="45"/>
      <c r="G704" s="52"/>
      <c r="H704" s="52"/>
      <c r="I704" s="45"/>
      <c r="J704" s="45"/>
      <c r="K704" s="45"/>
      <c r="L704" s="45"/>
      <c r="M704" s="45"/>
      <c r="N704" s="45"/>
      <c r="O704" s="45"/>
      <c r="P704" s="45"/>
      <c r="Q704" s="45"/>
      <c r="R704" s="45"/>
      <c r="S704" s="45"/>
      <c r="T704" s="45"/>
      <c r="U704" s="45"/>
      <c r="V704" s="45"/>
      <c r="W704" s="45"/>
      <c r="X704" s="45"/>
      <c r="Y704" s="45"/>
    </row>
    <row r="705" spans="1:25" ht="13.5" customHeight="1" x14ac:dyDescent="0.3">
      <c r="A705" s="45"/>
      <c r="B705" s="45"/>
      <c r="C705" s="52"/>
      <c r="D705" s="45"/>
      <c r="E705" s="45"/>
      <c r="F705" s="45"/>
      <c r="G705" s="52"/>
      <c r="H705" s="52"/>
      <c r="I705" s="45"/>
      <c r="J705" s="45"/>
      <c r="K705" s="45"/>
      <c r="L705" s="45"/>
      <c r="M705" s="45"/>
      <c r="N705" s="45"/>
      <c r="O705" s="45"/>
      <c r="P705" s="45"/>
      <c r="Q705" s="45"/>
      <c r="R705" s="45"/>
      <c r="S705" s="45"/>
      <c r="T705" s="45"/>
      <c r="U705" s="45"/>
      <c r="V705" s="45"/>
      <c r="W705" s="45"/>
      <c r="X705" s="45"/>
      <c r="Y705" s="45"/>
    </row>
    <row r="706" spans="1:25" ht="13.5" customHeight="1" x14ac:dyDescent="0.3">
      <c r="A706" s="45"/>
      <c r="B706" s="45"/>
      <c r="C706" s="52"/>
      <c r="D706" s="45"/>
      <c r="E706" s="45"/>
      <c r="F706" s="45"/>
      <c r="G706" s="52"/>
      <c r="H706" s="52"/>
      <c r="I706" s="45"/>
      <c r="J706" s="45"/>
      <c r="K706" s="45"/>
      <c r="L706" s="45"/>
      <c r="M706" s="45"/>
      <c r="N706" s="45"/>
      <c r="O706" s="45"/>
      <c r="P706" s="45"/>
      <c r="Q706" s="45"/>
      <c r="R706" s="45"/>
      <c r="S706" s="45"/>
      <c r="T706" s="45"/>
      <c r="U706" s="45"/>
      <c r="V706" s="45"/>
      <c r="W706" s="45"/>
      <c r="X706" s="45"/>
      <c r="Y706" s="45"/>
    </row>
    <row r="707" spans="1:25" ht="13.5" customHeight="1" x14ac:dyDescent="0.3">
      <c r="A707" s="45"/>
      <c r="B707" s="45"/>
      <c r="C707" s="52"/>
      <c r="D707" s="45"/>
      <c r="E707" s="45"/>
      <c r="F707" s="45"/>
      <c r="G707" s="52"/>
      <c r="H707" s="52"/>
      <c r="I707" s="45"/>
      <c r="J707" s="45"/>
      <c r="K707" s="45"/>
      <c r="L707" s="45"/>
      <c r="M707" s="45"/>
      <c r="N707" s="45"/>
      <c r="O707" s="45"/>
      <c r="P707" s="45"/>
      <c r="Q707" s="45"/>
      <c r="R707" s="45"/>
      <c r="S707" s="45"/>
      <c r="T707" s="45"/>
      <c r="U707" s="45"/>
      <c r="V707" s="45"/>
      <c r="W707" s="45"/>
      <c r="X707" s="45"/>
      <c r="Y707" s="45"/>
    </row>
    <row r="708" spans="1:25" ht="13.5" customHeight="1" x14ac:dyDescent="0.3">
      <c r="A708" s="45"/>
      <c r="B708" s="45"/>
      <c r="C708" s="52"/>
      <c r="D708" s="45"/>
      <c r="E708" s="45"/>
      <c r="F708" s="45"/>
      <c r="G708" s="52"/>
      <c r="H708" s="52"/>
      <c r="I708" s="45"/>
      <c r="J708" s="45"/>
      <c r="K708" s="45"/>
      <c r="L708" s="45"/>
      <c r="M708" s="45"/>
      <c r="N708" s="45"/>
      <c r="O708" s="45"/>
      <c r="P708" s="45"/>
      <c r="Q708" s="45"/>
      <c r="R708" s="45"/>
      <c r="S708" s="45"/>
      <c r="T708" s="45"/>
      <c r="U708" s="45"/>
      <c r="V708" s="45"/>
      <c r="W708" s="45"/>
      <c r="X708" s="45"/>
      <c r="Y708" s="45"/>
    </row>
    <row r="709" spans="1:25" ht="13.5" customHeight="1" x14ac:dyDescent="0.3">
      <c r="A709" s="45"/>
      <c r="B709" s="45"/>
      <c r="C709" s="52"/>
      <c r="D709" s="45"/>
      <c r="E709" s="45"/>
      <c r="F709" s="45"/>
      <c r="G709" s="52"/>
      <c r="H709" s="52"/>
      <c r="I709" s="45"/>
      <c r="J709" s="45"/>
      <c r="K709" s="45"/>
      <c r="L709" s="45"/>
      <c r="M709" s="45"/>
      <c r="N709" s="45"/>
      <c r="O709" s="45"/>
      <c r="P709" s="45"/>
      <c r="Q709" s="45"/>
      <c r="R709" s="45"/>
      <c r="S709" s="45"/>
      <c r="T709" s="45"/>
      <c r="U709" s="45"/>
      <c r="V709" s="45"/>
      <c r="W709" s="45"/>
      <c r="X709" s="45"/>
      <c r="Y709" s="45"/>
    </row>
    <row r="710" spans="1:25" ht="13.5" customHeight="1" x14ac:dyDescent="0.3">
      <c r="A710" s="45"/>
      <c r="B710" s="45"/>
      <c r="C710" s="52"/>
      <c r="D710" s="45"/>
      <c r="E710" s="45"/>
      <c r="F710" s="45"/>
      <c r="G710" s="52"/>
      <c r="H710" s="52"/>
      <c r="I710" s="45"/>
      <c r="J710" s="45"/>
      <c r="K710" s="45"/>
      <c r="L710" s="45"/>
      <c r="M710" s="45"/>
      <c r="N710" s="45"/>
      <c r="O710" s="45"/>
      <c r="P710" s="45"/>
      <c r="Q710" s="45"/>
      <c r="R710" s="45"/>
      <c r="S710" s="45"/>
      <c r="T710" s="45"/>
      <c r="U710" s="45"/>
      <c r="V710" s="45"/>
      <c r="W710" s="45"/>
      <c r="X710" s="45"/>
      <c r="Y710" s="45"/>
    </row>
    <row r="711" spans="1:25" ht="13.5" customHeight="1" x14ac:dyDescent="0.3">
      <c r="A711" s="45"/>
      <c r="B711" s="45"/>
      <c r="C711" s="52"/>
      <c r="D711" s="45"/>
      <c r="E711" s="45"/>
      <c r="F711" s="45"/>
      <c r="G711" s="52"/>
      <c r="H711" s="52"/>
      <c r="I711" s="45"/>
      <c r="J711" s="45"/>
      <c r="K711" s="45"/>
      <c r="L711" s="45"/>
      <c r="M711" s="45"/>
      <c r="N711" s="45"/>
      <c r="O711" s="45"/>
      <c r="P711" s="45"/>
      <c r="Q711" s="45"/>
      <c r="R711" s="45"/>
      <c r="S711" s="45"/>
      <c r="T711" s="45"/>
      <c r="U711" s="45"/>
      <c r="V711" s="45"/>
      <c r="W711" s="45"/>
      <c r="X711" s="45"/>
      <c r="Y711" s="45"/>
    </row>
    <row r="712" spans="1:25" ht="13.5" customHeight="1" x14ac:dyDescent="0.3">
      <c r="A712" s="45"/>
      <c r="B712" s="45"/>
      <c r="C712" s="52"/>
      <c r="D712" s="45"/>
      <c r="E712" s="45"/>
      <c r="F712" s="45"/>
      <c r="G712" s="52"/>
      <c r="H712" s="52"/>
      <c r="I712" s="45"/>
      <c r="J712" s="45"/>
      <c r="K712" s="45"/>
      <c r="L712" s="45"/>
      <c r="M712" s="45"/>
      <c r="N712" s="45"/>
      <c r="O712" s="45"/>
      <c r="P712" s="45"/>
      <c r="Q712" s="45"/>
      <c r="R712" s="45"/>
      <c r="S712" s="45"/>
      <c r="T712" s="45"/>
      <c r="U712" s="45"/>
      <c r="V712" s="45"/>
      <c r="W712" s="45"/>
      <c r="X712" s="45"/>
      <c r="Y712" s="45"/>
    </row>
    <row r="713" spans="1:25" ht="13.5" customHeight="1" x14ac:dyDescent="0.3">
      <c r="A713" s="45"/>
      <c r="B713" s="45"/>
      <c r="C713" s="52"/>
      <c r="D713" s="45"/>
      <c r="E713" s="45"/>
      <c r="F713" s="45"/>
      <c r="G713" s="52"/>
      <c r="H713" s="52"/>
      <c r="I713" s="45"/>
      <c r="J713" s="45"/>
      <c r="K713" s="45"/>
      <c r="L713" s="45"/>
      <c r="M713" s="45"/>
      <c r="N713" s="45"/>
      <c r="O713" s="45"/>
      <c r="P713" s="45"/>
      <c r="Q713" s="45"/>
      <c r="R713" s="45"/>
      <c r="S713" s="45"/>
      <c r="T713" s="45"/>
      <c r="U713" s="45"/>
      <c r="V713" s="45"/>
      <c r="W713" s="45"/>
      <c r="X713" s="45"/>
      <c r="Y713" s="45"/>
    </row>
    <row r="714" spans="1:25" ht="13.5" customHeight="1" x14ac:dyDescent="0.3">
      <c r="A714" s="45"/>
      <c r="B714" s="45"/>
      <c r="C714" s="52"/>
      <c r="D714" s="45"/>
      <c r="E714" s="45"/>
      <c r="F714" s="45"/>
      <c r="G714" s="52"/>
      <c r="H714" s="52"/>
      <c r="I714" s="45"/>
      <c r="J714" s="45"/>
      <c r="K714" s="45"/>
      <c r="L714" s="45"/>
      <c r="M714" s="45"/>
      <c r="N714" s="45"/>
      <c r="O714" s="45"/>
      <c r="P714" s="45"/>
      <c r="Q714" s="45"/>
      <c r="R714" s="45"/>
      <c r="S714" s="45"/>
      <c r="T714" s="45"/>
      <c r="U714" s="45"/>
      <c r="V714" s="45"/>
      <c r="W714" s="45"/>
      <c r="X714" s="45"/>
      <c r="Y714" s="45"/>
    </row>
    <row r="715" spans="1:25" ht="13.5" customHeight="1" x14ac:dyDescent="0.3">
      <c r="A715" s="45"/>
      <c r="B715" s="45"/>
      <c r="C715" s="52"/>
      <c r="D715" s="45"/>
      <c r="E715" s="45"/>
      <c r="F715" s="45"/>
      <c r="G715" s="52"/>
      <c r="H715" s="52"/>
      <c r="I715" s="45"/>
      <c r="J715" s="45"/>
      <c r="K715" s="45"/>
      <c r="L715" s="45"/>
      <c r="M715" s="45"/>
      <c r="N715" s="45"/>
      <c r="O715" s="45"/>
      <c r="P715" s="45"/>
      <c r="Q715" s="45"/>
      <c r="R715" s="45"/>
      <c r="S715" s="45"/>
      <c r="T715" s="45"/>
      <c r="U715" s="45"/>
      <c r="V715" s="45"/>
      <c r="W715" s="45"/>
      <c r="X715" s="45"/>
      <c r="Y715" s="45"/>
    </row>
    <row r="716" spans="1:25" ht="13.5" customHeight="1" x14ac:dyDescent="0.3">
      <c r="A716" s="45"/>
      <c r="B716" s="45"/>
      <c r="C716" s="52"/>
      <c r="D716" s="45"/>
      <c r="E716" s="45"/>
      <c r="F716" s="45"/>
      <c r="G716" s="52"/>
      <c r="H716" s="52"/>
      <c r="I716" s="45"/>
      <c r="J716" s="45"/>
      <c r="K716" s="45"/>
      <c r="L716" s="45"/>
      <c r="M716" s="45"/>
      <c r="N716" s="45"/>
      <c r="O716" s="45"/>
      <c r="P716" s="45"/>
      <c r="Q716" s="45"/>
      <c r="R716" s="45"/>
      <c r="S716" s="45"/>
      <c r="T716" s="45"/>
      <c r="U716" s="45"/>
      <c r="V716" s="45"/>
      <c r="W716" s="45"/>
      <c r="X716" s="45"/>
      <c r="Y716" s="45"/>
    </row>
    <row r="717" spans="1:25" ht="13.5" customHeight="1" x14ac:dyDescent="0.3">
      <c r="A717" s="45"/>
      <c r="B717" s="45"/>
      <c r="C717" s="52"/>
      <c r="D717" s="45"/>
      <c r="E717" s="45"/>
      <c r="F717" s="45"/>
      <c r="G717" s="52"/>
      <c r="H717" s="52"/>
      <c r="I717" s="45"/>
      <c r="J717" s="45"/>
      <c r="K717" s="45"/>
      <c r="L717" s="45"/>
      <c r="M717" s="45"/>
      <c r="N717" s="45"/>
      <c r="O717" s="45"/>
      <c r="P717" s="45"/>
      <c r="Q717" s="45"/>
      <c r="R717" s="45"/>
      <c r="S717" s="45"/>
      <c r="T717" s="45"/>
      <c r="U717" s="45"/>
      <c r="V717" s="45"/>
      <c r="W717" s="45"/>
      <c r="X717" s="45"/>
      <c r="Y717" s="45"/>
    </row>
    <row r="718" spans="1:25" ht="13.5" customHeight="1" x14ac:dyDescent="0.3">
      <c r="A718" s="45"/>
      <c r="B718" s="45"/>
      <c r="C718" s="52"/>
      <c r="D718" s="45"/>
      <c r="E718" s="45"/>
      <c r="F718" s="45"/>
      <c r="G718" s="52"/>
      <c r="H718" s="52"/>
      <c r="I718" s="45"/>
      <c r="J718" s="45"/>
      <c r="K718" s="45"/>
      <c r="L718" s="45"/>
      <c r="M718" s="45"/>
      <c r="N718" s="45"/>
      <c r="O718" s="45"/>
      <c r="P718" s="45"/>
      <c r="Q718" s="45"/>
      <c r="R718" s="45"/>
      <c r="S718" s="45"/>
      <c r="T718" s="45"/>
      <c r="U718" s="45"/>
      <c r="V718" s="45"/>
      <c r="W718" s="45"/>
      <c r="X718" s="45"/>
      <c r="Y718" s="45"/>
    </row>
    <row r="719" spans="1:25" ht="13.5" customHeight="1" x14ac:dyDescent="0.3">
      <c r="A719" s="45"/>
      <c r="B719" s="45"/>
      <c r="C719" s="52"/>
      <c r="D719" s="45"/>
      <c r="E719" s="45"/>
      <c r="F719" s="45"/>
      <c r="G719" s="52"/>
      <c r="H719" s="52"/>
      <c r="I719" s="45"/>
      <c r="J719" s="45"/>
      <c r="K719" s="45"/>
      <c r="L719" s="45"/>
      <c r="M719" s="45"/>
      <c r="N719" s="45"/>
      <c r="O719" s="45"/>
      <c r="P719" s="45"/>
      <c r="Q719" s="45"/>
      <c r="R719" s="45"/>
      <c r="S719" s="45"/>
      <c r="T719" s="45"/>
      <c r="U719" s="45"/>
      <c r="V719" s="45"/>
      <c r="W719" s="45"/>
      <c r="X719" s="45"/>
      <c r="Y719" s="45"/>
    </row>
    <row r="720" spans="1:25" ht="13.5" customHeight="1" x14ac:dyDescent="0.3">
      <c r="A720" s="45"/>
      <c r="B720" s="45"/>
      <c r="C720" s="52"/>
      <c r="D720" s="45"/>
      <c r="E720" s="45"/>
      <c r="F720" s="45"/>
      <c r="G720" s="52"/>
      <c r="H720" s="52"/>
      <c r="I720" s="45"/>
      <c r="J720" s="45"/>
      <c r="K720" s="45"/>
      <c r="L720" s="45"/>
      <c r="M720" s="45"/>
      <c r="N720" s="45"/>
      <c r="O720" s="45"/>
      <c r="P720" s="45"/>
      <c r="Q720" s="45"/>
      <c r="R720" s="45"/>
      <c r="S720" s="45"/>
      <c r="T720" s="45"/>
      <c r="U720" s="45"/>
      <c r="V720" s="45"/>
      <c r="W720" s="45"/>
      <c r="X720" s="45"/>
      <c r="Y720" s="45"/>
    </row>
    <row r="721" spans="1:25" ht="13.5" customHeight="1" x14ac:dyDescent="0.3">
      <c r="A721" s="45"/>
      <c r="B721" s="45"/>
      <c r="C721" s="52"/>
      <c r="D721" s="45"/>
      <c r="E721" s="45"/>
      <c r="F721" s="45"/>
      <c r="G721" s="52"/>
      <c r="H721" s="52"/>
      <c r="I721" s="45"/>
      <c r="J721" s="45"/>
      <c r="K721" s="45"/>
      <c r="L721" s="45"/>
      <c r="M721" s="45"/>
      <c r="N721" s="45"/>
      <c r="O721" s="45"/>
      <c r="P721" s="45"/>
      <c r="Q721" s="45"/>
      <c r="R721" s="45"/>
      <c r="S721" s="45"/>
      <c r="T721" s="45"/>
      <c r="U721" s="45"/>
      <c r="V721" s="45"/>
      <c r="W721" s="45"/>
      <c r="X721" s="45"/>
      <c r="Y721" s="45"/>
    </row>
    <row r="722" spans="1:25" ht="13.5" customHeight="1" x14ac:dyDescent="0.3">
      <c r="A722" s="45"/>
      <c r="B722" s="45"/>
      <c r="C722" s="52"/>
      <c r="D722" s="45"/>
      <c r="E722" s="45"/>
      <c r="F722" s="45"/>
      <c r="G722" s="52"/>
      <c r="H722" s="52"/>
      <c r="I722" s="45"/>
      <c r="J722" s="45"/>
      <c r="K722" s="45"/>
      <c r="L722" s="45"/>
      <c r="M722" s="45"/>
      <c r="N722" s="45"/>
      <c r="O722" s="45"/>
      <c r="P722" s="45"/>
      <c r="Q722" s="45"/>
      <c r="R722" s="45"/>
      <c r="S722" s="45"/>
      <c r="T722" s="45"/>
      <c r="U722" s="45"/>
      <c r="V722" s="45"/>
      <c r="W722" s="45"/>
      <c r="X722" s="45"/>
      <c r="Y722" s="45"/>
    </row>
    <row r="723" spans="1:25" ht="13.5" customHeight="1" x14ac:dyDescent="0.3">
      <c r="A723" s="45"/>
      <c r="B723" s="45"/>
      <c r="C723" s="52"/>
      <c r="D723" s="45"/>
      <c r="E723" s="45"/>
      <c r="F723" s="45"/>
      <c r="G723" s="52"/>
      <c r="H723" s="52"/>
      <c r="I723" s="45"/>
      <c r="J723" s="45"/>
      <c r="K723" s="45"/>
      <c r="L723" s="45"/>
      <c r="M723" s="45"/>
      <c r="N723" s="45"/>
      <c r="O723" s="45"/>
      <c r="P723" s="45"/>
      <c r="Q723" s="45"/>
      <c r="R723" s="45"/>
      <c r="S723" s="45"/>
      <c r="T723" s="45"/>
      <c r="U723" s="45"/>
      <c r="V723" s="45"/>
      <c r="W723" s="45"/>
      <c r="X723" s="45"/>
      <c r="Y723" s="45"/>
    </row>
    <row r="724" spans="1:25" ht="13.5" customHeight="1" x14ac:dyDescent="0.3">
      <c r="A724" s="45"/>
      <c r="B724" s="45"/>
      <c r="C724" s="52"/>
      <c r="D724" s="45"/>
      <c r="E724" s="45"/>
      <c r="F724" s="45"/>
      <c r="G724" s="52"/>
      <c r="H724" s="52"/>
      <c r="I724" s="45"/>
      <c r="J724" s="45"/>
      <c r="K724" s="45"/>
      <c r="L724" s="45"/>
      <c r="M724" s="45"/>
      <c r="N724" s="45"/>
      <c r="O724" s="45"/>
      <c r="P724" s="45"/>
      <c r="Q724" s="45"/>
      <c r="R724" s="45"/>
      <c r="S724" s="45"/>
      <c r="T724" s="45"/>
      <c r="U724" s="45"/>
      <c r="V724" s="45"/>
      <c r="W724" s="45"/>
      <c r="X724" s="45"/>
      <c r="Y724" s="45"/>
    </row>
    <row r="725" spans="1:25" ht="13.5" customHeight="1" x14ac:dyDescent="0.3">
      <c r="A725" s="45"/>
      <c r="B725" s="45"/>
      <c r="C725" s="52"/>
      <c r="D725" s="45"/>
      <c r="E725" s="45"/>
      <c r="F725" s="45"/>
      <c r="G725" s="52"/>
      <c r="H725" s="52"/>
      <c r="I725" s="45"/>
      <c r="J725" s="45"/>
      <c r="K725" s="45"/>
      <c r="L725" s="45"/>
      <c r="M725" s="45"/>
      <c r="N725" s="45"/>
      <c r="O725" s="45"/>
      <c r="P725" s="45"/>
      <c r="Q725" s="45"/>
      <c r="R725" s="45"/>
      <c r="S725" s="45"/>
      <c r="T725" s="45"/>
      <c r="U725" s="45"/>
      <c r="V725" s="45"/>
      <c r="W725" s="45"/>
      <c r="X725" s="45"/>
      <c r="Y725" s="45"/>
    </row>
    <row r="726" spans="1:25" ht="13.5" customHeight="1" x14ac:dyDescent="0.3">
      <c r="A726" s="45"/>
      <c r="B726" s="45"/>
      <c r="C726" s="52"/>
      <c r="D726" s="45"/>
      <c r="E726" s="45"/>
      <c r="F726" s="45"/>
      <c r="G726" s="52"/>
      <c r="H726" s="52"/>
      <c r="I726" s="45"/>
      <c r="J726" s="45"/>
      <c r="K726" s="45"/>
      <c r="L726" s="45"/>
      <c r="M726" s="45"/>
      <c r="N726" s="45"/>
      <c r="O726" s="45"/>
      <c r="P726" s="45"/>
      <c r="Q726" s="45"/>
      <c r="R726" s="45"/>
      <c r="S726" s="45"/>
      <c r="T726" s="45"/>
      <c r="U726" s="45"/>
      <c r="V726" s="45"/>
      <c r="W726" s="45"/>
      <c r="X726" s="45"/>
      <c r="Y726" s="45"/>
    </row>
    <row r="727" spans="1:25" ht="13.5" customHeight="1" x14ac:dyDescent="0.3">
      <c r="A727" s="45"/>
      <c r="B727" s="45"/>
      <c r="C727" s="52"/>
      <c r="D727" s="45"/>
      <c r="E727" s="45"/>
      <c r="F727" s="45"/>
      <c r="G727" s="52"/>
      <c r="H727" s="52"/>
      <c r="I727" s="45"/>
      <c r="J727" s="45"/>
      <c r="K727" s="45"/>
      <c r="L727" s="45"/>
      <c r="M727" s="45"/>
      <c r="N727" s="45"/>
      <c r="O727" s="45"/>
      <c r="P727" s="45"/>
      <c r="Q727" s="45"/>
      <c r="R727" s="45"/>
      <c r="S727" s="45"/>
      <c r="T727" s="45"/>
      <c r="U727" s="45"/>
      <c r="V727" s="45"/>
      <c r="W727" s="45"/>
      <c r="X727" s="45"/>
      <c r="Y727" s="45"/>
    </row>
    <row r="728" spans="1:25" ht="13.5" customHeight="1" x14ac:dyDescent="0.3">
      <c r="A728" s="45"/>
      <c r="B728" s="45"/>
      <c r="C728" s="52"/>
      <c r="D728" s="45"/>
      <c r="E728" s="45"/>
      <c r="F728" s="45"/>
      <c r="G728" s="52"/>
      <c r="H728" s="52"/>
      <c r="I728" s="45"/>
      <c r="J728" s="45"/>
      <c r="K728" s="45"/>
      <c r="L728" s="45"/>
      <c r="M728" s="45"/>
      <c r="N728" s="45"/>
      <c r="O728" s="45"/>
      <c r="P728" s="45"/>
      <c r="Q728" s="45"/>
      <c r="R728" s="45"/>
      <c r="S728" s="45"/>
      <c r="T728" s="45"/>
      <c r="U728" s="45"/>
      <c r="V728" s="45"/>
      <c r="W728" s="45"/>
      <c r="X728" s="45"/>
      <c r="Y728" s="45"/>
    </row>
    <row r="729" spans="1:25" ht="13.5" customHeight="1" x14ac:dyDescent="0.3">
      <c r="A729" s="45"/>
      <c r="B729" s="45"/>
      <c r="C729" s="52"/>
      <c r="D729" s="45"/>
      <c r="E729" s="45"/>
      <c r="F729" s="45"/>
      <c r="G729" s="52"/>
      <c r="H729" s="52"/>
      <c r="I729" s="45"/>
      <c r="J729" s="45"/>
      <c r="K729" s="45"/>
      <c r="L729" s="45"/>
      <c r="M729" s="45"/>
      <c r="N729" s="45"/>
      <c r="O729" s="45"/>
      <c r="P729" s="45"/>
      <c r="Q729" s="45"/>
      <c r="R729" s="45"/>
      <c r="S729" s="45"/>
      <c r="T729" s="45"/>
      <c r="U729" s="45"/>
      <c r="V729" s="45"/>
      <c r="W729" s="45"/>
      <c r="X729" s="45"/>
      <c r="Y729" s="45"/>
    </row>
    <row r="730" spans="1:25" ht="13.5" customHeight="1" x14ac:dyDescent="0.3">
      <c r="A730" s="45"/>
      <c r="B730" s="45"/>
      <c r="C730" s="52"/>
      <c r="D730" s="45"/>
      <c r="E730" s="45"/>
      <c r="F730" s="45"/>
      <c r="G730" s="52"/>
      <c r="H730" s="52"/>
      <c r="I730" s="45"/>
      <c r="J730" s="45"/>
      <c r="K730" s="45"/>
      <c r="L730" s="45"/>
      <c r="M730" s="45"/>
      <c r="N730" s="45"/>
      <c r="O730" s="45"/>
      <c r="P730" s="45"/>
      <c r="Q730" s="45"/>
      <c r="R730" s="45"/>
      <c r="S730" s="45"/>
      <c r="T730" s="45"/>
      <c r="U730" s="45"/>
      <c r="V730" s="45"/>
      <c r="W730" s="45"/>
      <c r="X730" s="45"/>
      <c r="Y730" s="45"/>
    </row>
    <row r="731" spans="1:25" ht="13.5" customHeight="1" x14ac:dyDescent="0.3">
      <c r="A731" s="45"/>
      <c r="B731" s="45"/>
      <c r="C731" s="52"/>
      <c r="D731" s="45"/>
      <c r="E731" s="45"/>
      <c r="F731" s="45"/>
      <c r="G731" s="52"/>
      <c r="H731" s="52"/>
      <c r="I731" s="45"/>
      <c r="J731" s="45"/>
      <c r="K731" s="45"/>
      <c r="L731" s="45"/>
      <c r="M731" s="45"/>
      <c r="N731" s="45"/>
      <c r="O731" s="45"/>
      <c r="P731" s="45"/>
      <c r="Q731" s="45"/>
      <c r="R731" s="45"/>
      <c r="S731" s="45"/>
      <c r="T731" s="45"/>
      <c r="U731" s="45"/>
      <c r="V731" s="45"/>
      <c r="W731" s="45"/>
      <c r="X731" s="45"/>
      <c r="Y731" s="45"/>
    </row>
    <row r="732" spans="1:25" ht="13.5" customHeight="1" x14ac:dyDescent="0.3">
      <c r="A732" s="45"/>
      <c r="B732" s="45"/>
      <c r="C732" s="52"/>
      <c r="D732" s="45"/>
      <c r="E732" s="45"/>
      <c r="F732" s="45"/>
      <c r="G732" s="52"/>
      <c r="H732" s="52"/>
      <c r="I732" s="45"/>
      <c r="J732" s="45"/>
      <c r="K732" s="45"/>
      <c r="L732" s="45"/>
      <c r="M732" s="45"/>
      <c r="N732" s="45"/>
      <c r="O732" s="45"/>
      <c r="P732" s="45"/>
      <c r="Q732" s="45"/>
      <c r="R732" s="45"/>
      <c r="S732" s="45"/>
      <c r="T732" s="45"/>
      <c r="U732" s="45"/>
      <c r="V732" s="45"/>
      <c r="W732" s="45"/>
      <c r="X732" s="45"/>
      <c r="Y732" s="45"/>
    </row>
    <row r="733" spans="1:25" ht="13.5" customHeight="1" x14ac:dyDescent="0.3">
      <c r="A733" s="45"/>
      <c r="B733" s="45"/>
      <c r="C733" s="52"/>
      <c r="D733" s="45"/>
      <c r="E733" s="45"/>
      <c r="F733" s="45"/>
      <c r="G733" s="52"/>
      <c r="H733" s="52"/>
      <c r="I733" s="45"/>
      <c r="J733" s="45"/>
      <c r="K733" s="45"/>
      <c r="L733" s="45"/>
      <c r="M733" s="45"/>
      <c r="N733" s="45"/>
      <c r="O733" s="45"/>
      <c r="P733" s="45"/>
      <c r="Q733" s="45"/>
      <c r="R733" s="45"/>
      <c r="S733" s="45"/>
      <c r="T733" s="45"/>
      <c r="U733" s="45"/>
      <c r="V733" s="45"/>
      <c r="W733" s="45"/>
      <c r="X733" s="45"/>
      <c r="Y733" s="45"/>
    </row>
    <row r="734" spans="1:25" ht="13.5" customHeight="1" x14ac:dyDescent="0.3">
      <c r="A734" s="45"/>
      <c r="B734" s="45"/>
      <c r="C734" s="52"/>
      <c r="D734" s="45"/>
      <c r="E734" s="45"/>
      <c r="F734" s="45"/>
      <c r="G734" s="52"/>
      <c r="H734" s="52"/>
      <c r="I734" s="45"/>
      <c r="J734" s="45"/>
      <c r="K734" s="45"/>
      <c r="L734" s="45"/>
      <c r="M734" s="45"/>
      <c r="N734" s="45"/>
      <c r="O734" s="45"/>
      <c r="P734" s="45"/>
      <c r="Q734" s="45"/>
      <c r="R734" s="45"/>
      <c r="S734" s="45"/>
      <c r="T734" s="45"/>
      <c r="U734" s="45"/>
      <c r="V734" s="45"/>
      <c r="W734" s="45"/>
      <c r="X734" s="45"/>
      <c r="Y734" s="45"/>
    </row>
    <row r="735" spans="1:25" ht="13.5" customHeight="1" x14ac:dyDescent="0.3">
      <c r="A735" s="45"/>
      <c r="B735" s="45"/>
      <c r="C735" s="52"/>
      <c r="D735" s="45"/>
      <c r="E735" s="45"/>
      <c r="F735" s="45"/>
      <c r="G735" s="52"/>
      <c r="H735" s="52"/>
      <c r="I735" s="45"/>
      <c r="J735" s="45"/>
      <c r="K735" s="45"/>
      <c r="L735" s="45"/>
      <c r="M735" s="45"/>
      <c r="N735" s="45"/>
      <c r="O735" s="45"/>
      <c r="P735" s="45"/>
      <c r="Q735" s="45"/>
      <c r="R735" s="45"/>
      <c r="S735" s="45"/>
      <c r="T735" s="45"/>
      <c r="U735" s="45"/>
      <c r="V735" s="45"/>
      <c r="W735" s="45"/>
      <c r="X735" s="45"/>
      <c r="Y735" s="45"/>
    </row>
    <row r="736" spans="1:25" ht="13.5" customHeight="1" x14ac:dyDescent="0.3">
      <c r="A736" s="45"/>
      <c r="B736" s="45"/>
      <c r="C736" s="52"/>
      <c r="D736" s="45"/>
      <c r="E736" s="45"/>
      <c r="F736" s="45"/>
      <c r="G736" s="52"/>
      <c r="H736" s="52"/>
      <c r="I736" s="45"/>
      <c r="J736" s="45"/>
      <c r="K736" s="45"/>
      <c r="L736" s="45"/>
      <c r="M736" s="45"/>
      <c r="N736" s="45"/>
      <c r="O736" s="45"/>
      <c r="P736" s="45"/>
      <c r="Q736" s="45"/>
      <c r="R736" s="45"/>
      <c r="S736" s="45"/>
      <c r="T736" s="45"/>
      <c r="U736" s="45"/>
      <c r="V736" s="45"/>
      <c r="W736" s="45"/>
      <c r="X736" s="45"/>
      <c r="Y736" s="45"/>
    </row>
    <row r="737" spans="1:25" ht="13.5" customHeight="1" x14ac:dyDescent="0.3">
      <c r="A737" s="45"/>
      <c r="B737" s="45"/>
      <c r="C737" s="52"/>
      <c r="D737" s="45"/>
      <c r="E737" s="45"/>
      <c r="F737" s="45"/>
      <c r="G737" s="52"/>
      <c r="H737" s="52"/>
      <c r="I737" s="45"/>
      <c r="J737" s="45"/>
      <c r="K737" s="45"/>
      <c r="L737" s="45"/>
      <c r="M737" s="45"/>
      <c r="N737" s="45"/>
      <c r="O737" s="45"/>
      <c r="P737" s="45"/>
      <c r="Q737" s="45"/>
      <c r="R737" s="45"/>
      <c r="S737" s="45"/>
      <c r="T737" s="45"/>
      <c r="U737" s="45"/>
      <c r="V737" s="45"/>
      <c r="W737" s="45"/>
      <c r="X737" s="45"/>
      <c r="Y737" s="45"/>
    </row>
    <row r="738" spans="1:25" ht="13.5" customHeight="1" x14ac:dyDescent="0.3">
      <c r="A738" s="45"/>
      <c r="B738" s="45"/>
      <c r="C738" s="52"/>
      <c r="D738" s="45"/>
      <c r="E738" s="45"/>
      <c r="F738" s="45"/>
      <c r="G738" s="52"/>
      <c r="H738" s="52"/>
      <c r="I738" s="45"/>
      <c r="J738" s="45"/>
      <c r="K738" s="45"/>
      <c r="L738" s="45"/>
      <c r="M738" s="45"/>
      <c r="N738" s="45"/>
      <c r="O738" s="45"/>
      <c r="P738" s="45"/>
      <c r="Q738" s="45"/>
      <c r="R738" s="45"/>
      <c r="S738" s="45"/>
      <c r="T738" s="45"/>
      <c r="U738" s="45"/>
      <c r="V738" s="45"/>
      <c r="W738" s="45"/>
      <c r="X738" s="45"/>
      <c r="Y738" s="45"/>
    </row>
    <row r="739" spans="1:25" ht="13.5" customHeight="1" x14ac:dyDescent="0.3">
      <c r="A739" s="45"/>
      <c r="B739" s="45"/>
      <c r="C739" s="52"/>
      <c r="D739" s="45"/>
      <c r="E739" s="45"/>
      <c r="F739" s="45"/>
      <c r="G739" s="52"/>
      <c r="H739" s="52"/>
      <c r="I739" s="45"/>
      <c r="J739" s="45"/>
      <c r="K739" s="45"/>
      <c r="L739" s="45"/>
      <c r="M739" s="45"/>
      <c r="N739" s="45"/>
      <c r="O739" s="45"/>
      <c r="P739" s="45"/>
      <c r="Q739" s="45"/>
      <c r="R739" s="45"/>
      <c r="S739" s="45"/>
      <c r="T739" s="45"/>
      <c r="U739" s="45"/>
      <c r="V739" s="45"/>
      <c r="W739" s="45"/>
      <c r="X739" s="45"/>
      <c r="Y739" s="45"/>
    </row>
    <row r="740" spans="1:25" ht="13.5" customHeight="1" x14ac:dyDescent="0.3">
      <c r="A740" s="45"/>
      <c r="B740" s="45"/>
      <c r="C740" s="52"/>
      <c r="D740" s="45"/>
      <c r="E740" s="45"/>
      <c r="F740" s="45"/>
      <c r="G740" s="52"/>
      <c r="H740" s="52"/>
      <c r="I740" s="45"/>
      <c r="J740" s="45"/>
      <c r="K740" s="45"/>
      <c r="L740" s="45"/>
      <c r="M740" s="45"/>
      <c r="N740" s="45"/>
      <c r="O740" s="45"/>
      <c r="P740" s="45"/>
      <c r="Q740" s="45"/>
      <c r="R740" s="45"/>
      <c r="S740" s="45"/>
      <c r="T740" s="45"/>
      <c r="U740" s="45"/>
      <c r="V740" s="45"/>
      <c r="W740" s="45"/>
      <c r="X740" s="45"/>
      <c r="Y740" s="45"/>
    </row>
    <row r="741" spans="1:25" ht="13.5" customHeight="1" x14ac:dyDescent="0.3">
      <c r="A741" s="45"/>
      <c r="B741" s="45"/>
      <c r="C741" s="52"/>
      <c r="D741" s="45"/>
      <c r="E741" s="45"/>
      <c r="F741" s="45"/>
      <c r="G741" s="52"/>
      <c r="H741" s="52"/>
      <c r="I741" s="45"/>
      <c r="J741" s="45"/>
      <c r="K741" s="45"/>
      <c r="L741" s="45"/>
      <c r="M741" s="45"/>
      <c r="N741" s="45"/>
      <c r="O741" s="45"/>
      <c r="P741" s="45"/>
      <c r="Q741" s="45"/>
      <c r="R741" s="45"/>
      <c r="S741" s="45"/>
      <c r="T741" s="45"/>
      <c r="U741" s="45"/>
      <c r="V741" s="45"/>
      <c r="W741" s="45"/>
      <c r="X741" s="45"/>
      <c r="Y741" s="45"/>
    </row>
    <row r="742" spans="1:25" ht="13.5" customHeight="1" x14ac:dyDescent="0.3">
      <c r="A742" s="45"/>
      <c r="B742" s="45"/>
      <c r="C742" s="52"/>
      <c r="D742" s="45"/>
      <c r="E742" s="45"/>
      <c r="F742" s="45"/>
      <c r="G742" s="52"/>
      <c r="H742" s="52"/>
      <c r="I742" s="45"/>
      <c r="J742" s="45"/>
      <c r="K742" s="45"/>
      <c r="L742" s="45"/>
      <c r="M742" s="45"/>
      <c r="N742" s="45"/>
      <c r="O742" s="45"/>
      <c r="P742" s="45"/>
      <c r="Q742" s="45"/>
      <c r="R742" s="45"/>
      <c r="S742" s="45"/>
      <c r="T742" s="45"/>
      <c r="U742" s="45"/>
      <c r="V742" s="45"/>
      <c r="W742" s="45"/>
      <c r="X742" s="45"/>
      <c r="Y742" s="45"/>
    </row>
    <row r="743" spans="1:25" ht="13.5" customHeight="1" x14ac:dyDescent="0.3">
      <c r="A743" s="45"/>
      <c r="B743" s="45"/>
      <c r="C743" s="52"/>
      <c r="D743" s="45"/>
      <c r="E743" s="45"/>
      <c r="F743" s="45"/>
      <c r="G743" s="52"/>
      <c r="H743" s="52"/>
      <c r="I743" s="45"/>
      <c r="J743" s="45"/>
      <c r="K743" s="45"/>
      <c r="L743" s="45"/>
      <c r="M743" s="45"/>
      <c r="N743" s="45"/>
      <c r="O743" s="45"/>
      <c r="P743" s="45"/>
      <c r="Q743" s="45"/>
      <c r="R743" s="45"/>
      <c r="S743" s="45"/>
      <c r="T743" s="45"/>
      <c r="U743" s="45"/>
      <c r="V743" s="45"/>
      <c r="W743" s="45"/>
      <c r="X743" s="45"/>
      <c r="Y743" s="45"/>
    </row>
    <row r="744" spans="1:25" ht="13.5" customHeight="1" x14ac:dyDescent="0.3">
      <c r="A744" s="45"/>
      <c r="B744" s="45"/>
      <c r="C744" s="52"/>
      <c r="D744" s="45"/>
      <c r="E744" s="45"/>
      <c r="F744" s="45"/>
      <c r="G744" s="52"/>
      <c r="H744" s="52"/>
      <c r="I744" s="45"/>
      <c r="J744" s="45"/>
      <c r="K744" s="45"/>
      <c r="L744" s="45"/>
      <c r="M744" s="45"/>
      <c r="N744" s="45"/>
      <c r="O744" s="45"/>
      <c r="P744" s="45"/>
      <c r="Q744" s="45"/>
      <c r="R744" s="45"/>
      <c r="S744" s="45"/>
      <c r="T744" s="45"/>
      <c r="U744" s="45"/>
      <c r="V744" s="45"/>
      <c r="W744" s="45"/>
      <c r="X744" s="45"/>
      <c r="Y744" s="45"/>
    </row>
    <row r="745" spans="1:25" ht="13.5" customHeight="1" x14ac:dyDescent="0.3">
      <c r="A745" s="45"/>
      <c r="B745" s="45"/>
      <c r="C745" s="52"/>
      <c r="D745" s="45"/>
      <c r="E745" s="45"/>
      <c r="F745" s="45"/>
      <c r="G745" s="52"/>
      <c r="H745" s="52"/>
      <c r="I745" s="45"/>
      <c r="J745" s="45"/>
      <c r="K745" s="45"/>
      <c r="L745" s="45"/>
      <c r="M745" s="45"/>
      <c r="N745" s="45"/>
      <c r="O745" s="45"/>
      <c r="P745" s="45"/>
      <c r="Q745" s="45"/>
      <c r="R745" s="45"/>
      <c r="S745" s="45"/>
      <c r="T745" s="45"/>
      <c r="U745" s="45"/>
      <c r="V745" s="45"/>
      <c r="W745" s="45"/>
      <c r="X745" s="45"/>
      <c r="Y745" s="45"/>
    </row>
    <row r="746" spans="1:25" ht="13.5" customHeight="1" x14ac:dyDescent="0.3">
      <c r="A746" s="45"/>
      <c r="B746" s="45"/>
      <c r="C746" s="52"/>
      <c r="D746" s="45"/>
      <c r="E746" s="45"/>
      <c r="F746" s="45"/>
      <c r="G746" s="52"/>
      <c r="H746" s="52"/>
      <c r="I746" s="45"/>
      <c r="J746" s="45"/>
      <c r="K746" s="45"/>
      <c r="L746" s="45"/>
      <c r="M746" s="45"/>
      <c r="N746" s="45"/>
      <c r="O746" s="45"/>
      <c r="P746" s="45"/>
      <c r="Q746" s="45"/>
      <c r="R746" s="45"/>
      <c r="S746" s="45"/>
      <c r="T746" s="45"/>
      <c r="U746" s="45"/>
      <c r="V746" s="45"/>
      <c r="W746" s="45"/>
      <c r="X746" s="45"/>
      <c r="Y746" s="45"/>
    </row>
    <row r="747" spans="1:25" ht="13.5" customHeight="1" x14ac:dyDescent="0.3">
      <c r="A747" s="45"/>
      <c r="B747" s="45"/>
      <c r="C747" s="52"/>
      <c r="D747" s="45"/>
      <c r="E747" s="45"/>
      <c r="F747" s="45"/>
      <c r="G747" s="52"/>
      <c r="H747" s="52"/>
      <c r="I747" s="45"/>
      <c r="J747" s="45"/>
      <c r="K747" s="45"/>
      <c r="L747" s="45"/>
      <c r="M747" s="45"/>
      <c r="N747" s="45"/>
      <c r="O747" s="45"/>
      <c r="P747" s="45"/>
      <c r="Q747" s="45"/>
      <c r="R747" s="45"/>
      <c r="S747" s="45"/>
      <c r="T747" s="45"/>
      <c r="U747" s="45"/>
      <c r="V747" s="45"/>
      <c r="W747" s="45"/>
      <c r="X747" s="45"/>
      <c r="Y747" s="45"/>
    </row>
    <row r="748" spans="1:25" ht="13.5" customHeight="1" x14ac:dyDescent="0.3">
      <c r="A748" s="45"/>
      <c r="B748" s="45"/>
      <c r="C748" s="52"/>
      <c r="D748" s="45"/>
      <c r="E748" s="45"/>
      <c r="F748" s="45"/>
      <c r="G748" s="52"/>
      <c r="H748" s="52"/>
      <c r="I748" s="45"/>
      <c r="J748" s="45"/>
      <c r="K748" s="45"/>
      <c r="L748" s="45"/>
      <c r="M748" s="45"/>
      <c r="N748" s="45"/>
      <c r="O748" s="45"/>
      <c r="P748" s="45"/>
      <c r="Q748" s="45"/>
      <c r="R748" s="45"/>
      <c r="S748" s="45"/>
      <c r="T748" s="45"/>
      <c r="U748" s="45"/>
      <c r="V748" s="45"/>
      <c r="W748" s="45"/>
      <c r="X748" s="45"/>
      <c r="Y748" s="45"/>
    </row>
    <row r="749" spans="1:25" ht="13.5" customHeight="1" x14ac:dyDescent="0.3">
      <c r="A749" s="45"/>
      <c r="B749" s="45"/>
      <c r="C749" s="52"/>
      <c r="D749" s="45"/>
      <c r="E749" s="45"/>
      <c r="F749" s="45"/>
      <c r="G749" s="52"/>
      <c r="H749" s="52"/>
      <c r="I749" s="45"/>
      <c r="J749" s="45"/>
      <c r="K749" s="45"/>
      <c r="L749" s="45"/>
      <c r="M749" s="45"/>
      <c r="N749" s="45"/>
      <c r="O749" s="45"/>
      <c r="P749" s="45"/>
      <c r="Q749" s="45"/>
      <c r="R749" s="45"/>
      <c r="S749" s="45"/>
      <c r="T749" s="45"/>
      <c r="U749" s="45"/>
      <c r="V749" s="45"/>
      <c r="W749" s="45"/>
      <c r="X749" s="45"/>
      <c r="Y749" s="45"/>
    </row>
    <row r="750" spans="1:25" ht="13.5" customHeight="1" x14ac:dyDescent="0.3">
      <c r="A750" s="45"/>
      <c r="B750" s="45"/>
      <c r="C750" s="52"/>
      <c r="D750" s="45"/>
      <c r="E750" s="45"/>
      <c r="F750" s="45"/>
      <c r="G750" s="52"/>
      <c r="H750" s="52"/>
      <c r="I750" s="45"/>
      <c r="J750" s="45"/>
      <c r="K750" s="45"/>
      <c r="L750" s="45"/>
      <c r="M750" s="45"/>
      <c r="N750" s="45"/>
      <c r="O750" s="45"/>
      <c r="P750" s="45"/>
      <c r="Q750" s="45"/>
      <c r="R750" s="45"/>
      <c r="S750" s="45"/>
      <c r="T750" s="45"/>
      <c r="U750" s="45"/>
      <c r="V750" s="45"/>
      <c r="W750" s="45"/>
      <c r="X750" s="45"/>
      <c r="Y750" s="45"/>
    </row>
    <row r="751" spans="1:25" ht="13.5" customHeight="1" x14ac:dyDescent="0.3">
      <c r="A751" s="45"/>
      <c r="B751" s="45"/>
      <c r="C751" s="52"/>
      <c r="D751" s="45"/>
      <c r="E751" s="45"/>
      <c r="F751" s="45"/>
      <c r="G751" s="52"/>
      <c r="H751" s="52"/>
      <c r="I751" s="45"/>
      <c r="J751" s="45"/>
      <c r="K751" s="45"/>
      <c r="L751" s="45"/>
      <c r="M751" s="45"/>
      <c r="N751" s="45"/>
      <c r="O751" s="45"/>
      <c r="P751" s="45"/>
      <c r="Q751" s="45"/>
      <c r="R751" s="45"/>
      <c r="S751" s="45"/>
      <c r="T751" s="45"/>
      <c r="U751" s="45"/>
      <c r="V751" s="45"/>
      <c r="W751" s="45"/>
      <c r="X751" s="45"/>
      <c r="Y751" s="45"/>
    </row>
    <row r="752" spans="1:25" ht="13.5" customHeight="1" x14ac:dyDescent="0.3">
      <c r="A752" s="45"/>
      <c r="B752" s="45"/>
      <c r="C752" s="52"/>
      <c r="D752" s="45"/>
      <c r="E752" s="45"/>
      <c r="F752" s="45"/>
      <c r="G752" s="52"/>
      <c r="H752" s="52"/>
      <c r="I752" s="45"/>
      <c r="J752" s="45"/>
      <c r="K752" s="45"/>
      <c r="L752" s="45"/>
      <c r="M752" s="45"/>
      <c r="N752" s="45"/>
      <c r="O752" s="45"/>
      <c r="P752" s="45"/>
      <c r="Q752" s="45"/>
      <c r="R752" s="45"/>
      <c r="S752" s="45"/>
      <c r="T752" s="45"/>
      <c r="U752" s="45"/>
      <c r="V752" s="45"/>
      <c r="W752" s="45"/>
      <c r="X752" s="45"/>
      <c r="Y752" s="45"/>
    </row>
    <row r="753" spans="1:25" ht="13.5" customHeight="1" x14ac:dyDescent="0.3">
      <c r="A753" s="45"/>
      <c r="B753" s="45"/>
      <c r="C753" s="52"/>
      <c r="D753" s="45"/>
      <c r="E753" s="45"/>
      <c r="F753" s="45"/>
      <c r="G753" s="52"/>
      <c r="H753" s="52"/>
      <c r="I753" s="45"/>
      <c r="J753" s="45"/>
      <c r="K753" s="45"/>
      <c r="L753" s="45"/>
      <c r="M753" s="45"/>
      <c r="N753" s="45"/>
      <c r="O753" s="45"/>
      <c r="P753" s="45"/>
      <c r="Q753" s="45"/>
      <c r="R753" s="45"/>
      <c r="S753" s="45"/>
      <c r="T753" s="45"/>
      <c r="U753" s="45"/>
      <c r="V753" s="45"/>
      <c r="W753" s="45"/>
      <c r="X753" s="45"/>
      <c r="Y753" s="45"/>
    </row>
    <row r="754" spans="1:25" ht="13.5" customHeight="1" x14ac:dyDescent="0.3">
      <c r="A754" s="45"/>
      <c r="B754" s="45"/>
      <c r="C754" s="52"/>
      <c r="D754" s="45"/>
      <c r="E754" s="45"/>
      <c r="F754" s="45"/>
      <c r="G754" s="52"/>
      <c r="H754" s="52"/>
      <c r="I754" s="45"/>
      <c r="J754" s="45"/>
      <c r="K754" s="45"/>
      <c r="L754" s="45"/>
      <c r="M754" s="45"/>
      <c r="N754" s="45"/>
      <c r="O754" s="45"/>
      <c r="P754" s="45"/>
      <c r="Q754" s="45"/>
      <c r="R754" s="45"/>
      <c r="S754" s="45"/>
      <c r="T754" s="45"/>
      <c r="U754" s="45"/>
      <c r="V754" s="45"/>
      <c r="W754" s="45"/>
      <c r="X754" s="45"/>
      <c r="Y754" s="45"/>
    </row>
    <row r="755" spans="1:25" ht="13.5" customHeight="1" x14ac:dyDescent="0.3">
      <c r="A755" s="45"/>
      <c r="B755" s="45"/>
      <c r="C755" s="52"/>
      <c r="D755" s="45"/>
      <c r="E755" s="45"/>
      <c r="F755" s="45"/>
      <c r="G755" s="52"/>
      <c r="H755" s="52"/>
      <c r="I755" s="45"/>
      <c r="J755" s="45"/>
      <c r="K755" s="45"/>
      <c r="L755" s="45"/>
      <c r="M755" s="45"/>
      <c r="N755" s="45"/>
      <c r="O755" s="45"/>
      <c r="P755" s="45"/>
      <c r="Q755" s="45"/>
      <c r="R755" s="45"/>
      <c r="S755" s="45"/>
      <c r="T755" s="45"/>
      <c r="U755" s="45"/>
      <c r="V755" s="45"/>
      <c r="W755" s="45"/>
      <c r="X755" s="45"/>
      <c r="Y755" s="45"/>
    </row>
    <row r="756" spans="1:25" ht="13.5" customHeight="1" x14ac:dyDescent="0.3">
      <c r="A756" s="45"/>
      <c r="B756" s="45"/>
      <c r="C756" s="52"/>
      <c r="D756" s="45"/>
      <c r="E756" s="45"/>
      <c r="F756" s="45"/>
      <c r="G756" s="52"/>
      <c r="H756" s="52"/>
      <c r="I756" s="45"/>
      <c r="J756" s="45"/>
      <c r="K756" s="45"/>
      <c r="L756" s="45"/>
      <c r="M756" s="45"/>
      <c r="N756" s="45"/>
      <c r="O756" s="45"/>
      <c r="P756" s="45"/>
      <c r="Q756" s="45"/>
      <c r="R756" s="45"/>
      <c r="S756" s="45"/>
      <c r="T756" s="45"/>
      <c r="U756" s="45"/>
      <c r="V756" s="45"/>
      <c r="W756" s="45"/>
      <c r="X756" s="45"/>
      <c r="Y756" s="45"/>
    </row>
    <row r="757" spans="1:25" ht="13.5" customHeight="1" x14ac:dyDescent="0.3">
      <c r="A757" s="45"/>
      <c r="B757" s="45"/>
      <c r="C757" s="52"/>
      <c r="D757" s="45"/>
      <c r="E757" s="45"/>
      <c r="F757" s="45"/>
      <c r="G757" s="52"/>
      <c r="H757" s="52"/>
      <c r="I757" s="45"/>
      <c r="J757" s="45"/>
      <c r="K757" s="45"/>
      <c r="L757" s="45"/>
      <c r="M757" s="45"/>
      <c r="N757" s="45"/>
      <c r="O757" s="45"/>
      <c r="P757" s="45"/>
      <c r="Q757" s="45"/>
      <c r="R757" s="45"/>
      <c r="S757" s="45"/>
      <c r="T757" s="45"/>
      <c r="U757" s="45"/>
      <c r="V757" s="45"/>
      <c r="W757" s="45"/>
      <c r="X757" s="45"/>
      <c r="Y757" s="45"/>
    </row>
    <row r="758" spans="1:25" ht="13.5" customHeight="1" x14ac:dyDescent="0.3">
      <c r="A758" s="45"/>
      <c r="B758" s="45"/>
      <c r="C758" s="52"/>
      <c r="D758" s="45"/>
      <c r="E758" s="45"/>
      <c r="F758" s="45"/>
      <c r="G758" s="52"/>
      <c r="H758" s="52"/>
      <c r="I758" s="45"/>
      <c r="J758" s="45"/>
      <c r="K758" s="45"/>
      <c r="L758" s="45"/>
      <c r="M758" s="45"/>
      <c r="N758" s="45"/>
      <c r="O758" s="45"/>
      <c r="P758" s="45"/>
      <c r="Q758" s="45"/>
      <c r="R758" s="45"/>
      <c r="S758" s="45"/>
      <c r="T758" s="45"/>
      <c r="U758" s="45"/>
      <c r="V758" s="45"/>
      <c r="W758" s="45"/>
      <c r="X758" s="45"/>
      <c r="Y758" s="45"/>
    </row>
    <row r="759" spans="1:25" ht="13.5" customHeight="1" x14ac:dyDescent="0.3">
      <c r="A759" s="45"/>
      <c r="B759" s="45"/>
      <c r="C759" s="52"/>
      <c r="D759" s="45"/>
      <c r="E759" s="45"/>
      <c r="F759" s="45"/>
      <c r="G759" s="52"/>
      <c r="H759" s="52"/>
      <c r="I759" s="45"/>
      <c r="J759" s="45"/>
      <c r="K759" s="45"/>
      <c r="L759" s="45"/>
      <c r="M759" s="45"/>
      <c r="N759" s="45"/>
      <c r="O759" s="45"/>
      <c r="P759" s="45"/>
      <c r="Q759" s="45"/>
      <c r="R759" s="45"/>
      <c r="S759" s="45"/>
      <c r="T759" s="45"/>
      <c r="U759" s="45"/>
      <c r="V759" s="45"/>
      <c r="W759" s="45"/>
      <c r="X759" s="45"/>
      <c r="Y759" s="45"/>
    </row>
    <row r="760" spans="1:25" ht="13.5" customHeight="1" x14ac:dyDescent="0.3">
      <c r="A760" s="45"/>
      <c r="B760" s="45"/>
      <c r="C760" s="52"/>
      <c r="D760" s="45"/>
      <c r="E760" s="45"/>
      <c r="F760" s="45"/>
      <c r="G760" s="52"/>
      <c r="H760" s="52"/>
      <c r="I760" s="45"/>
      <c r="J760" s="45"/>
      <c r="K760" s="45"/>
      <c r="L760" s="45"/>
      <c r="M760" s="45"/>
      <c r="N760" s="45"/>
      <c r="O760" s="45"/>
      <c r="P760" s="45"/>
      <c r="Q760" s="45"/>
      <c r="R760" s="45"/>
      <c r="S760" s="45"/>
      <c r="T760" s="45"/>
      <c r="U760" s="45"/>
      <c r="V760" s="45"/>
      <c r="W760" s="45"/>
      <c r="X760" s="45"/>
      <c r="Y760" s="45"/>
    </row>
    <row r="761" spans="1:25" ht="13.5" customHeight="1" x14ac:dyDescent="0.3">
      <c r="A761" s="45"/>
      <c r="B761" s="45"/>
      <c r="C761" s="52"/>
      <c r="D761" s="45"/>
      <c r="E761" s="45"/>
      <c r="F761" s="45"/>
      <c r="G761" s="52"/>
      <c r="H761" s="52"/>
      <c r="I761" s="45"/>
      <c r="J761" s="45"/>
      <c r="K761" s="45"/>
      <c r="L761" s="45"/>
      <c r="M761" s="45"/>
      <c r="N761" s="45"/>
      <c r="O761" s="45"/>
      <c r="P761" s="45"/>
      <c r="Q761" s="45"/>
      <c r="R761" s="45"/>
      <c r="S761" s="45"/>
      <c r="T761" s="45"/>
      <c r="U761" s="45"/>
      <c r="V761" s="45"/>
      <c r="W761" s="45"/>
      <c r="X761" s="45"/>
      <c r="Y761" s="45"/>
    </row>
    <row r="762" spans="1:25" ht="13.5" customHeight="1" x14ac:dyDescent="0.3">
      <c r="A762" s="45"/>
      <c r="B762" s="45"/>
      <c r="C762" s="52"/>
      <c r="D762" s="45"/>
      <c r="E762" s="45"/>
      <c r="F762" s="45"/>
      <c r="G762" s="52"/>
      <c r="H762" s="52"/>
      <c r="I762" s="45"/>
      <c r="J762" s="45"/>
      <c r="K762" s="45"/>
      <c r="L762" s="45"/>
      <c r="M762" s="45"/>
      <c r="N762" s="45"/>
      <c r="O762" s="45"/>
      <c r="P762" s="45"/>
      <c r="Q762" s="45"/>
      <c r="R762" s="45"/>
      <c r="S762" s="45"/>
      <c r="T762" s="45"/>
      <c r="U762" s="45"/>
      <c r="V762" s="45"/>
      <c r="W762" s="45"/>
      <c r="X762" s="45"/>
      <c r="Y762" s="45"/>
    </row>
    <row r="763" spans="1:25" ht="13.5" customHeight="1" x14ac:dyDescent="0.3">
      <c r="A763" s="45"/>
      <c r="B763" s="45"/>
      <c r="C763" s="52"/>
      <c r="D763" s="45"/>
      <c r="E763" s="45"/>
      <c r="F763" s="45"/>
      <c r="G763" s="52"/>
      <c r="H763" s="52"/>
      <c r="I763" s="45"/>
      <c r="J763" s="45"/>
      <c r="K763" s="45"/>
      <c r="L763" s="45"/>
      <c r="M763" s="45"/>
      <c r="N763" s="45"/>
      <c r="O763" s="45"/>
      <c r="P763" s="45"/>
      <c r="Q763" s="45"/>
      <c r="R763" s="45"/>
      <c r="S763" s="45"/>
      <c r="T763" s="45"/>
      <c r="U763" s="45"/>
      <c r="V763" s="45"/>
      <c r="W763" s="45"/>
      <c r="X763" s="45"/>
      <c r="Y763" s="45"/>
    </row>
    <row r="764" spans="1:25" ht="13.5" customHeight="1" x14ac:dyDescent="0.3">
      <c r="A764" s="45"/>
      <c r="B764" s="45"/>
      <c r="C764" s="52"/>
      <c r="D764" s="45"/>
      <c r="E764" s="45"/>
      <c r="F764" s="45"/>
      <c r="G764" s="52"/>
      <c r="H764" s="52"/>
      <c r="I764" s="45"/>
      <c r="J764" s="45"/>
      <c r="K764" s="45"/>
      <c r="L764" s="45"/>
      <c r="M764" s="45"/>
      <c r="N764" s="45"/>
      <c r="O764" s="45"/>
      <c r="P764" s="45"/>
      <c r="Q764" s="45"/>
      <c r="R764" s="45"/>
      <c r="S764" s="45"/>
      <c r="T764" s="45"/>
      <c r="U764" s="45"/>
      <c r="V764" s="45"/>
      <c r="W764" s="45"/>
      <c r="X764" s="45"/>
      <c r="Y764" s="45"/>
    </row>
    <row r="765" spans="1:25" ht="13.5" customHeight="1" x14ac:dyDescent="0.3">
      <c r="A765" s="45"/>
      <c r="B765" s="45"/>
      <c r="C765" s="52"/>
      <c r="D765" s="45"/>
      <c r="E765" s="45"/>
      <c r="F765" s="45"/>
      <c r="G765" s="52"/>
      <c r="H765" s="52"/>
      <c r="I765" s="45"/>
      <c r="J765" s="45"/>
      <c r="K765" s="45"/>
      <c r="L765" s="45"/>
      <c r="M765" s="45"/>
      <c r="N765" s="45"/>
      <c r="O765" s="45"/>
      <c r="P765" s="45"/>
      <c r="Q765" s="45"/>
      <c r="R765" s="45"/>
      <c r="S765" s="45"/>
      <c r="T765" s="45"/>
      <c r="U765" s="45"/>
      <c r="V765" s="45"/>
      <c r="W765" s="45"/>
      <c r="X765" s="45"/>
      <c r="Y765" s="45"/>
    </row>
    <row r="766" spans="1:25" ht="13.5" customHeight="1" x14ac:dyDescent="0.3">
      <c r="A766" s="45"/>
      <c r="B766" s="45"/>
      <c r="C766" s="52"/>
      <c r="D766" s="45"/>
      <c r="E766" s="45"/>
      <c r="F766" s="45"/>
      <c r="G766" s="52"/>
      <c r="H766" s="52"/>
      <c r="I766" s="45"/>
      <c r="J766" s="45"/>
      <c r="K766" s="45"/>
      <c r="L766" s="45"/>
      <c r="M766" s="45"/>
      <c r="N766" s="45"/>
      <c r="O766" s="45"/>
      <c r="P766" s="45"/>
      <c r="Q766" s="45"/>
      <c r="R766" s="45"/>
      <c r="S766" s="45"/>
      <c r="T766" s="45"/>
      <c r="U766" s="45"/>
      <c r="V766" s="45"/>
      <c r="W766" s="45"/>
      <c r="X766" s="45"/>
      <c r="Y766" s="45"/>
    </row>
    <row r="767" spans="1:25" ht="13.5" customHeight="1" x14ac:dyDescent="0.3">
      <c r="A767" s="45"/>
      <c r="B767" s="45"/>
      <c r="C767" s="52"/>
      <c r="D767" s="45"/>
      <c r="E767" s="45"/>
      <c r="F767" s="45"/>
      <c r="G767" s="52"/>
      <c r="H767" s="52"/>
      <c r="I767" s="45"/>
      <c r="J767" s="45"/>
      <c r="K767" s="45"/>
      <c r="L767" s="45"/>
      <c r="M767" s="45"/>
      <c r="N767" s="45"/>
      <c r="O767" s="45"/>
      <c r="P767" s="45"/>
      <c r="Q767" s="45"/>
      <c r="R767" s="45"/>
      <c r="S767" s="45"/>
      <c r="T767" s="45"/>
      <c r="U767" s="45"/>
      <c r="V767" s="45"/>
      <c r="W767" s="45"/>
      <c r="X767" s="45"/>
      <c r="Y767" s="45"/>
    </row>
    <row r="768" spans="1:25" ht="13.5" customHeight="1" x14ac:dyDescent="0.3">
      <c r="A768" s="45"/>
      <c r="B768" s="45"/>
      <c r="C768" s="52"/>
      <c r="D768" s="45"/>
      <c r="E768" s="45"/>
      <c r="F768" s="45"/>
      <c r="G768" s="52"/>
      <c r="H768" s="52"/>
      <c r="I768" s="45"/>
      <c r="J768" s="45"/>
      <c r="K768" s="45"/>
      <c r="L768" s="45"/>
      <c r="M768" s="45"/>
      <c r="N768" s="45"/>
      <c r="O768" s="45"/>
      <c r="P768" s="45"/>
      <c r="Q768" s="45"/>
      <c r="R768" s="45"/>
      <c r="S768" s="45"/>
      <c r="T768" s="45"/>
      <c r="U768" s="45"/>
      <c r="V768" s="45"/>
      <c r="W768" s="45"/>
      <c r="X768" s="45"/>
      <c r="Y768" s="45"/>
    </row>
    <row r="769" spans="1:25" ht="13.5" customHeight="1" x14ac:dyDescent="0.3">
      <c r="A769" s="45"/>
      <c r="B769" s="45"/>
      <c r="C769" s="52"/>
      <c r="D769" s="45"/>
      <c r="E769" s="45"/>
      <c r="F769" s="45"/>
      <c r="G769" s="52"/>
      <c r="H769" s="52"/>
      <c r="I769" s="45"/>
      <c r="J769" s="45"/>
      <c r="K769" s="45"/>
      <c r="L769" s="45"/>
      <c r="M769" s="45"/>
      <c r="N769" s="45"/>
      <c r="O769" s="45"/>
      <c r="P769" s="45"/>
      <c r="Q769" s="45"/>
      <c r="R769" s="45"/>
      <c r="S769" s="45"/>
      <c r="T769" s="45"/>
      <c r="U769" s="45"/>
      <c r="V769" s="45"/>
      <c r="W769" s="45"/>
      <c r="X769" s="45"/>
      <c r="Y769" s="45"/>
    </row>
    <row r="770" spans="1:25" ht="13.5" customHeight="1" x14ac:dyDescent="0.3">
      <c r="A770" s="45"/>
      <c r="B770" s="45"/>
      <c r="C770" s="52"/>
      <c r="D770" s="45"/>
      <c r="E770" s="45"/>
      <c r="F770" s="45"/>
      <c r="G770" s="52"/>
      <c r="H770" s="52"/>
      <c r="I770" s="45"/>
      <c r="J770" s="45"/>
      <c r="K770" s="45"/>
      <c r="L770" s="45"/>
      <c r="M770" s="45"/>
      <c r="N770" s="45"/>
      <c r="O770" s="45"/>
      <c r="P770" s="45"/>
      <c r="Q770" s="45"/>
      <c r="R770" s="45"/>
      <c r="S770" s="45"/>
      <c r="T770" s="45"/>
      <c r="U770" s="45"/>
      <c r="V770" s="45"/>
      <c r="W770" s="45"/>
      <c r="X770" s="45"/>
      <c r="Y770" s="45"/>
    </row>
    <row r="771" spans="1:25" ht="13.5" customHeight="1" x14ac:dyDescent="0.3">
      <c r="A771" s="45"/>
      <c r="B771" s="45"/>
      <c r="C771" s="52"/>
      <c r="D771" s="45"/>
      <c r="E771" s="45"/>
      <c r="F771" s="45"/>
      <c r="G771" s="52"/>
      <c r="H771" s="52"/>
      <c r="I771" s="45"/>
      <c r="J771" s="45"/>
      <c r="K771" s="45"/>
      <c r="L771" s="45"/>
      <c r="M771" s="45"/>
      <c r="N771" s="45"/>
      <c r="O771" s="45"/>
      <c r="P771" s="45"/>
      <c r="Q771" s="45"/>
      <c r="R771" s="45"/>
      <c r="S771" s="45"/>
      <c r="T771" s="45"/>
      <c r="U771" s="45"/>
      <c r="V771" s="45"/>
      <c r="W771" s="45"/>
      <c r="X771" s="45"/>
      <c r="Y771" s="45"/>
    </row>
    <row r="772" spans="1:25" ht="13.5" customHeight="1" x14ac:dyDescent="0.3">
      <c r="A772" s="45"/>
      <c r="B772" s="45"/>
      <c r="C772" s="52"/>
      <c r="D772" s="45"/>
      <c r="E772" s="45"/>
      <c r="F772" s="45"/>
      <c r="G772" s="52"/>
      <c r="H772" s="52"/>
      <c r="I772" s="45"/>
      <c r="J772" s="45"/>
      <c r="K772" s="45"/>
      <c r="L772" s="45"/>
      <c r="M772" s="45"/>
      <c r="N772" s="45"/>
      <c r="O772" s="45"/>
      <c r="P772" s="45"/>
      <c r="Q772" s="45"/>
      <c r="R772" s="45"/>
      <c r="S772" s="45"/>
      <c r="T772" s="45"/>
      <c r="U772" s="45"/>
      <c r="V772" s="45"/>
      <c r="W772" s="45"/>
      <c r="X772" s="45"/>
      <c r="Y772" s="45"/>
    </row>
    <row r="773" spans="1:25" ht="13.5" customHeight="1" x14ac:dyDescent="0.3">
      <c r="A773" s="45"/>
      <c r="B773" s="45"/>
      <c r="C773" s="52"/>
      <c r="D773" s="45"/>
      <c r="E773" s="45"/>
      <c r="F773" s="45"/>
      <c r="G773" s="52"/>
      <c r="H773" s="52"/>
      <c r="I773" s="45"/>
      <c r="J773" s="45"/>
      <c r="K773" s="45"/>
      <c r="L773" s="45"/>
      <c r="M773" s="45"/>
      <c r="N773" s="45"/>
      <c r="O773" s="45"/>
      <c r="P773" s="45"/>
      <c r="Q773" s="45"/>
      <c r="R773" s="45"/>
      <c r="S773" s="45"/>
      <c r="T773" s="45"/>
      <c r="U773" s="45"/>
      <c r="V773" s="45"/>
      <c r="W773" s="45"/>
      <c r="X773" s="45"/>
      <c r="Y773" s="45"/>
    </row>
    <row r="774" spans="1:25" ht="13.5" customHeight="1" x14ac:dyDescent="0.3">
      <c r="A774" s="45"/>
      <c r="B774" s="45"/>
      <c r="C774" s="52"/>
      <c r="D774" s="45"/>
      <c r="E774" s="45"/>
      <c r="F774" s="45"/>
      <c r="G774" s="52"/>
      <c r="H774" s="52"/>
      <c r="I774" s="45"/>
      <c r="J774" s="45"/>
      <c r="K774" s="45"/>
      <c r="L774" s="45"/>
      <c r="M774" s="45"/>
      <c r="N774" s="45"/>
      <c r="O774" s="45"/>
      <c r="P774" s="45"/>
      <c r="Q774" s="45"/>
      <c r="R774" s="45"/>
      <c r="S774" s="45"/>
      <c r="T774" s="45"/>
      <c r="U774" s="45"/>
      <c r="V774" s="45"/>
      <c r="W774" s="45"/>
      <c r="X774" s="45"/>
      <c r="Y774" s="45"/>
    </row>
    <row r="775" spans="1:25" ht="13.5" customHeight="1" x14ac:dyDescent="0.3">
      <c r="A775" s="45"/>
      <c r="B775" s="45"/>
      <c r="C775" s="52"/>
      <c r="D775" s="45"/>
      <c r="E775" s="45"/>
      <c r="F775" s="45"/>
      <c r="G775" s="52"/>
      <c r="H775" s="52"/>
      <c r="I775" s="45"/>
      <c r="J775" s="45"/>
      <c r="K775" s="45"/>
      <c r="L775" s="45"/>
      <c r="M775" s="45"/>
      <c r="N775" s="45"/>
      <c r="O775" s="45"/>
      <c r="P775" s="45"/>
      <c r="Q775" s="45"/>
      <c r="R775" s="45"/>
      <c r="S775" s="45"/>
      <c r="T775" s="45"/>
      <c r="U775" s="45"/>
      <c r="V775" s="45"/>
      <c r="W775" s="45"/>
      <c r="X775" s="45"/>
      <c r="Y775" s="45"/>
    </row>
    <row r="776" spans="1:25" ht="13.5" customHeight="1" x14ac:dyDescent="0.3">
      <c r="A776" s="45"/>
      <c r="B776" s="45"/>
      <c r="C776" s="52"/>
      <c r="D776" s="45"/>
      <c r="E776" s="45"/>
      <c r="F776" s="45"/>
      <c r="G776" s="52"/>
      <c r="H776" s="52"/>
      <c r="I776" s="45"/>
      <c r="J776" s="45"/>
      <c r="K776" s="45"/>
      <c r="L776" s="45"/>
      <c r="M776" s="45"/>
      <c r="N776" s="45"/>
      <c r="O776" s="45"/>
      <c r="P776" s="45"/>
      <c r="Q776" s="45"/>
      <c r="R776" s="45"/>
      <c r="S776" s="45"/>
      <c r="T776" s="45"/>
      <c r="U776" s="45"/>
      <c r="V776" s="45"/>
      <c r="W776" s="45"/>
      <c r="X776" s="45"/>
      <c r="Y776" s="45"/>
    </row>
    <row r="777" spans="1:25" ht="13.5" customHeight="1" x14ac:dyDescent="0.3">
      <c r="A777" s="45"/>
      <c r="B777" s="45"/>
      <c r="C777" s="52"/>
      <c r="D777" s="45"/>
      <c r="E777" s="45"/>
      <c r="F777" s="45"/>
      <c r="G777" s="52"/>
      <c r="H777" s="52"/>
      <c r="I777" s="45"/>
      <c r="J777" s="45"/>
      <c r="K777" s="45"/>
      <c r="L777" s="45"/>
      <c r="M777" s="45"/>
      <c r="N777" s="45"/>
      <c r="O777" s="45"/>
      <c r="P777" s="45"/>
      <c r="Q777" s="45"/>
      <c r="R777" s="45"/>
      <c r="S777" s="45"/>
      <c r="T777" s="45"/>
      <c r="U777" s="45"/>
      <c r="V777" s="45"/>
      <c r="W777" s="45"/>
      <c r="X777" s="45"/>
      <c r="Y777" s="45"/>
    </row>
    <row r="778" spans="1:25" ht="13.5" customHeight="1" x14ac:dyDescent="0.3">
      <c r="A778" s="45"/>
      <c r="B778" s="45"/>
      <c r="C778" s="52"/>
      <c r="D778" s="45"/>
      <c r="E778" s="45"/>
      <c r="F778" s="45"/>
      <c r="G778" s="52"/>
      <c r="H778" s="52"/>
      <c r="I778" s="45"/>
      <c r="J778" s="45"/>
      <c r="K778" s="45"/>
      <c r="L778" s="45"/>
      <c r="M778" s="45"/>
      <c r="N778" s="45"/>
      <c r="O778" s="45"/>
      <c r="P778" s="45"/>
      <c r="Q778" s="45"/>
      <c r="R778" s="45"/>
      <c r="S778" s="45"/>
      <c r="T778" s="45"/>
      <c r="U778" s="45"/>
      <c r="V778" s="45"/>
      <c r="W778" s="45"/>
      <c r="X778" s="45"/>
      <c r="Y778" s="45"/>
    </row>
    <row r="779" spans="1:25" ht="13.5" customHeight="1" x14ac:dyDescent="0.3">
      <c r="A779" s="45"/>
      <c r="B779" s="45"/>
      <c r="C779" s="52"/>
      <c r="D779" s="45"/>
      <c r="E779" s="45"/>
      <c r="F779" s="45"/>
      <c r="G779" s="52"/>
      <c r="H779" s="52"/>
      <c r="I779" s="45"/>
      <c r="J779" s="45"/>
      <c r="K779" s="45"/>
      <c r="L779" s="45"/>
      <c r="M779" s="45"/>
      <c r="N779" s="45"/>
      <c r="O779" s="45"/>
      <c r="P779" s="45"/>
      <c r="Q779" s="45"/>
      <c r="R779" s="45"/>
      <c r="S779" s="45"/>
      <c r="T779" s="45"/>
      <c r="U779" s="45"/>
      <c r="V779" s="45"/>
      <c r="W779" s="45"/>
      <c r="X779" s="45"/>
      <c r="Y779" s="45"/>
    </row>
    <row r="780" spans="1:25" ht="13.5" customHeight="1" x14ac:dyDescent="0.3">
      <c r="A780" s="45"/>
      <c r="B780" s="45"/>
      <c r="C780" s="52"/>
      <c r="D780" s="45"/>
      <c r="E780" s="45"/>
      <c r="F780" s="45"/>
      <c r="G780" s="52"/>
      <c r="H780" s="52"/>
      <c r="I780" s="45"/>
      <c r="J780" s="45"/>
      <c r="K780" s="45"/>
      <c r="L780" s="45"/>
      <c r="M780" s="45"/>
      <c r="N780" s="45"/>
      <c r="O780" s="45"/>
      <c r="P780" s="45"/>
      <c r="Q780" s="45"/>
      <c r="R780" s="45"/>
      <c r="S780" s="45"/>
      <c r="T780" s="45"/>
      <c r="U780" s="45"/>
      <c r="V780" s="45"/>
      <c r="W780" s="45"/>
      <c r="X780" s="45"/>
      <c r="Y780" s="45"/>
    </row>
    <row r="781" spans="1:25" ht="13.5" customHeight="1" x14ac:dyDescent="0.3">
      <c r="A781" s="45"/>
      <c r="B781" s="45"/>
      <c r="C781" s="52"/>
      <c r="D781" s="45"/>
      <c r="E781" s="45"/>
      <c r="F781" s="45"/>
      <c r="G781" s="52"/>
      <c r="H781" s="52"/>
      <c r="I781" s="45"/>
      <c r="J781" s="45"/>
      <c r="K781" s="45"/>
      <c r="L781" s="45"/>
      <c r="M781" s="45"/>
      <c r="N781" s="45"/>
      <c r="O781" s="45"/>
      <c r="P781" s="45"/>
      <c r="Q781" s="45"/>
      <c r="R781" s="45"/>
      <c r="S781" s="45"/>
      <c r="T781" s="45"/>
      <c r="U781" s="45"/>
      <c r="V781" s="45"/>
      <c r="W781" s="45"/>
      <c r="X781" s="45"/>
      <c r="Y781" s="45"/>
    </row>
    <row r="782" spans="1:25" ht="13.5" customHeight="1" x14ac:dyDescent="0.3">
      <c r="A782" s="45"/>
      <c r="B782" s="45"/>
      <c r="C782" s="52"/>
      <c r="D782" s="45"/>
      <c r="E782" s="45"/>
      <c r="F782" s="45"/>
      <c r="G782" s="52"/>
      <c r="H782" s="52"/>
      <c r="I782" s="45"/>
      <c r="J782" s="45"/>
      <c r="K782" s="45"/>
      <c r="L782" s="45"/>
      <c r="M782" s="45"/>
      <c r="N782" s="45"/>
      <c r="O782" s="45"/>
      <c r="P782" s="45"/>
      <c r="Q782" s="45"/>
      <c r="R782" s="45"/>
      <c r="S782" s="45"/>
      <c r="T782" s="45"/>
      <c r="U782" s="45"/>
      <c r="V782" s="45"/>
      <c r="W782" s="45"/>
      <c r="X782" s="45"/>
      <c r="Y782" s="45"/>
    </row>
    <row r="783" spans="1:25" ht="13.5" customHeight="1" x14ac:dyDescent="0.3">
      <c r="A783" s="45"/>
      <c r="B783" s="45"/>
      <c r="C783" s="52"/>
      <c r="D783" s="45"/>
      <c r="E783" s="45"/>
      <c r="F783" s="45"/>
      <c r="G783" s="52"/>
      <c r="H783" s="52"/>
      <c r="I783" s="45"/>
      <c r="J783" s="45"/>
      <c r="K783" s="45"/>
      <c r="L783" s="45"/>
      <c r="M783" s="45"/>
      <c r="N783" s="45"/>
      <c r="O783" s="45"/>
      <c r="P783" s="45"/>
      <c r="Q783" s="45"/>
      <c r="R783" s="45"/>
      <c r="S783" s="45"/>
      <c r="T783" s="45"/>
      <c r="U783" s="45"/>
      <c r="V783" s="45"/>
      <c r="W783" s="45"/>
      <c r="X783" s="45"/>
      <c r="Y783" s="45"/>
    </row>
    <row r="784" spans="1:25" ht="13.5" customHeight="1" x14ac:dyDescent="0.3">
      <c r="A784" s="45"/>
      <c r="B784" s="45"/>
      <c r="C784" s="52"/>
      <c r="D784" s="45"/>
      <c r="E784" s="45"/>
      <c r="F784" s="45"/>
      <c r="G784" s="52"/>
      <c r="H784" s="52"/>
      <c r="I784" s="45"/>
      <c r="J784" s="45"/>
      <c r="K784" s="45"/>
      <c r="L784" s="45"/>
      <c r="M784" s="45"/>
      <c r="N784" s="45"/>
      <c r="O784" s="45"/>
      <c r="P784" s="45"/>
      <c r="Q784" s="45"/>
      <c r="R784" s="45"/>
      <c r="S784" s="45"/>
      <c r="T784" s="45"/>
      <c r="U784" s="45"/>
      <c r="V784" s="45"/>
      <c r="W784" s="45"/>
      <c r="X784" s="45"/>
      <c r="Y784" s="45"/>
    </row>
    <row r="785" spans="1:25" ht="13.5" customHeight="1" x14ac:dyDescent="0.3">
      <c r="A785" s="45"/>
      <c r="B785" s="45"/>
      <c r="C785" s="52"/>
      <c r="D785" s="45"/>
      <c r="E785" s="45"/>
      <c r="F785" s="45"/>
      <c r="G785" s="52"/>
      <c r="H785" s="52"/>
      <c r="I785" s="45"/>
      <c r="J785" s="45"/>
      <c r="K785" s="45"/>
      <c r="L785" s="45"/>
      <c r="M785" s="45"/>
      <c r="N785" s="45"/>
      <c r="O785" s="45"/>
      <c r="P785" s="45"/>
      <c r="Q785" s="45"/>
      <c r="R785" s="45"/>
      <c r="S785" s="45"/>
      <c r="T785" s="45"/>
      <c r="U785" s="45"/>
      <c r="V785" s="45"/>
      <c r="W785" s="45"/>
      <c r="X785" s="45"/>
      <c r="Y785" s="45"/>
    </row>
    <row r="786" spans="1:25" ht="13.5" customHeight="1" x14ac:dyDescent="0.3">
      <c r="A786" s="45"/>
      <c r="B786" s="45"/>
      <c r="C786" s="52"/>
      <c r="D786" s="45"/>
      <c r="E786" s="45"/>
      <c r="F786" s="45"/>
      <c r="G786" s="52"/>
      <c r="H786" s="52"/>
      <c r="I786" s="45"/>
      <c r="J786" s="45"/>
      <c r="K786" s="45"/>
      <c r="L786" s="45"/>
      <c r="M786" s="45"/>
      <c r="N786" s="45"/>
      <c r="O786" s="45"/>
      <c r="P786" s="45"/>
      <c r="Q786" s="45"/>
      <c r="R786" s="45"/>
      <c r="S786" s="45"/>
      <c r="T786" s="45"/>
      <c r="U786" s="45"/>
      <c r="V786" s="45"/>
      <c r="W786" s="45"/>
      <c r="X786" s="45"/>
      <c r="Y786" s="45"/>
    </row>
    <row r="787" spans="1:25" ht="13.5" customHeight="1" x14ac:dyDescent="0.3">
      <c r="A787" s="45"/>
      <c r="B787" s="45"/>
      <c r="C787" s="52"/>
      <c r="D787" s="45"/>
      <c r="E787" s="45"/>
      <c r="F787" s="45"/>
      <c r="G787" s="52"/>
      <c r="H787" s="52"/>
      <c r="I787" s="45"/>
      <c r="J787" s="45"/>
      <c r="K787" s="45"/>
      <c r="L787" s="45"/>
      <c r="M787" s="45"/>
      <c r="N787" s="45"/>
      <c r="O787" s="45"/>
      <c r="P787" s="45"/>
      <c r="Q787" s="45"/>
      <c r="R787" s="45"/>
      <c r="S787" s="45"/>
      <c r="T787" s="45"/>
      <c r="U787" s="45"/>
      <c r="V787" s="45"/>
      <c r="W787" s="45"/>
      <c r="X787" s="45"/>
      <c r="Y787" s="45"/>
    </row>
    <row r="788" spans="1:25" ht="13.5" customHeight="1" x14ac:dyDescent="0.3">
      <c r="A788" s="45"/>
      <c r="B788" s="45"/>
      <c r="C788" s="52"/>
      <c r="D788" s="45"/>
      <c r="E788" s="45"/>
      <c r="F788" s="45"/>
      <c r="G788" s="52"/>
      <c r="H788" s="52"/>
      <c r="I788" s="45"/>
      <c r="J788" s="45"/>
      <c r="K788" s="45"/>
      <c r="L788" s="45"/>
      <c r="M788" s="45"/>
      <c r="N788" s="45"/>
      <c r="O788" s="45"/>
      <c r="P788" s="45"/>
      <c r="Q788" s="45"/>
      <c r="R788" s="45"/>
      <c r="S788" s="45"/>
      <c r="T788" s="45"/>
      <c r="U788" s="45"/>
      <c r="V788" s="45"/>
      <c r="W788" s="45"/>
      <c r="X788" s="45"/>
      <c r="Y788" s="45"/>
    </row>
    <row r="789" spans="1:25" ht="13.5" customHeight="1" x14ac:dyDescent="0.3">
      <c r="A789" s="45"/>
      <c r="B789" s="45"/>
      <c r="C789" s="52"/>
      <c r="D789" s="45"/>
      <c r="E789" s="45"/>
      <c r="F789" s="45"/>
      <c r="G789" s="52"/>
      <c r="H789" s="52"/>
      <c r="I789" s="45"/>
      <c r="J789" s="45"/>
      <c r="K789" s="45"/>
      <c r="L789" s="45"/>
      <c r="M789" s="45"/>
      <c r="N789" s="45"/>
      <c r="O789" s="45"/>
      <c r="P789" s="45"/>
      <c r="Q789" s="45"/>
      <c r="R789" s="45"/>
      <c r="S789" s="45"/>
      <c r="T789" s="45"/>
      <c r="U789" s="45"/>
      <c r="V789" s="45"/>
      <c r="W789" s="45"/>
      <c r="X789" s="45"/>
      <c r="Y789" s="45"/>
    </row>
    <row r="790" spans="1:25" ht="13.5" customHeight="1" x14ac:dyDescent="0.3">
      <c r="A790" s="45"/>
      <c r="B790" s="45"/>
      <c r="C790" s="52"/>
      <c r="D790" s="45"/>
      <c r="E790" s="45"/>
      <c r="F790" s="45"/>
      <c r="G790" s="52"/>
      <c r="H790" s="52"/>
      <c r="I790" s="45"/>
      <c r="J790" s="45"/>
      <c r="K790" s="45"/>
      <c r="L790" s="45"/>
      <c r="M790" s="45"/>
      <c r="N790" s="45"/>
      <c r="O790" s="45"/>
      <c r="P790" s="45"/>
      <c r="Q790" s="45"/>
      <c r="R790" s="45"/>
      <c r="S790" s="45"/>
      <c r="T790" s="45"/>
      <c r="U790" s="45"/>
      <c r="V790" s="45"/>
      <c r="W790" s="45"/>
      <c r="X790" s="45"/>
      <c r="Y790" s="45"/>
    </row>
    <row r="791" spans="1:25" ht="13.5" customHeight="1" x14ac:dyDescent="0.3">
      <c r="A791" s="45"/>
      <c r="B791" s="45"/>
      <c r="C791" s="52"/>
      <c r="D791" s="45"/>
      <c r="E791" s="45"/>
      <c r="F791" s="45"/>
      <c r="G791" s="52"/>
      <c r="H791" s="52"/>
      <c r="I791" s="45"/>
      <c r="J791" s="45"/>
      <c r="K791" s="45"/>
      <c r="L791" s="45"/>
      <c r="M791" s="45"/>
      <c r="N791" s="45"/>
      <c r="O791" s="45"/>
      <c r="P791" s="45"/>
      <c r="Q791" s="45"/>
      <c r="R791" s="45"/>
      <c r="S791" s="45"/>
      <c r="T791" s="45"/>
      <c r="U791" s="45"/>
      <c r="V791" s="45"/>
      <c r="W791" s="45"/>
      <c r="X791" s="45"/>
      <c r="Y791" s="45"/>
    </row>
    <row r="792" spans="1:25" ht="13.5" customHeight="1" x14ac:dyDescent="0.3">
      <c r="A792" s="45"/>
      <c r="B792" s="45"/>
      <c r="C792" s="52"/>
      <c r="D792" s="45"/>
      <c r="E792" s="45"/>
      <c r="F792" s="45"/>
      <c r="G792" s="52"/>
      <c r="H792" s="52"/>
      <c r="I792" s="45"/>
      <c r="J792" s="45"/>
      <c r="K792" s="45"/>
      <c r="L792" s="45"/>
      <c r="M792" s="45"/>
      <c r="N792" s="45"/>
      <c r="O792" s="45"/>
      <c r="P792" s="45"/>
      <c r="Q792" s="45"/>
      <c r="R792" s="45"/>
      <c r="S792" s="45"/>
      <c r="T792" s="45"/>
      <c r="U792" s="45"/>
      <c r="V792" s="45"/>
      <c r="W792" s="45"/>
      <c r="X792" s="45"/>
      <c r="Y792" s="45"/>
    </row>
    <row r="793" spans="1:25" ht="13.5" customHeight="1" x14ac:dyDescent="0.3">
      <c r="A793" s="45"/>
      <c r="B793" s="45"/>
      <c r="C793" s="52"/>
      <c r="D793" s="45"/>
      <c r="E793" s="45"/>
      <c r="F793" s="45"/>
      <c r="G793" s="52"/>
      <c r="H793" s="52"/>
      <c r="I793" s="45"/>
      <c r="J793" s="45"/>
      <c r="K793" s="45"/>
      <c r="L793" s="45"/>
      <c r="M793" s="45"/>
      <c r="N793" s="45"/>
      <c r="O793" s="45"/>
      <c r="P793" s="45"/>
      <c r="Q793" s="45"/>
      <c r="R793" s="45"/>
      <c r="S793" s="45"/>
      <c r="T793" s="45"/>
      <c r="U793" s="45"/>
      <c r="V793" s="45"/>
      <c r="W793" s="45"/>
      <c r="X793" s="45"/>
      <c r="Y793" s="45"/>
    </row>
    <row r="794" spans="1:25" ht="13.5" customHeight="1" x14ac:dyDescent="0.3">
      <c r="A794" s="45"/>
      <c r="B794" s="45"/>
      <c r="C794" s="52"/>
      <c r="D794" s="45"/>
      <c r="E794" s="45"/>
      <c r="F794" s="45"/>
      <c r="G794" s="52"/>
      <c r="H794" s="52"/>
      <c r="I794" s="45"/>
      <c r="J794" s="45"/>
      <c r="K794" s="45"/>
      <c r="L794" s="45"/>
      <c r="M794" s="45"/>
      <c r="N794" s="45"/>
      <c r="O794" s="45"/>
      <c r="P794" s="45"/>
      <c r="Q794" s="45"/>
      <c r="R794" s="45"/>
      <c r="S794" s="45"/>
      <c r="T794" s="45"/>
      <c r="U794" s="45"/>
      <c r="V794" s="45"/>
      <c r="W794" s="45"/>
      <c r="X794" s="45"/>
      <c r="Y794" s="45"/>
    </row>
    <row r="795" spans="1:25" ht="13.5" customHeight="1" x14ac:dyDescent="0.3">
      <c r="A795" s="45"/>
      <c r="B795" s="45"/>
      <c r="C795" s="52"/>
      <c r="D795" s="45"/>
      <c r="E795" s="45"/>
      <c r="F795" s="45"/>
      <c r="G795" s="52"/>
      <c r="H795" s="52"/>
      <c r="I795" s="45"/>
      <c r="J795" s="45"/>
      <c r="K795" s="45"/>
      <c r="L795" s="45"/>
      <c r="M795" s="45"/>
      <c r="N795" s="45"/>
      <c r="O795" s="45"/>
      <c r="P795" s="45"/>
      <c r="Q795" s="45"/>
      <c r="R795" s="45"/>
      <c r="S795" s="45"/>
      <c r="T795" s="45"/>
      <c r="U795" s="45"/>
      <c r="V795" s="45"/>
      <c r="W795" s="45"/>
      <c r="X795" s="45"/>
      <c r="Y795" s="45"/>
    </row>
    <row r="796" spans="1:25" ht="13.5" customHeight="1" x14ac:dyDescent="0.3">
      <c r="A796" s="45"/>
      <c r="B796" s="45"/>
      <c r="C796" s="52"/>
      <c r="D796" s="45"/>
      <c r="E796" s="45"/>
      <c r="F796" s="45"/>
      <c r="G796" s="52"/>
      <c r="H796" s="52"/>
      <c r="I796" s="45"/>
      <c r="J796" s="45"/>
      <c r="K796" s="45"/>
      <c r="L796" s="45"/>
      <c r="M796" s="45"/>
      <c r="N796" s="45"/>
      <c r="O796" s="45"/>
      <c r="P796" s="45"/>
      <c r="Q796" s="45"/>
      <c r="R796" s="45"/>
      <c r="S796" s="45"/>
      <c r="T796" s="45"/>
      <c r="U796" s="45"/>
      <c r="V796" s="45"/>
      <c r="W796" s="45"/>
      <c r="X796" s="45"/>
      <c r="Y796" s="45"/>
    </row>
    <row r="797" spans="1:25" ht="13.5" customHeight="1" x14ac:dyDescent="0.3">
      <c r="A797" s="45"/>
      <c r="B797" s="45"/>
      <c r="C797" s="52"/>
      <c r="D797" s="45"/>
      <c r="E797" s="45"/>
      <c r="F797" s="45"/>
      <c r="G797" s="52"/>
      <c r="H797" s="52"/>
      <c r="I797" s="45"/>
      <c r="J797" s="45"/>
      <c r="K797" s="45"/>
      <c r="L797" s="45"/>
      <c r="M797" s="45"/>
      <c r="N797" s="45"/>
      <c r="O797" s="45"/>
      <c r="P797" s="45"/>
      <c r="Q797" s="45"/>
      <c r="R797" s="45"/>
      <c r="S797" s="45"/>
      <c r="T797" s="45"/>
      <c r="U797" s="45"/>
      <c r="V797" s="45"/>
      <c r="W797" s="45"/>
      <c r="X797" s="45"/>
      <c r="Y797" s="45"/>
    </row>
    <row r="798" spans="1:25" ht="13.5" customHeight="1" x14ac:dyDescent="0.3">
      <c r="A798" s="45"/>
      <c r="B798" s="45"/>
      <c r="C798" s="52"/>
      <c r="D798" s="45"/>
      <c r="E798" s="45"/>
      <c r="F798" s="45"/>
      <c r="G798" s="52"/>
      <c r="H798" s="52"/>
      <c r="I798" s="45"/>
      <c r="J798" s="45"/>
      <c r="K798" s="45"/>
      <c r="L798" s="45"/>
      <c r="M798" s="45"/>
      <c r="N798" s="45"/>
      <c r="O798" s="45"/>
      <c r="P798" s="45"/>
      <c r="Q798" s="45"/>
      <c r="R798" s="45"/>
      <c r="S798" s="45"/>
      <c r="T798" s="45"/>
      <c r="U798" s="45"/>
      <c r="V798" s="45"/>
      <c r="W798" s="45"/>
      <c r="X798" s="45"/>
      <c r="Y798" s="45"/>
    </row>
    <row r="799" spans="1:25" ht="13.5" customHeight="1" x14ac:dyDescent="0.3">
      <c r="A799" s="45"/>
      <c r="B799" s="45"/>
      <c r="C799" s="52"/>
      <c r="D799" s="45"/>
      <c r="E799" s="45"/>
      <c r="F799" s="45"/>
      <c r="G799" s="52"/>
      <c r="H799" s="52"/>
      <c r="I799" s="45"/>
      <c r="J799" s="45"/>
      <c r="K799" s="45"/>
      <c r="L799" s="45"/>
      <c r="M799" s="45"/>
      <c r="N799" s="45"/>
      <c r="O799" s="45"/>
      <c r="P799" s="45"/>
      <c r="Q799" s="45"/>
      <c r="R799" s="45"/>
      <c r="S799" s="45"/>
      <c r="T799" s="45"/>
      <c r="U799" s="45"/>
      <c r="V799" s="45"/>
      <c r="W799" s="45"/>
      <c r="X799" s="45"/>
      <c r="Y799" s="45"/>
    </row>
    <row r="800" spans="1:25" ht="13.5" customHeight="1" x14ac:dyDescent="0.3">
      <c r="A800" s="45"/>
      <c r="B800" s="45"/>
      <c r="C800" s="52"/>
      <c r="D800" s="45"/>
      <c r="E800" s="45"/>
      <c r="F800" s="45"/>
      <c r="G800" s="52"/>
      <c r="H800" s="52"/>
      <c r="I800" s="45"/>
      <c r="J800" s="45"/>
      <c r="K800" s="45"/>
      <c r="L800" s="45"/>
      <c r="M800" s="45"/>
      <c r="N800" s="45"/>
      <c r="O800" s="45"/>
      <c r="P800" s="45"/>
      <c r="Q800" s="45"/>
      <c r="R800" s="45"/>
      <c r="S800" s="45"/>
      <c r="T800" s="45"/>
      <c r="U800" s="45"/>
      <c r="V800" s="45"/>
      <c r="W800" s="45"/>
      <c r="X800" s="45"/>
      <c r="Y800" s="45"/>
    </row>
    <row r="801" spans="1:25" ht="13.5" customHeight="1" x14ac:dyDescent="0.3">
      <c r="A801" s="45"/>
      <c r="B801" s="45"/>
      <c r="C801" s="52"/>
      <c r="D801" s="45"/>
      <c r="E801" s="45"/>
      <c r="F801" s="45"/>
      <c r="G801" s="52"/>
      <c r="H801" s="52"/>
      <c r="I801" s="45"/>
      <c r="J801" s="45"/>
      <c r="K801" s="45"/>
      <c r="L801" s="45"/>
      <c r="M801" s="45"/>
      <c r="N801" s="45"/>
      <c r="O801" s="45"/>
      <c r="P801" s="45"/>
      <c r="Q801" s="45"/>
      <c r="R801" s="45"/>
      <c r="S801" s="45"/>
      <c r="T801" s="45"/>
      <c r="U801" s="45"/>
      <c r="V801" s="45"/>
      <c r="W801" s="45"/>
      <c r="X801" s="45"/>
      <c r="Y801" s="45"/>
    </row>
    <row r="802" spans="1:25" ht="13.5" customHeight="1" x14ac:dyDescent="0.3">
      <c r="A802" s="45"/>
      <c r="B802" s="45"/>
      <c r="C802" s="52"/>
      <c r="D802" s="45"/>
      <c r="E802" s="45"/>
      <c r="F802" s="45"/>
      <c r="G802" s="52"/>
      <c r="H802" s="52"/>
      <c r="I802" s="45"/>
      <c r="J802" s="45"/>
      <c r="K802" s="45"/>
      <c r="L802" s="45"/>
      <c r="M802" s="45"/>
      <c r="N802" s="45"/>
      <c r="O802" s="45"/>
      <c r="P802" s="45"/>
      <c r="Q802" s="45"/>
      <c r="R802" s="45"/>
      <c r="S802" s="45"/>
      <c r="T802" s="45"/>
      <c r="U802" s="45"/>
      <c r="V802" s="45"/>
      <c r="W802" s="45"/>
      <c r="X802" s="45"/>
      <c r="Y802" s="45"/>
    </row>
    <row r="803" spans="1:25" ht="13.5" customHeight="1" x14ac:dyDescent="0.3">
      <c r="A803" s="45"/>
      <c r="B803" s="45"/>
      <c r="C803" s="52"/>
      <c r="D803" s="45"/>
      <c r="E803" s="45"/>
      <c r="F803" s="45"/>
      <c r="G803" s="52"/>
      <c r="H803" s="52"/>
      <c r="I803" s="45"/>
      <c r="J803" s="45"/>
      <c r="K803" s="45"/>
      <c r="L803" s="45"/>
      <c r="M803" s="45"/>
      <c r="N803" s="45"/>
      <c r="O803" s="45"/>
      <c r="P803" s="45"/>
      <c r="Q803" s="45"/>
      <c r="R803" s="45"/>
      <c r="S803" s="45"/>
      <c r="T803" s="45"/>
      <c r="U803" s="45"/>
      <c r="V803" s="45"/>
      <c r="W803" s="45"/>
      <c r="X803" s="45"/>
      <c r="Y803" s="45"/>
    </row>
    <row r="804" spans="1:25" ht="13.5" customHeight="1" x14ac:dyDescent="0.3">
      <c r="A804" s="45"/>
      <c r="B804" s="45"/>
      <c r="C804" s="52"/>
      <c r="D804" s="45"/>
      <c r="E804" s="45"/>
      <c r="F804" s="45"/>
      <c r="G804" s="52"/>
      <c r="H804" s="52"/>
      <c r="I804" s="45"/>
      <c r="J804" s="45"/>
      <c r="K804" s="45"/>
      <c r="L804" s="45"/>
      <c r="M804" s="45"/>
      <c r="N804" s="45"/>
      <c r="O804" s="45"/>
      <c r="P804" s="45"/>
      <c r="Q804" s="45"/>
      <c r="R804" s="45"/>
      <c r="S804" s="45"/>
      <c r="T804" s="45"/>
      <c r="U804" s="45"/>
      <c r="V804" s="45"/>
      <c r="W804" s="45"/>
      <c r="X804" s="45"/>
      <c r="Y804" s="45"/>
    </row>
    <row r="805" spans="1:25" ht="13.5" customHeight="1" x14ac:dyDescent="0.3">
      <c r="A805" s="45"/>
      <c r="B805" s="45"/>
      <c r="C805" s="52"/>
      <c r="D805" s="45"/>
      <c r="E805" s="45"/>
      <c r="F805" s="45"/>
      <c r="G805" s="52"/>
      <c r="H805" s="52"/>
      <c r="I805" s="45"/>
      <c r="J805" s="45"/>
      <c r="K805" s="45"/>
      <c r="L805" s="45"/>
      <c r="M805" s="45"/>
      <c r="N805" s="45"/>
      <c r="O805" s="45"/>
      <c r="P805" s="45"/>
      <c r="Q805" s="45"/>
      <c r="R805" s="45"/>
      <c r="S805" s="45"/>
      <c r="T805" s="45"/>
      <c r="U805" s="45"/>
      <c r="V805" s="45"/>
      <c r="W805" s="45"/>
      <c r="X805" s="45"/>
      <c r="Y805" s="45"/>
    </row>
    <row r="806" spans="1:25" ht="13.5" customHeight="1" x14ac:dyDescent="0.3">
      <c r="A806" s="45"/>
      <c r="B806" s="45"/>
      <c r="C806" s="52"/>
      <c r="D806" s="45"/>
      <c r="E806" s="45"/>
      <c r="F806" s="45"/>
      <c r="G806" s="52"/>
      <c r="H806" s="52"/>
      <c r="I806" s="45"/>
      <c r="J806" s="45"/>
      <c r="K806" s="45"/>
      <c r="L806" s="45"/>
      <c r="M806" s="45"/>
      <c r="N806" s="45"/>
      <c r="O806" s="45"/>
      <c r="P806" s="45"/>
      <c r="Q806" s="45"/>
      <c r="R806" s="45"/>
      <c r="S806" s="45"/>
      <c r="T806" s="45"/>
      <c r="U806" s="45"/>
      <c r="V806" s="45"/>
      <c r="W806" s="45"/>
      <c r="X806" s="45"/>
      <c r="Y806" s="45"/>
    </row>
    <row r="807" spans="1:25" ht="13.5" customHeight="1" x14ac:dyDescent="0.3">
      <c r="A807" s="45"/>
      <c r="B807" s="45"/>
      <c r="C807" s="52"/>
      <c r="D807" s="45"/>
      <c r="E807" s="45"/>
      <c r="F807" s="45"/>
      <c r="G807" s="52"/>
      <c r="H807" s="52"/>
      <c r="I807" s="45"/>
      <c r="J807" s="45"/>
      <c r="K807" s="45"/>
      <c r="L807" s="45"/>
      <c r="M807" s="45"/>
      <c r="N807" s="45"/>
      <c r="O807" s="45"/>
      <c r="P807" s="45"/>
      <c r="Q807" s="45"/>
      <c r="R807" s="45"/>
      <c r="S807" s="45"/>
      <c r="T807" s="45"/>
      <c r="U807" s="45"/>
      <c r="V807" s="45"/>
      <c r="W807" s="45"/>
      <c r="X807" s="45"/>
      <c r="Y807" s="45"/>
    </row>
    <row r="808" spans="1:25" ht="13.5" customHeight="1" x14ac:dyDescent="0.3">
      <c r="A808" s="45"/>
      <c r="B808" s="45"/>
      <c r="C808" s="52"/>
      <c r="D808" s="45"/>
      <c r="E808" s="45"/>
      <c r="F808" s="45"/>
      <c r="G808" s="52"/>
      <c r="H808" s="52"/>
      <c r="I808" s="45"/>
      <c r="J808" s="45"/>
      <c r="K808" s="45"/>
      <c r="L808" s="45"/>
      <c r="M808" s="45"/>
      <c r="N808" s="45"/>
      <c r="O808" s="45"/>
      <c r="P808" s="45"/>
      <c r="Q808" s="45"/>
      <c r="R808" s="45"/>
      <c r="S808" s="45"/>
      <c r="T808" s="45"/>
      <c r="U808" s="45"/>
      <c r="V808" s="45"/>
      <c r="W808" s="45"/>
      <c r="X808" s="45"/>
      <c r="Y808" s="45"/>
    </row>
    <row r="809" spans="1:25" ht="13.5" customHeight="1" x14ac:dyDescent="0.3">
      <c r="A809" s="45"/>
      <c r="B809" s="45"/>
      <c r="C809" s="52"/>
      <c r="D809" s="45"/>
      <c r="E809" s="45"/>
      <c r="F809" s="45"/>
      <c r="G809" s="52"/>
      <c r="H809" s="52"/>
      <c r="I809" s="45"/>
      <c r="J809" s="45"/>
      <c r="K809" s="45"/>
      <c r="L809" s="45"/>
      <c r="M809" s="45"/>
      <c r="N809" s="45"/>
      <c r="O809" s="45"/>
      <c r="P809" s="45"/>
      <c r="Q809" s="45"/>
      <c r="R809" s="45"/>
      <c r="S809" s="45"/>
      <c r="T809" s="45"/>
      <c r="U809" s="45"/>
      <c r="V809" s="45"/>
      <c r="W809" s="45"/>
      <c r="X809" s="45"/>
      <c r="Y809" s="45"/>
    </row>
    <row r="810" spans="1:25" ht="13.5" customHeight="1" x14ac:dyDescent="0.3">
      <c r="A810" s="45"/>
      <c r="B810" s="45"/>
      <c r="C810" s="52"/>
      <c r="D810" s="45"/>
      <c r="E810" s="45"/>
      <c r="F810" s="45"/>
      <c r="G810" s="52"/>
      <c r="H810" s="52"/>
      <c r="I810" s="45"/>
      <c r="J810" s="45"/>
      <c r="K810" s="45"/>
      <c r="L810" s="45"/>
      <c r="M810" s="45"/>
      <c r="N810" s="45"/>
      <c r="O810" s="45"/>
      <c r="P810" s="45"/>
      <c r="Q810" s="45"/>
      <c r="R810" s="45"/>
      <c r="S810" s="45"/>
      <c r="T810" s="45"/>
      <c r="U810" s="45"/>
      <c r="V810" s="45"/>
      <c r="W810" s="45"/>
      <c r="X810" s="45"/>
      <c r="Y810" s="45"/>
    </row>
    <row r="811" spans="1:25" ht="13.5" customHeight="1" x14ac:dyDescent="0.3">
      <c r="A811" s="45"/>
      <c r="B811" s="45"/>
      <c r="C811" s="52"/>
      <c r="D811" s="45"/>
      <c r="E811" s="45"/>
      <c r="F811" s="45"/>
      <c r="G811" s="52"/>
      <c r="H811" s="52"/>
      <c r="I811" s="45"/>
      <c r="J811" s="45"/>
      <c r="K811" s="45"/>
      <c r="L811" s="45"/>
      <c r="M811" s="45"/>
      <c r="N811" s="45"/>
      <c r="O811" s="45"/>
      <c r="P811" s="45"/>
      <c r="Q811" s="45"/>
      <c r="R811" s="45"/>
      <c r="S811" s="45"/>
      <c r="T811" s="45"/>
      <c r="U811" s="45"/>
      <c r="V811" s="45"/>
      <c r="W811" s="45"/>
      <c r="X811" s="45"/>
      <c r="Y811" s="45"/>
    </row>
    <row r="812" spans="1:25" ht="13.5" customHeight="1" x14ac:dyDescent="0.3">
      <c r="A812" s="45"/>
      <c r="B812" s="45"/>
      <c r="C812" s="52"/>
      <c r="D812" s="45"/>
      <c r="E812" s="45"/>
      <c r="F812" s="45"/>
      <c r="G812" s="52"/>
      <c r="H812" s="52"/>
      <c r="I812" s="45"/>
      <c r="J812" s="45"/>
      <c r="K812" s="45"/>
      <c r="L812" s="45"/>
      <c r="M812" s="45"/>
      <c r="N812" s="45"/>
      <c r="O812" s="45"/>
      <c r="P812" s="45"/>
      <c r="Q812" s="45"/>
      <c r="R812" s="45"/>
      <c r="S812" s="45"/>
      <c r="T812" s="45"/>
      <c r="U812" s="45"/>
      <c r="V812" s="45"/>
      <c r="W812" s="45"/>
      <c r="X812" s="45"/>
      <c r="Y812" s="45"/>
    </row>
    <row r="813" spans="1:25" ht="13.5" customHeight="1" x14ac:dyDescent="0.3">
      <c r="A813" s="45"/>
      <c r="B813" s="45"/>
      <c r="C813" s="52"/>
      <c r="D813" s="45"/>
      <c r="E813" s="45"/>
      <c r="F813" s="45"/>
      <c r="G813" s="52"/>
      <c r="H813" s="52"/>
      <c r="I813" s="45"/>
      <c r="J813" s="45"/>
      <c r="K813" s="45"/>
      <c r="L813" s="45"/>
      <c r="M813" s="45"/>
      <c r="N813" s="45"/>
      <c r="O813" s="45"/>
      <c r="P813" s="45"/>
      <c r="Q813" s="45"/>
      <c r="R813" s="45"/>
      <c r="S813" s="45"/>
      <c r="T813" s="45"/>
      <c r="U813" s="45"/>
      <c r="V813" s="45"/>
      <c r="W813" s="45"/>
      <c r="X813" s="45"/>
      <c r="Y813" s="45"/>
    </row>
    <row r="814" spans="1:25" ht="13.5" customHeight="1" x14ac:dyDescent="0.3">
      <c r="A814" s="45"/>
      <c r="B814" s="45"/>
      <c r="C814" s="52"/>
      <c r="D814" s="45"/>
      <c r="E814" s="45"/>
      <c r="F814" s="45"/>
      <c r="G814" s="52"/>
      <c r="H814" s="52"/>
      <c r="I814" s="45"/>
      <c r="J814" s="45"/>
      <c r="K814" s="45"/>
      <c r="L814" s="45"/>
      <c r="M814" s="45"/>
      <c r="N814" s="45"/>
      <c r="O814" s="45"/>
      <c r="P814" s="45"/>
      <c r="Q814" s="45"/>
      <c r="R814" s="45"/>
      <c r="S814" s="45"/>
      <c r="T814" s="45"/>
      <c r="U814" s="45"/>
      <c r="V814" s="45"/>
      <c r="W814" s="45"/>
      <c r="X814" s="45"/>
      <c r="Y814" s="45"/>
    </row>
    <row r="815" spans="1:25" ht="13.5" customHeight="1" x14ac:dyDescent="0.3">
      <c r="A815" s="45"/>
      <c r="B815" s="45"/>
      <c r="C815" s="52"/>
      <c r="D815" s="45"/>
      <c r="E815" s="45"/>
      <c r="F815" s="45"/>
      <c r="G815" s="52"/>
      <c r="H815" s="52"/>
      <c r="I815" s="45"/>
      <c r="J815" s="45"/>
      <c r="K815" s="45"/>
      <c r="L815" s="45"/>
      <c r="M815" s="45"/>
      <c r="N815" s="45"/>
      <c r="O815" s="45"/>
      <c r="P815" s="45"/>
      <c r="Q815" s="45"/>
      <c r="R815" s="45"/>
      <c r="S815" s="45"/>
      <c r="T815" s="45"/>
      <c r="U815" s="45"/>
      <c r="V815" s="45"/>
      <c r="W815" s="45"/>
      <c r="X815" s="45"/>
      <c r="Y815" s="45"/>
    </row>
    <row r="816" spans="1:25" ht="13.5" customHeight="1" x14ac:dyDescent="0.3">
      <c r="A816" s="45"/>
      <c r="B816" s="45"/>
      <c r="C816" s="52"/>
      <c r="D816" s="45"/>
      <c r="E816" s="45"/>
      <c r="F816" s="45"/>
      <c r="G816" s="52"/>
      <c r="H816" s="52"/>
      <c r="I816" s="45"/>
      <c r="J816" s="45"/>
      <c r="K816" s="45"/>
      <c r="L816" s="45"/>
      <c r="M816" s="45"/>
      <c r="N816" s="45"/>
      <c r="O816" s="45"/>
      <c r="P816" s="45"/>
      <c r="Q816" s="45"/>
      <c r="R816" s="45"/>
      <c r="S816" s="45"/>
      <c r="T816" s="45"/>
      <c r="U816" s="45"/>
      <c r="V816" s="45"/>
      <c r="W816" s="45"/>
      <c r="X816" s="45"/>
      <c r="Y816" s="45"/>
    </row>
    <row r="817" spans="1:25" ht="13.5" customHeight="1" x14ac:dyDescent="0.3">
      <c r="A817" s="45"/>
      <c r="B817" s="45"/>
      <c r="C817" s="52"/>
      <c r="D817" s="45"/>
      <c r="E817" s="45"/>
      <c r="F817" s="45"/>
      <c r="G817" s="52"/>
      <c r="H817" s="52"/>
      <c r="I817" s="45"/>
      <c r="J817" s="45"/>
      <c r="K817" s="45"/>
      <c r="L817" s="45"/>
      <c r="M817" s="45"/>
      <c r="N817" s="45"/>
      <c r="O817" s="45"/>
      <c r="P817" s="45"/>
      <c r="Q817" s="45"/>
      <c r="R817" s="45"/>
      <c r="S817" s="45"/>
      <c r="T817" s="45"/>
      <c r="U817" s="45"/>
      <c r="V817" s="45"/>
      <c r="W817" s="45"/>
      <c r="X817" s="45"/>
      <c r="Y817" s="45"/>
    </row>
    <row r="818" spans="1:25" ht="13.5" customHeight="1" x14ac:dyDescent="0.3">
      <c r="A818" s="45"/>
      <c r="B818" s="45"/>
      <c r="C818" s="52"/>
      <c r="D818" s="45"/>
      <c r="E818" s="45"/>
      <c r="F818" s="45"/>
      <c r="G818" s="52"/>
      <c r="H818" s="52"/>
      <c r="I818" s="45"/>
      <c r="J818" s="45"/>
      <c r="K818" s="45"/>
      <c r="L818" s="45"/>
      <c r="M818" s="45"/>
      <c r="N818" s="45"/>
      <c r="O818" s="45"/>
      <c r="P818" s="45"/>
      <c r="Q818" s="45"/>
      <c r="R818" s="45"/>
      <c r="S818" s="45"/>
      <c r="T818" s="45"/>
      <c r="U818" s="45"/>
      <c r="V818" s="45"/>
      <c r="W818" s="45"/>
      <c r="X818" s="45"/>
      <c r="Y818" s="45"/>
    </row>
    <row r="819" spans="1:25" ht="13.5" customHeight="1" x14ac:dyDescent="0.3">
      <c r="A819" s="45"/>
      <c r="B819" s="45"/>
      <c r="C819" s="52"/>
      <c r="D819" s="45"/>
      <c r="E819" s="45"/>
      <c r="F819" s="45"/>
      <c r="G819" s="52"/>
      <c r="H819" s="52"/>
      <c r="I819" s="45"/>
      <c r="J819" s="45"/>
      <c r="K819" s="45"/>
      <c r="L819" s="45"/>
      <c r="M819" s="45"/>
      <c r="N819" s="45"/>
      <c r="O819" s="45"/>
      <c r="P819" s="45"/>
      <c r="Q819" s="45"/>
      <c r="R819" s="45"/>
      <c r="S819" s="45"/>
      <c r="T819" s="45"/>
      <c r="U819" s="45"/>
      <c r="V819" s="45"/>
      <c r="W819" s="45"/>
      <c r="X819" s="45"/>
      <c r="Y819" s="45"/>
    </row>
    <row r="820" spans="1:25" ht="13.5" customHeight="1" x14ac:dyDescent="0.3">
      <c r="A820" s="45"/>
      <c r="B820" s="45"/>
      <c r="C820" s="52"/>
      <c r="D820" s="45"/>
      <c r="E820" s="45"/>
      <c r="F820" s="45"/>
      <c r="G820" s="52"/>
      <c r="H820" s="52"/>
      <c r="I820" s="45"/>
      <c r="J820" s="45"/>
      <c r="K820" s="45"/>
      <c r="L820" s="45"/>
      <c r="M820" s="45"/>
      <c r="N820" s="45"/>
      <c r="O820" s="45"/>
      <c r="P820" s="45"/>
      <c r="Q820" s="45"/>
      <c r="R820" s="45"/>
      <c r="S820" s="45"/>
      <c r="T820" s="45"/>
      <c r="U820" s="45"/>
      <c r="V820" s="45"/>
      <c r="W820" s="45"/>
      <c r="X820" s="45"/>
      <c r="Y820" s="45"/>
    </row>
    <row r="821" spans="1:25" ht="13.5" customHeight="1" x14ac:dyDescent="0.3">
      <c r="A821" s="45"/>
      <c r="B821" s="45"/>
      <c r="C821" s="52"/>
      <c r="D821" s="45"/>
      <c r="E821" s="45"/>
      <c r="F821" s="45"/>
      <c r="G821" s="52"/>
      <c r="H821" s="52"/>
      <c r="I821" s="45"/>
      <c r="J821" s="45"/>
      <c r="K821" s="45"/>
      <c r="L821" s="45"/>
      <c r="M821" s="45"/>
      <c r="N821" s="45"/>
      <c r="O821" s="45"/>
      <c r="P821" s="45"/>
      <c r="Q821" s="45"/>
      <c r="R821" s="45"/>
      <c r="S821" s="45"/>
      <c r="T821" s="45"/>
      <c r="U821" s="45"/>
      <c r="V821" s="45"/>
      <c r="W821" s="45"/>
      <c r="X821" s="45"/>
      <c r="Y821" s="45"/>
    </row>
    <row r="822" spans="1:25" ht="13.5" customHeight="1" x14ac:dyDescent="0.3">
      <c r="A822" s="45"/>
      <c r="B822" s="45"/>
      <c r="C822" s="52"/>
      <c r="D822" s="45"/>
      <c r="E822" s="45"/>
      <c r="F822" s="45"/>
      <c r="G822" s="52"/>
      <c r="H822" s="52"/>
      <c r="I822" s="45"/>
      <c r="J822" s="45"/>
      <c r="K822" s="45"/>
      <c r="L822" s="45"/>
      <c r="M822" s="45"/>
      <c r="N822" s="45"/>
      <c r="O822" s="45"/>
      <c r="P822" s="45"/>
      <c r="Q822" s="45"/>
      <c r="R822" s="45"/>
      <c r="S822" s="45"/>
      <c r="T822" s="45"/>
      <c r="U822" s="45"/>
      <c r="V822" s="45"/>
      <c r="W822" s="45"/>
      <c r="X822" s="45"/>
      <c r="Y822" s="45"/>
    </row>
    <row r="823" spans="1:25" ht="13.5" customHeight="1" x14ac:dyDescent="0.3">
      <c r="A823" s="45"/>
      <c r="B823" s="45"/>
      <c r="C823" s="52"/>
      <c r="D823" s="45"/>
      <c r="E823" s="45"/>
      <c r="F823" s="45"/>
      <c r="G823" s="52"/>
      <c r="H823" s="52"/>
      <c r="I823" s="45"/>
      <c r="J823" s="45"/>
      <c r="K823" s="45"/>
      <c r="L823" s="45"/>
      <c r="M823" s="45"/>
      <c r="N823" s="45"/>
      <c r="O823" s="45"/>
      <c r="P823" s="45"/>
      <c r="Q823" s="45"/>
      <c r="R823" s="45"/>
      <c r="S823" s="45"/>
      <c r="T823" s="45"/>
      <c r="U823" s="45"/>
      <c r="V823" s="45"/>
      <c r="W823" s="45"/>
      <c r="X823" s="45"/>
      <c r="Y823" s="45"/>
    </row>
    <row r="824" spans="1:25" ht="13.5" customHeight="1" x14ac:dyDescent="0.3">
      <c r="A824" s="45"/>
      <c r="B824" s="45"/>
      <c r="C824" s="52"/>
      <c r="D824" s="45"/>
      <c r="E824" s="45"/>
      <c r="F824" s="45"/>
      <c r="G824" s="52"/>
      <c r="H824" s="52"/>
      <c r="I824" s="45"/>
      <c r="J824" s="45"/>
      <c r="K824" s="45"/>
      <c r="L824" s="45"/>
      <c r="M824" s="45"/>
      <c r="N824" s="45"/>
      <c r="O824" s="45"/>
      <c r="P824" s="45"/>
      <c r="Q824" s="45"/>
      <c r="R824" s="45"/>
      <c r="S824" s="45"/>
      <c r="T824" s="45"/>
      <c r="U824" s="45"/>
      <c r="V824" s="45"/>
      <c r="W824" s="45"/>
      <c r="X824" s="45"/>
      <c r="Y824" s="45"/>
    </row>
    <row r="825" spans="1:25" ht="13.5" customHeight="1" x14ac:dyDescent="0.3">
      <c r="A825" s="45"/>
      <c r="B825" s="45"/>
      <c r="C825" s="52"/>
      <c r="D825" s="45"/>
      <c r="E825" s="45"/>
      <c r="F825" s="45"/>
      <c r="G825" s="52"/>
      <c r="H825" s="52"/>
      <c r="I825" s="45"/>
      <c r="J825" s="45"/>
      <c r="K825" s="45"/>
      <c r="L825" s="45"/>
      <c r="M825" s="45"/>
      <c r="N825" s="45"/>
      <c r="O825" s="45"/>
      <c r="P825" s="45"/>
      <c r="Q825" s="45"/>
      <c r="R825" s="45"/>
      <c r="S825" s="45"/>
      <c r="T825" s="45"/>
      <c r="U825" s="45"/>
      <c r="V825" s="45"/>
      <c r="W825" s="45"/>
      <c r="X825" s="45"/>
      <c r="Y825" s="45"/>
    </row>
    <row r="826" spans="1:25" ht="13.5" customHeight="1" x14ac:dyDescent="0.3">
      <c r="A826" s="45"/>
      <c r="B826" s="45"/>
      <c r="C826" s="52"/>
      <c r="D826" s="45"/>
      <c r="E826" s="45"/>
      <c r="F826" s="45"/>
      <c r="G826" s="52"/>
      <c r="H826" s="52"/>
      <c r="I826" s="45"/>
      <c r="J826" s="45"/>
      <c r="K826" s="45"/>
      <c r="L826" s="45"/>
      <c r="M826" s="45"/>
      <c r="N826" s="45"/>
      <c r="O826" s="45"/>
      <c r="P826" s="45"/>
      <c r="Q826" s="45"/>
      <c r="R826" s="45"/>
      <c r="S826" s="45"/>
      <c r="T826" s="45"/>
      <c r="U826" s="45"/>
      <c r="V826" s="45"/>
      <c r="W826" s="45"/>
      <c r="X826" s="45"/>
      <c r="Y826" s="45"/>
    </row>
    <row r="827" spans="1:25" ht="13.5" customHeight="1" x14ac:dyDescent="0.3">
      <c r="A827" s="45"/>
      <c r="B827" s="45"/>
      <c r="C827" s="52"/>
      <c r="D827" s="45"/>
      <c r="E827" s="45"/>
      <c r="F827" s="45"/>
      <c r="G827" s="52"/>
      <c r="H827" s="52"/>
      <c r="I827" s="45"/>
      <c r="J827" s="45"/>
      <c r="K827" s="45"/>
      <c r="L827" s="45"/>
      <c r="M827" s="45"/>
      <c r="N827" s="45"/>
      <c r="O827" s="45"/>
      <c r="P827" s="45"/>
      <c r="Q827" s="45"/>
      <c r="R827" s="45"/>
      <c r="S827" s="45"/>
      <c r="T827" s="45"/>
      <c r="U827" s="45"/>
      <c r="V827" s="45"/>
      <c r="W827" s="45"/>
      <c r="X827" s="45"/>
      <c r="Y827" s="45"/>
    </row>
    <row r="828" spans="1:25" ht="13.5" customHeight="1" x14ac:dyDescent="0.3">
      <c r="A828" s="45"/>
      <c r="B828" s="45"/>
      <c r="C828" s="52"/>
      <c r="D828" s="45"/>
      <c r="E828" s="45"/>
      <c r="F828" s="45"/>
      <c r="G828" s="52"/>
      <c r="H828" s="52"/>
      <c r="I828" s="45"/>
      <c r="J828" s="45"/>
      <c r="K828" s="45"/>
      <c r="L828" s="45"/>
      <c r="M828" s="45"/>
      <c r="N828" s="45"/>
      <c r="O828" s="45"/>
      <c r="P828" s="45"/>
      <c r="Q828" s="45"/>
      <c r="R828" s="45"/>
      <c r="S828" s="45"/>
      <c r="T828" s="45"/>
      <c r="U828" s="45"/>
      <c r="V828" s="45"/>
      <c r="W828" s="45"/>
      <c r="X828" s="45"/>
      <c r="Y828" s="45"/>
    </row>
    <row r="829" spans="1:25" ht="13.5" customHeight="1" x14ac:dyDescent="0.3">
      <c r="A829" s="45"/>
      <c r="B829" s="45"/>
      <c r="C829" s="52"/>
      <c r="D829" s="45"/>
      <c r="E829" s="45"/>
      <c r="F829" s="45"/>
      <c r="G829" s="52"/>
      <c r="H829" s="52"/>
      <c r="I829" s="45"/>
      <c r="J829" s="45"/>
      <c r="K829" s="45"/>
      <c r="L829" s="45"/>
      <c r="M829" s="45"/>
      <c r="N829" s="45"/>
      <c r="O829" s="45"/>
      <c r="P829" s="45"/>
      <c r="Q829" s="45"/>
      <c r="R829" s="45"/>
      <c r="S829" s="45"/>
      <c r="T829" s="45"/>
      <c r="U829" s="45"/>
      <c r="V829" s="45"/>
      <c r="W829" s="45"/>
      <c r="X829" s="45"/>
      <c r="Y829" s="45"/>
    </row>
    <row r="830" spans="1:25" ht="13.5" customHeight="1" x14ac:dyDescent="0.3">
      <c r="A830" s="45"/>
      <c r="B830" s="45"/>
      <c r="C830" s="52"/>
      <c r="D830" s="45"/>
      <c r="E830" s="45"/>
      <c r="F830" s="45"/>
      <c r="G830" s="52"/>
      <c r="H830" s="52"/>
      <c r="I830" s="45"/>
      <c r="J830" s="45"/>
      <c r="K830" s="45"/>
      <c r="L830" s="45"/>
      <c r="M830" s="45"/>
      <c r="N830" s="45"/>
      <c r="O830" s="45"/>
      <c r="P830" s="45"/>
      <c r="Q830" s="45"/>
      <c r="R830" s="45"/>
      <c r="S830" s="45"/>
      <c r="T830" s="45"/>
      <c r="U830" s="45"/>
      <c r="V830" s="45"/>
      <c r="W830" s="45"/>
      <c r="X830" s="45"/>
      <c r="Y830" s="45"/>
    </row>
    <row r="831" spans="1:25" ht="13.5" customHeight="1" x14ac:dyDescent="0.3">
      <c r="A831" s="45"/>
      <c r="B831" s="45"/>
      <c r="C831" s="52"/>
      <c r="D831" s="45"/>
      <c r="E831" s="45"/>
      <c r="F831" s="45"/>
      <c r="G831" s="52"/>
      <c r="H831" s="52"/>
      <c r="I831" s="45"/>
      <c r="J831" s="45"/>
      <c r="K831" s="45"/>
      <c r="L831" s="45"/>
      <c r="M831" s="45"/>
      <c r="N831" s="45"/>
      <c r="O831" s="45"/>
      <c r="P831" s="45"/>
      <c r="Q831" s="45"/>
      <c r="R831" s="45"/>
      <c r="S831" s="45"/>
      <c r="T831" s="45"/>
      <c r="U831" s="45"/>
      <c r="V831" s="45"/>
      <c r="W831" s="45"/>
      <c r="X831" s="45"/>
      <c r="Y831" s="45"/>
    </row>
    <row r="832" spans="1:25" ht="13.5" customHeight="1" x14ac:dyDescent="0.3">
      <c r="A832" s="45"/>
      <c r="B832" s="45"/>
      <c r="C832" s="52"/>
      <c r="D832" s="45"/>
      <c r="E832" s="45"/>
      <c r="F832" s="45"/>
      <c r="G832" s="52"/>
      <c r="H832" s="52"/>
      <c r="I832" s="45"/>
      <c r="J832" s="45"/>
      <c r="K832" s="45"/>
      <c r="L832" s="45"/>
      <c r="M832" s="45"/>
      <c r="N832" s="45"/>
      <c r="O832" s="45"/>
      <c r="P832" s="45"/>
      <c r="Q832" s="45"/>
      <c r="R832" s="45"/>
      <c r="S832" s="45"/>
      <c r="T832" s="45"/>
      <c r="U832" s="45"/>
      <c r="V832" s="45"/>
      <c r="W832" s="45"/>
      <c r="X832" s="45"/>
      <c r="Y832" s="45"/>
    </row>
    <row r="833" spans="1:25" ht="13.5" customHeight="1" x14ac:dyDescent="0.3">
      <c r="A833" s="45"/>
      <c r="B833" s="45"/>
      <c r="C833" s="52"/>
      <c r="D833" s="45"/>
      <c r="E833" s="45"/>
      <c r="F833" s="45"/>
      <c r="G833" s="52"/>
      <c r="H833" s="52"/>
      <c r="I833" s="45"/>
      <c r="J833" s="45"/>
      <c r="K833" s="45"/>
      <c r="L833" s="45"/>
      <c r="M833" s="45"/>
      <c r="N833" s="45"/>
      <c r="O833" s="45"/>
      <c r="P833" s="45"/>
      <c r="Q833" s="45"/>
      <c r="R833" s="45"/>
      <c r="S833" s="45"/>
      <c r="T833" s="45"/>
      <c r="U833" s="45"/>
      <c r="V833" s="45"/>
      <c r="W833" s="45"/>
      <c r="X833" s="45"/>
      <c r="Y833" s="45"/>
    </row>
    <row r="834" spans="1:25" ht="13.5" customHeight="1" x14ac:dyDescent="0.3">
      <c r="A834" s="45"/>
      <c r="B834" s="45"/>
      <c r="C834" s="52"/>
      <c r="D834" s="45"/>
      <c r="E834" s="45"/>
      <c r="F834" s="45"/>
      <c r="G834" s="52"/>
      <c r="H834" s="52"/>
      <c r="I834" s="45"/>
      <c r="J834" s="45"/>
      <c r="K834" s="45"/>
      <c r="L834" s="45"/>
      <c r="M834" s="45"/>
      <c r="N834" s="45"/>
      <c r="O834" s="45"/>
      <c r="P834" s="45"/>
      <c r="Q834" s="45"/>
      <c r="R834" s="45"/>
      <c r="S834" s="45"/>
      <c r="T834" s="45"/>
      <c r="U834" s="45"/>
      <c r="V834" s="45"/>
      <c r="W834" s="45"/>
      <c r="X834" s="45"/>
      <c r="Y834" s="45"/>
    </row>
    <row r="835" spans="1:25" ht="13.5" customHeight="1" x14ac:dyDescent="0.3">
      <c r="A835" s="45"/>
      <c r="B835" s="45"/>
      <c r="C835" s="52"/>
      <c r="D835" s="45"/>
      <c r="E835" s="45"/>
      <c r="F835" s="45"/>
      <c r="G835" s="52"/>
      <c r="H835" s="52"/>
      <c r="I835" s="45"/>
      <c r="J835" s="45"/>
      <c r="K835" s="45"/>
      <c r="L835" s="45"/>
      <c r="M835" s="45"/>
      <c r="N835" s="45"/>
      <c r="O835" s="45"/>
      <c r="P835" s="45"/>
      <c r="Q835" s="45"/>
      <c r="R835" s="45"/>
      <c r="S835" s="45"/>
      <c r="T835" s="45"/>
      <c r="U835" s="45"/>
      <c r="V835" s="45"/>
      <c r="W835" s="45"/>
      <c r="X835" s="45"/>
      <c r="Y835" s="45"/>
    </row>
    <row r="836" spans="1:25" ht="13.5" customHeight="1" x14ac:dyDescent="0.3">
      <c r="A836" s="45"/>
      <c r="B836" s="45"/>
      <c r="C836" s="52"/>
      <c r="D836" s="45"/>
      <c r="E836" s="45"/>
      <c r="F836" s="45"/>
      <c r="G836" s="52"/>
      <c r="H836" s="52"/>
      <c r="I836" s="45"/>
      <c r="J836" s="45"/>
      <c r="K836" s="45"/>
      <c r="L836" s="45"/>
      <c r="M836" s="45"/>
      <c r="N836" s="45"/>
      <c r="O836" s="45"/>
      <c r="P836" s="45"/>
      <c r="Q836" s="45"/>
      <c r="R836" s="45"/>
      <c r="S836" s="45"/>
      <c r="T836" s="45"/>
      <c r="U836" s="45"/>
      <c r="V836" s="45"/>
      <c r="W836" s="45"/>
      <c r="X836" s="45"/>
      <c r="Y836" s="45"/>
    </row>
    <row r="837" spans="1:25" ht="13.5" customHeight="1" x14ac:dyDescent="0.3">
      <c r="A837" s="45"/>
      <c r="B837" s="45"/>
      <c r="C837" s="52"/>
      <c r="D837" s="45"/>
      <c r="E837" s="45"/>
      <c r="F837" s="45"/>
      <c r="G837" s="52"/>
      <c r="H837" s="52"/>
      <c r="I837" s="45"/>
      <c r="J837" s="45"/>
      <c r="K837" s="45"/>
      <c r="L837" s="45"/>
      <c r="M837" s="45"/>
      <c r="N837" s="45"/>
      <c r="O837" s="45"/>
      <c r="P837" s="45"/>
      <c r="Q837" s="45"/>
      <c r="R837" s="45"/>
      <c r="S837" s="45"/>
      <c r="T837" s="45"/>
      <c r="U837" s="45"/>
      <c r="V837" s="45"/>
      <c r="W837" s="45"/>
      <c r="X837" s="45"/>
      <c r="Y837" s="45"/>
    </row>
    <row r="838" spans="1:25" ht="13.5" customHeight="1" x14ac:dyDescent="0.3">
      <c r="A838" s="45"/>
      <c r="B838" s="45"/>
      <c r="C838" s="52"/>
      <c r="D838" s="45"/>
      <c r="E838" s="45"/>
      <c r="F838" s="45"/>
      <c r="G838" s="52"/>
      <c r="H838" s="52"/>
      <c r="I838" s="45"/>
      <c r="J838" s="45"/>
      <c r="K838" s="45"/>
      <c r="L838" s="45"/>
      <c r="M838" s="45"/>
      <c r="N838" s="45"/>
      <c r="O838" s="45"/>
      <c r="P838" s="45"/>
      <c r="Q838" s="45"/>
      <c r="R838" s="45"/>
      <c r="S838" s="45"/>
      <c r="T838" s="45"/>
      <c r="U838" s="45"/>
      <c r="V838" s="45"/>
      <c r="W838" s="45"/>
      <c r="X838" s="45"/>
      <c r="Y838" s="45"/>
    </row>
    <row r="839" spans="1:25" ht="13.5" customHeight="1" x14ac:dyDescent="0.3">
      <c r="A839" s="45"/>
      <c r="B839" s="45"/>
      <c r="C839" s="52"/>
      <c r="D839" s="45"/>
      <c r="E839" s="45"/>
      <c r="F839" s="45"/>
      <c r="G839" s="52"/>
      <c r="H839" s="52"/>
      <c r="I839" s="45"/>
      <c r="J839" s="45"/>
      <c r="K839" s="45"/>
      <c r="L839" s="45"/>
      <c r="M839" s="45"/>
      <c r="N839" s="45"/>
      <c r="O839" s="45"/>
      <c r="P839" s="45"/>
      <c r="Q839" s="45"/>
      <c r="R839" s="45"/>
      <c r="S839" s="45"/>
      <c r="T839" s="45"/>
      <c r="U839" s="45"/>
      <c r="V839" s="45"/>
      <c r="W839" s="45"/>
      <c r="X839" s="45"/>
      <c r="Y839" s="45"/>
    </row>
    <row r="840" spans="1:25" ht="13.5" customHeight="1" x14ac:dyDescent="0.3">
      <c r="A840" s="45"/>
      <c r="B840" s="45"/>
      <c r="C840" s="52"/>
      <c r="D840" s="45"/>
      <c r="E840" s="45"/>
      <c r="F840" s="45"/>
      <c r="G840" s="52"/>
      <c r="H840" s="52"/>
      <c r="I840" s="45"/>
      <c r="J840" s="45"/>
      <c r="K840" s="45"/>
      <c r="L840" s="45"/>
      <c r="M840" s="45"/>
      <c r="N840" s="45"/>
      <c r="O840" s="45"/>
      <c r="P840" s="45"/>
      <c r="Q840" s="45"/>
      <c r="R840" s="45"/>
      <c r="S840" s="45"/>
      <c r="T840" s="45"/>
      <c r="U840" s="45"/>
      <c r="V840" s="45"/>
      <c r="W840" s="45"/>
      <c r="X840" s="45"/>
      <c r="Y840" s="45"/>
    </row>
    <row r="841" spans="1:25" ht="13.5" customHeight="1" x14ac:dyDescent="0.3">
      <c r="A841" s="45"/>
      <c r="B841" s="45"/>
      <c r="C841" s="52"/>
      <c r="D841" s="45"/>
      <c r="E841" s="45"/>
      <c r="F841" s="45"/>
      <c r="G841" s="52"/>
      <c r="H841" s="52"/>
      <c r="I841" s="45"/>
      <c r="J841" s="45"/>
      <c r="K841" s="45"/>
      <c r="L841" s="45"/>
      <c r="M841" s="45"/>
      <c r="N841" s="45"/>
      <c r="O841" s="45"/>
      <c r="P841" s="45"/>
      <c r="Q841" s="45"/>
      <c r="R841" s="45"/>
      <c r="S841" s="45"/>
      <c r="T841" s="45"/>
      <c r="U841" s="45"/>
      <c r="V841" s="45"/>
      <c r="W841" s="45"/>
      <c r="X841" s="45"/>
      <c r="Y841" s="45"/>
    </row>
    <row r="842" spans="1:25" ht="13.5" customHeight="1" x14ac:dyDescent="0.3">
      <c r="A842" s="45"/>
      <c r="B842" s="45"/>
      <c r="C842" s="52"/>
      <c r="D842" s="45"/>
      <c r="E842" s="45"/>
      <c r="F842" s="45"/>
      <c r="G842" s="52"/>
      <c r="H842" s="52"/>
      <c r="I842" s="45"/>
      <c r="J842" s="45"/>
      <c r="K842" s="45"/>
      <c r="L842" s="45"/>
      <c r="M842" s="45"/>
      <c r="N842" s="45"/>
      <c r="O842" s="45"/>
      <c r="P842" s="45"/>
      <c r="Q842" s="45"/>
      <c r="R842" s="45"/>
      <c r="S842" s="45"/>
      <c r="T842" s="45"/>
      <c r="U842" s="45"/>
      <c r="V842" s="45"/>
      <c r="W842" s="45"/>
      <c r="X842" s="45"/>
      <c r="Y842" s="45"/>
    </row>
    <row r="843" spans="1:25" ht="13.5" customHeight="1" x14ac:dyDescent="0.3">
      <c r="A843" s="45"/>
      <c r="B843" s="45"/>
      <c r="C843" s="52"/>
      <c r="D843" s="45"/>
      <c r="E843" s="45"/>
      <c r="F843" s="45"/>
      <c r="G843" s="52"/>
      <c r="H843" s="52"/>
      <c r="I843" s="45"/>
      <c r="J843" s="45"/>
      <c r="K843" s="45"/>
      <c r="L843" s="45"/>
      <c r="M843" s="45"/>
      <c r="N843" s="45"/>
      <c r="O843" s="45"/>
      <c r="P843" s="45"/>
      <c r="Q843" s="45"/>
      <c r="R843" s="45"/>
      <c r="S843" s="45"/>
      <c r="T843" s="45"/>
      <c r="U843" s="45"/>
      <c r="V843" s="45"/>
      <c r="W843" s="45"/>
      <c r="X843" s="45"/>
      <c r="Y843" s="45"/>
    </row>
    <row r="844" spans="1:25" ht="13.5" customHeight="1" x14ac:dyDescent="0.3">
      <c r="A844" s="45"/>
      <c r="B844" s="45"/>
      <c r="C844" s="52"/>
      <c r="D844" s="45"/>
      <c r="E844" s="45"/>
      <c r="F844" s="45"/>
      <c r="G844" s="52"/>
      <c r="H844" s="52"/>
      <c r="I844" s="45"/>
      <c r="J844" s="45"/>
      <c r="K844" s="45"/>
      <c r="L844" s="45"/>
      <c r="M844" s="45"/>
      <c r="N844" s="45"/>
      <c r="O844" s="45"/>
      <c r="P844" s="45"/>
      <c r="Q844" s="45"/>
      <c r="R844" s="45"/>
      <c r="S844" s="45"/>
      <c r="T844" s="45"/>
      <c r="U844" s="45"/>
      <c r="V844" s="45"/>
      <c r="W844" s="45"/>
      <c r="X844" s="45"/>
      <c r="Y844" s="45"/>
    </row>
    <row r="845" spans="1:25" ht="13.5" customHeight="1" x14ac:dyDescent="0.3">
      <c r="A845" s="45"/>
      <c r="B845" s="45"/>
      <c r="C845" s="52"/>
      <c r="D845" s="45"/>
      <c r="E845" s="45"/>
      <c r="F845" s="45"/>
      <c r="G845" s="52"/>
      <c r="H845" s="52"/>
      <c r="I845" s="45"/>
      <c r="J845" s="45"/>
      <c r="K845" s="45"/>
      <c r="L845" s="45"/>
      <c r="M845" s="45"/>
      <c r="N845" s="45"/>
      <c r="O845" s="45"/>
      <c r="P845" s="45"/>
      <c r="Q845" s="45"/>
      <c r="R845" s="45"/>
      <c r="S845" s="45"/>
      <c r="T845" s="45"/>
      <c r="U845" s="45"/>
      <c r="V845" s="45"/>
      <c r="W845" s="45"/>
      <c r="X845" s="45"/>
      <c r="Y845" s="45"/>
    </row>
    <row r="846" spans="1:25" ht="13.5" customHeight="1" x14ac:dyDescent="0.3">
      <c r="A846" s="45"/>
      <c r="B846" s="45"/>
      <c r="C846" s="52"/>
      <c r="D846" s="45"/>
      <c r="E846" s="45"/>
      <c r="F846" s="45"/>
      <c r="G846" s="52"/>
      <c r="H846" s="52"/>
      <c r="I846" s="45"/>
      <c r="J846" s="45"/>
      <c r="K846" s="45"/>
      <c r="L846" s="45"/>
      <c r="M846" s="45"/>
      <c r="N846" s="45"/>
      <c r="O846" s="45"/>
      <c r="P846" s="45"/>
      <c r="Q846" s="45"/>
      <c r="R846" s="45"/>
      <c r="S846" s="45"/>
      <c r="T846" s="45"/>
      <c r="U846" s="45"/>
      <c r="V846" s="45"/>
      <c r="W846" s="45"/>
      <c r="X846" s="45"/>
      <c r="Y846" s="45"/>
    </row>
    <row r="847" spans="1:25" ht="13.5" customHeight="1" x14ac:dyDescent="0.3">
      <c r="A847" s="45"/>
      <c r="B847" s="45"/>
      <c r="C847" s="52"/>
      <c r="D847" s="45"/>
      <c r="E847" s="45"/>
      <c r="F847" s="45"/>
      <c r="G847" s="52"/>
      <c r="H847" s="52"/>
      <c r="I847" s="45"/>
      <c r="J847" s="45"/>
      <c r="K847" s="45"/>
      <c r="L847" s="45"/>
      <c r="M847" s="45"/>
      <c r="N847" s="45"/>
      <c r="O847" s="45"/>
      <c r="P847" s="45"/>
      <c r="Q847" s="45"/>
      <c r="R847" s="45"/>
      <c r="S847" s="45"/>
      <c r="T847" s="45"/>
      <c r="U847" s="45"/>
      <c r="V847" s="45"/>
      <c r="W847" s="45"/>
      <c r="X847" s="45"/>
      <c r="Y847" s="45"/>
    </row>
    <row r="848" spans="1:25" ht="13.5" customHeight="1" x14ac:dyDescent="0.3">
      <c r="A848" s="45"/>
      <c r="B848" s="45"/>
      <c r="C848" s="52"/>
      <c r="D848" s="45"/>
      <c r="E848" s="45"/>
      <c r="F848" s="45"/>
      <c r="G848" s="52"/>
      <c r="H848" s="52"/>
      <c r="I848" s="45"/>
      <c r="J848" s="45"/>
      <c r="K848" s="45"/>
      <c r="L848" s="45"/>
      <c r="M848" s="45"/>
      <c r="N848" s="45"/>
      <c r="O848" s="45"/>
      <c r="P848" s="45"/>
      <c r="Q848" s="45"/>
      <c r="R848" s="45"/>
      <c r="S848" s="45"/>
      <c r="T848" s="45"/>
      <c r="U848" s="45"/>
      <c r="V848" s="45"/>
      <c r="W848" s="45"/>
      <c r="X848" s="45"/>
      <c r="Y848" s="45"/>
    </row>
    <row r="849" spans="1:25" ht="13.5" customHeight="1" x14ac:dyDescent="0.3">
      <c r="A849" s="45"/>
      <c r="B849" s="45"/>
      <c r="C849" s="52"/>
      <c r="D849" s="45"/>
      <c r="E849" s="45"/>
      <c r="F849" s="45"/>
      <c r="G849" s="52"/>
      <c r="H849" s="52"/>
      <c r="I849" s="45"/>
      <c r="J849" s="45"/>
      <c r="K849" s="45"/>
      <c r="L849" s="45"/>
      <c r="M849" s="45"/>
      <c r="N849" s="45"/>
      <c r="O849" s="45"/>
      <c r="P849" s="45"/>
      <c r="Q849" s="45"/>
      <c r="R849" s="45"/>
      <c r="S849" s="45"/>
      <c r="T849" s="45"/>
      <c r="U849" s="45"/>
      <c r="V849" s="45"/>
      <c r="W849" s="45"/>
      <c r="X849" s="45"/>
      <c r="Y849" s="45"/>
    </row>
    <row r="850" spans="1:25" ht="13.5" customHeight="1" x14ac:dyDescent="0.3">
      <c r="A850" s="45"/>
      <c r="B850" s="45"/>
      <c r="C850" s="52"/>
      <c r="D850" s="45"/>
      <c r="E850" s="45"/>
      <c r="F850" s="45"/>
      <c r="G850" s="52"/>
      <c r="H850" s="52"/>
      <c r="I850" s="45"/>
      <c r="J850" s="45"/>
      <c r="K850" s="45"/>
      <c r="L850" s="45"/>
      <c r="M850" s="45"/>
      <c r="N850" s="45"/>
      <c r="O850" s="45"/>
      <c r="P850" s="45"/>
      <c r="Q850" s="45"/>
      <c r="R850" s="45"/>
      <c r="S850" s="45"/>
      <c r="T850" s="45"/>
      <c r="U850" s="45"/>
      <c r="V850" s="45"/>
      <c r="W850" s="45"/>
      <c r="X850" s="45"/>
      <c r="Y850" s="45"/>
    </row>
    <row r="851" spans="1:25" ht="13.5" customHeight="1" x14ac:dyDescent="0.3">
      <c r="A851" s="45"/>
      <c r="B851" s="45"/>
      <c r="C851" s="52"/>
      <c r="D851" s="45"/>
      <c r="E851" s="45"/>
      <c r="F851" s="45"/>
      <c r="G851" s="52"/>
      <c r="H851" s="52"/>
      <c r="I851" s="45"/>
      <c r="J851" s="45"/>
      <c r="K851" s="45"/>
      <c r="L851" s="45"/>
      <c r="M851" s="45"/>
      <c r="N851" s="45"/>
      <c r="O851" s="45"/>
      <c r="P851" s="45"/>
      <c r="Q851" s="45"/>
      <c r="R851" s="45"/>
      <c r="S851" s="45"/>
      <c r="T851" s="45"/>
      <c r="U851" s="45"/>
      <c r="V851" s="45"/>
      <c r="W851" s="45"/>
      <c r="X851" s="45"/>
      <c r="Y851" s="45"/>
    </row>
    <row r="852" spans="1:25" ht="13.5" customHeight="1" x14ac:dyDescent="0.3">
      <c r="A852" s="45"/>
      <c r="B852" s="45"/>
      <c r="C852" s="52"/>
      <c r="D852" s="45"/>
      <c r="E852" s="45"/>
      <c r="F852" s="45"/>
      <c r="G852" s="52"/>
      <c r="H852" s="52"/>
      <c r="I852" s="45"/>
      <c r="J852" s="45"/>
      <c r="K852" s="45"/>
      <c r="L852" s="45"/>
      <c r="M852" s="45"/>
      <c r="N852" s="45"/>
      <c r="O852" s="45"/>
      <c r="P852" s="45"/>
      <c r="Q852" s="45"/>
      <c r="R852" s="45"/>
      <c r="S852" s="45"/>
      <c r="T852" s="45"/>
      <c r="U852" s="45"/>
      <c r="V852" s="45"/>
      <c r="W852" s="45"/>
      <c r="X852" s="45"/>
      <c r="Y852" s="45"/>
    </row>
    <row r="853" spans="1:25" ht="13.5" customHeight="1" x14ac:dyDescent="0.3">
      <c r="A853" s="45"/>
      <c r="B853" s="45"/>
      <c r="C853" s="52"/>
      <c r="D853" s="45"/>
      <c r="E853" s="45"/>
      <c r="F853" s="45"/>
      <c r="G853" s="52"/>
      <c r="H853" s="52"/>
      <c r="I853" s="45"/>
      <c r="J853" s="45"/>
      <c r="K853" s="45"/>
      <c r="L853" s="45"/>
      <c r="M853" s="45"/>
      <c r="N853" s="45"/>
      <c r="O853" s="45"/>
      <c r="P853" s="45"/>
      <c r="Q853" s="45"/>
      <c r="R853" s="45"/>
      <c r="S853" s="45"/>
      <c r="T853" s="45"/>
      <c r="U853" s="45"/>
      <c r="V853" s="45"/>
      <c r="W853" s="45"/>
      <c r="X853" s="45"/>
      <c r="Y853" s="45"/>
    </row>
    <row r="854" spans="1:25" ht="13.5" customHeight="1" x14ac:dyDescent="0.3">
      <c r="A854" s="45"/>
      <c r="B854" s="45"/>
      <c r="C854" s="52"/>
      <c r="D854" s="45"/>
      <c r="E854" s="45"/>
      <c r="F854" s="45"/>
      <c r="G854" s="52"/>
      <c r="H854" s="52"/>
      <c r="I854" s="45"/>
      <c r="J854" s="45"/>
      <c r="K854" s="45"/>
      <c r="L854" s="45"/>
      <c r="M854" s="45"/>
      <c r="N854" s="45"/>
      <c r="O854" s="45"/>
      <c r="P854" s="45"/>
      <c r="Q854" s="45"/>
      <c r="R854" s="45"/>
      <c r="S854" s="45"/>
      <c r="T854" s="45"/>
      <c r="U854" s="45"/>
      <c r="V854" s="45"/>
      <c r="W854" s="45"/>
      <c r="X854" s="45"/>
      <c r="Y854" s="45"/>
    </row>
    <row r="855" spans="1:25" ht="13.5" customHeight="1" x14ac:dyDescent="0.3">
      <c r="A855" s="45"/>
      <c r="B855" s="45"/>
      <c r="C855" s="52"/>
      <c r="D855" s="45"/>
      <c r="E855" s="45"/>
      <c r="F855" s="45"/>
      <c r="G855" s="52"/>
      <c r="H855" s="52"/>
      <c r="I855" s="45"/>
      <c r="J855" s="45"/>
      <c r="K855" s="45"/>
      <c r="L855" s="45"/>
      <c r="M855" s="45"/>
      <c r="N855" s="45"/>
      <c r="O855" s="45"/>
      <c r="P855" s="45"/>
      <c r="Q855" s="45"/>
      <c r="R855" s="45"/>
      <c r="S855" s="45"/>
      <c r="T855" s="45"/>
      <c r="U855" s="45"/>
      <c r="V855" s="45"/>
      <c r="W855" s="45"/>
      <c r="X855" s="45"/>
      <c r="Y855" s="45"/>
    </row>
    <row r="856" spans="1:25" ht="13.5" customHeight="1" x14ac:dyDescent="0.3">
      <c r="A856" s="45"/>
      <c r="B856" s="45"/>
      <c r="C856" s="52"/>
      <c r="D856" s="45"/>
      <c r="E856" s="45"/>
      <c r="F856" s="45"/>
      <c r="G856" s="52"/>
      <c r="H856" s="52"/>
      <c r="I856" s="45"/>
      <c r="J856" s="45"/>
      <c r="K856" s="45"/>
      <c r="L856" s="45"/>
      <c r="M856" s="45"/>
      <c r="N856" s="45"/>
      <c r="O856" s="45"/>
      <c r="P856" s="45"/>
      <c r="Q856" s="45"/>
      <c r="R856" s="45"/>
      <c r="S856" s="45"/>
      <c r="T856" s="45"/>
      <c r="U856" s="45"/>
      <c r="V856" s="45"/>
      <c r="W856" s="45"/>
      <c r="X856" s="45"/>
      <c r="Y856" s="45"/>
    </row>
    <row r="857" spans="1:25" ht="13.5" customHeight="1" x14ac:dyDescent="0.3">
      <c r="A857" s="45"/>
      <c r="B857" s="45"/>
      <c r="C857" s="52"/>
      <c r="D857" s="45"/>
      <c r="E857" s="45"/>
      <c r="F857" s="45"/>
      <c r="G857" s="52"/>
      <c r="H857" s="52"/>
      <c r="I857" s="45"/>
      <c r="J857" s="45"/>
      <c r="K857" s="45"/>
      <c r="L857" s="45"/>
      <c r="M857" s="45"/>
      <c r="N857" s="45"/>
      <c r="O857" s="45"/>
      <c r="P857" s="45"/>
      <c r="Q857" s="45"/>
      <c r="R857" s="45"/>
      <c r="S857" s="45"/>
      <c r="T857" s="45"/>
      <c r="U857" s="45"/>
      <c r="V857" s="45"/>
      <c r="W857" s="45"/>
      <c r="X857" s="45"/>
      <c r="Y857" s="45"/>
    </row>
    <row r="858" spans="1:25" ht="13.5" customHeight="1" x14ac:dyDescent="0.3">
      <c r="A858" s="45"/>
      <c r="B858" s="45"/>
      <c r="C858" s="52"/>
      <c r="D858" s="45"/>
      <c r="E858" s="45"/>
      <c r="F858" s="45"/>
      <c r="G858" s="52"/>
      <c r="H858" s="52"/>
      <c r="I858" s="45"/>
      <c r="J858" s="45"/>
      <c r="K858" s="45"/>
      <c r="L858" s="45"/>
      <c r="M858" s="45"/>
      <c r="N858" s="45"/>
      <c r="O858" s="45"/>
      <c r="P858" s="45"/>
      <c r="Q858" s="45"/>
      <c r="R858" s="45"/>
      <c r="S858" s="45"/>
      <c r="T858" s="45"/>
      <c r="U858" s="45"/>
      <c r="V858" s="45"/>
      <c r="W858" s="45"/>
      <c r="X858" s="45"/>
      <c r="Y858" s="45"/>
    </row>
    <row r="859" spans="1:25" ht="13.5" customHeight="1" x14ac:dyDescent="0.3">
      <c r="A859" s="45"/>
      <c r="B859" s="45"/>
      <c r="C859" s="52"/>
      <c r="D859" s="45"/>
      <c r="E859" s="45"/>
      <c r="F859" s="45"/>
      <c r="G859" s="52"/>
      <c r="H859" s="52"/>
      <c r="I859" s="45"/>
      <c r="J859" s="45"/>
      <c r="K859" s="45"/>
      <c r="L859" s="45"/>
      <c r="M859" s="45"/>
      <c r="N859" s="45"/>
      <c r="O859" s="45"/>
      <c r="P859" s="45"/>
      <c r="Q859" s="45"/>
      <c r="R859" s="45"/>
      <c r="S859" s="45"/>
      <c r="T859" s="45"/>
      <c r="U859" s="45"/>
      <c r="V859" s="45"/>
      <c r="W859" s="45"/>
      <c r="X859" s="45"/>
      <c r="Y859" s="45"/>
    </row>
    <row r="860" spans="1:25" ht="13.5" customHeight="1" x14ac:dyDescent="0.3">
      <c r="A860" s="45"/>
      <c r="B860" s="45"/>
      <c r="C860" s="52"/>
      <c r="D860" s="45"/>
      <c r="E860" s="45"/>
      <c r="F860" s="45"/>
      <c r="G860" s="52"/>
      <c r="H860" s="52"/>
      <c r="I860" s="45"/>
      <c r="J860" s="45"/>
      <c r="K860" s="45"/>
      <c r="L860" s="45"/>
      <c r="M860" s="45"/>
      <c r="N860" s="45"/>
      <c r="O860" s="45"/>
      <c r="P860" s="45"/>
      <c r="Q860" s="45"/>
      <c r="R860" s="45"/>
      <c r="S860" s="45"/>
      <c r="T860" s="45"/>
      <c r="U860" s="45"/>
      <c r="V860" s="45"/>
      <c r="W860" s="45"/>
      <c r="X860" s="45"/>
      <c r="Y860" s="45"/>
    </row>
    <row r="861" spans="1:25" ht="13.5" customHeight="1" x14ac:dyDescent="0.3">
      <c r="A861" s="45"/>
      <c r="B861" s="45"/>
      <c r="C861" s="52"/>
      <c r="D861" s="45"/>
      <c r="E861" s="45"/>
      <c r="F861" s="45"/>
      <c r="G861" s="52"/>
      <c r="H861" s="52"/>
      <c r="I861" s="45"/>
      <c r="J861" s="45"/>
      <c r="K861" s="45"/>
      <c r="L861" s="45"/>
      <c r="M861" s="45"/>
      <c r="N861" s="45"/>
      <c r="O861" s="45"/>
      <c r="P861" s="45"/>
      <c r="Q861" s="45"/>
      <c r="R861" s="45"/>
      <c r="S861" s="45"/>
      <c r="T861" s="45"/>
      <c r="U861" s="45"/>
      <c r="V861" s="45"/>
      <c r="W861" s="45"/>
      <c r="X861" s="45"/>
      <c r="Y861" s="45"/>
    </row>
    <row r="862" spans="1:25" ht="13.5" customHeight="1" x14ac:dyDescent="0.3">
      <c r="A862" s="45"/>
      <c r="B862" s="45"/>
      <c r="C862" s="52"/>
      <c r="D862" s="45"/>
      <c r="E862" s="45"/>
      <c r="F862" s="45"/>
      <c r="G862" s="52"/>
      <c r="H862" s="52"/>
      <c r="I862" s="45"/>
      <c r="J862" s="45"/>
      <c r="K862" s="45"/>
      <c r="L862" s="45"/>
      <c r="M862" s="45"/>
      <c r="N862" s="45"/>
      <c r="O862" s="45"/>
      <c r="P862" s="45"/>
      <c r="Q862" s="45"/>
      <c r="R862" s="45"/>
      <c r="S862" s="45"/>
      <c r="T862" s="45"/>
      <c r="U862" s="45"/>
      <c r="V862" s="45"/>
      <c r="W862" s="45"/>
      <c r="X862" s="45"/>
      <c r="Y862" s="45"/>
    </row>
    <row r="863" spans="1:25" ht="13.5" customHeight="1" x14ac:dyDescent="0.3">
      <c r="A863" s="45"/>
      <c r="B863" s="45"/>
      <c r="C863" s="52"/>
      <c r="D863" s="45"/>
      <c r="E863" s="45"/>
      <c r="F863" s="45"/>
      <c r="G863" s="52"/>
      <c r="H863" s="52"/>
      <c r="I863" s="45"/>
      <c r="J863" s="45"/>
      <c r="K863" s="45"/>
      <c r="L863" s="45"/>
      <c r="M863" s="45"/>
      <c r="N863" s="45"/>
      <c r="O863" s="45"/>
      <c r="P863" s="45"/>
      <c r="Q863" s="45"/>
      <c r="R863" s="45"/>
      <c r="S863" s="45"/>
      <c r="T863" s="45"/>
      <c r="U863" s="45"/>
      <c r="V863" s="45"/>
      <c r="W863" s="45"/>
      <c r="X863" s="45"/>
      <c r="Y863" s="45"/>
    </row>
    <row r="864" spans="1:25" ht="13.5" customHeight="1" x14ac:dyDescent="0.3">
      <c r="A864" s="45"/>
      <c r="B864" s="45"/>
      <c r="C864" s="52"/>
      <c r="D864" s="45"/>
      <c r="E864" s="45"/>
      <c r="F864" s="45"/>
      <c r="G864" s="52"/>
      <c r="H864" s="52"/>
      <c r="I864" s="45"/>
      <c r="J864" s="45"/>
      <c r="K864" s="45"/>
      <c r="L864" s="45"/>
      <c r="M864" s="45"/>
      <c r="N864" s="45"/>
      <c r="O864" s="45"/>
      <c r="P864" s="45"/>
      <c r="Q864" s="45"/>
      <c r="R864" s="45"/>
      <c r="S864" s="45"/>
      <c r="T864" s="45"/>
      <c r="U864" s="45"/>
      <c r="V864" s="45"/>
      <c r="W864" s="45"/>
      <c r="X864" s="45"/>
      <c r="Y864" s="45"/>
    </row>
    <row r="865" spans="1:25" ht="13.5" customHeight="1" x14ac:dyDescent="0.3">
      <c r="A865" s="45"/>
      <c r="B865" s="45"/>
      <c r="C865" s="52"/>
      <c r="D865" s="45"/>
      <c r="E865" s="45"/>
      <c r="F865" s="45"/>
      <c r="G865" s="52"/>
      <c r="H865" s="52"/>
      <c r="I865" s="45"/>
      <c r="J865" s="45"/>
      <c r="K865" s="45"/>
      <c r="L865" s="45"/>
      <c r="M865" s="45"/>
      <c r="N865" s="45"/>
      <c r="O865" s="45"/>
      <c r="P865" s="45"/>
      <c r="Q865" s="45"/>
      <c r="R865" s="45"/>
      <c r="S865" s="45"/>
      <c r="T865" s="45"/>
      <c r="U865" s="45"/>
      <c r="V865" s="45"/>
      <c r="W865" s="45"/>
      <c r="X865" s="45"/>
      <c r="Y865" s="45"/>
    </row>
    <row r="866" spans="1:25" ht="13.5" customHeight="1" x14ac:dyDescent="0.3">
      <c r="A866" s="45"/>
      <c r="B866" s="45"/>
      <c r="C866" s="52"/>
      <c r="D866" s="45"/>
      <c r="E866" s="45"/>
      <c r="F866" s="45"/>
      <c r="G866" s="52"/>
      <c r="H866" s="52"/>
      <c r="I866" s="45"/>
      <c r="J866" s="45"/>
      <c r="K866" s="45"/>
      <c r="L866" s="45"/>
      <c r="M866" s="45"/>
      <c r="N866" s="45"/>
      <c r="O866" s="45"/>
      <c r="P866" s="45"/>
      <c r="Q866" s="45"/>
      <c r="R866" s="45"/>
      <c r="S866" s="45"/>
      <c r="T866" s="45"/>
      <c r="U866" s="45"/>
      <c r="V866" s="45"/>
      <c r="W866" s="45"/>
      <c r="X866" s="45"/>
      <c r="Y866" s="45"/>
    </row>
    <row r="867" spans="1:25" ht="13.5" customHeight="1" x14ac:dyDescent="0.3">
      <c r="A867" s="45"/>
      <c r="B867" s="45"/>
      <c r="C867" s="52"/>
      <c r="D867" s="45"/>
      <c r="E867" s="45"/>
      <c r="F867" s="45"/>
      <c r="G867" s="52"/>
      <c r="H867" s="52"/>
      <c r="I867" s="45"/>
      <c r="J867" s="45"/>
      <c r="K867" s="45"/>
      <c r="L867" s="45"/>
      <c r="M867" s="45"/>
      <c r="N867" s="45"/>
      <c r="O867" s="45"/>
      <c r="P867" s="45"/>
      <c r="Q867" s="45"/>
      <c r="R867" s="45"/>
      <c r="S867" s="45"/>
      <c r="T867" s="45"/>
      <c r="U867" s="45"/>
      <c r="V867" s="45"/>
      <c r="W867" s="45"/>
      <c r="X867" s="45"/>
      <c r="Y867" s="45"/>
    </row>
    <row r="868" spans="1:25" ht="13.5" customHeight="1" x14ac:dyDescent="0.3">
      <c r="A868" s="45"/>
      <c r="B868" s="45"/>
      <c r="C868" s="52"/>
      <c r="D868" s="45"/>
      <c r="E868" s="45"/>
      <c r="F868" s="45"/>
      <c r="G868" s="52"/>
      <c r="H868" s="52"/>
      <c r="I868" s="45"/>
      <c r="J868" s="45"/>
      <c r="K868" s="45"/>
      <c r="L868" s="45"/>
      <c r="M868" s="45"/>
      <c r="N868" s="45"/>
      <c r="O868" s="45"/>
      <c r="P868" s="45"/>
      <c r="Q868" s="45"/>
      <c r="R868" s="45"/>
      <c r="S868" s="45"/>
      <c r="T868" s="45"/>
      <c r="U868" s="45"/>
      <c r="V868" s="45"/>
      <c r="W868" s="45"/>
      <c r="X868" s="45"/>
      <c r="Y868" s="45"/>
    </row>
    <row r="869" spans="1:25" ht="13.5" customHeight="1" x14ac:dyDescent="0.3">
      <c r="A869" s="45"/>
      <c r="B869" s="45"/>
      <c r="C869" s="52"/>
      <c r="D869" s="45"/>
      <c r="E869" s="45"/>
      <c r="F869" s="45"/>
      <c r="G869" s="52"/>
      <c r="H869" s="52"/>
      <c r="I869" s="45"/>
      <c r="J869" s="45"/>
      <c r="K869" s="45"/>
      <c r="L869" s="45"/>
      <c r="M869" s="45"/>
      <c r="N869" s="45"/>
      <c r="O869" s="45"/>
      <c r="P869" s="45"/>
      <c r="Q869" s="45"/>
      <c r="R869" s="45"/>
      <c r="S869" s="45"/>
      <c r="T869" s="45"/>
      <c r="U869" s="45"/>
      <c r="V869" s="45"/>
      <c r="W869" s="45"/>
      <c r="X869" s="45"/>
      <c r="Y869" s="45"/>
    </row>
    <row r="870" spans="1:25" ht="13.5" customHeight="1" x14ac:dyDescent="0.3">
      <c r="A870" s="45"/>
      <c r="B870" s="45"/>
      <c r="C870" s="52"/>
      <c r="D870" s="45"/>
      <c r="E870" s="45"/>
      <c r="F870" s="45"/>
      <c r="G870" s="52"/>
      <c r="H870" s="52"/>
      <c r="I870" s="45"/>
      <c r="J870" s="45"/>
      <c r="K870" s="45"/>
      <c r="L870" s="45"/>
      <c r="M870" s="45"/>
      <c r="N870" s="45"/>
      <c r="O870" s="45"/>
      <c r="P870" s="45"/>
      <c r="Q870" s="45"/>
      <c r="R870" s="45"/>
      <c r="S870" s="45"/>
      <c r="T870" s="45"/>
      <c r="U870" s="45"/>
      <c r="V870" s="45"/>
      <c r="W870" s="45"/>
      <c r="X870" s="45"/>
      <c r="Y870" s="45"/>
    </row>
    <row r="871" spans="1:25" ht="13.5" customHeight="1" x14ac:dyDescent="0.3">
      <c r="A871" s="45"/>
      <c r="B871" s="45"/>
      <c r="C871" s="52"/>
      <c r="D871" s="45"/>
      <c r="E871" s="45"/>
      <c r="F871" s="45"/>
      <c r="G871" s="52"/>
      <c r="H871" s="52"/>
      <c r="I871" s="45"/>
      <c r="J871" s="45"/>
      <c r="K871" s="45"/>
      <c r="L871" s="45"/>
      <c r="M871" s="45"/>
      <c r="N871" s="45"/>
      <c r="O871" s="45"/>
      <c r="P871" s="45"/>
      <c r="Q871" s="45"/>
      <c r="R871" s="45"/>
      <c r="S871" s="45"/>
      <c r="T871" s="45"/>
      <c r="U871" s="45"/>
      <c r="V871" s="45"/>
      <c r="W871" s="45"/>
      <c r="X871" s="45"/>
      <c r="Y871" s="45"/>
    </row>
    <row r="872" spans="1:25" ht="13.5" customHeight="1" x14ac:dyDescent="0.3">
      <c r="A872" s="45"/>
      <c r="B872" s="45"/>
      <c r="C872" s="52"/>
      <c r="D872" s="45"/>
      <c r="E872" s="45"/>
      <c r="F872" s="45"/>
      <c r="G872" s="52"/>
      <c r="H872" s="52"/>
      <c r="I872" s="45"/>
      <c r="J872" s="45"/>
      <c r="K872" s="45"/>
      <c r="L872" s="45"/>
      <c r="M872" s="45"/>
      <c r="N872" s="45"/>
      <c r="O872" s="45"/>
      <c r="P872" s="45"/>
      <c r="Q872" s="45"/>
      <c r="R872" s="45"/>
      <c r="S872" s="45"/>
      <c r="T872" s="45"/>
      <c r="U872" s="45"/>
      <c r="V872" s="45"/>
      <c r="W872" s="45"/>
      <c r="X872" s="45"/>
      <c r="Y872" s="45"/>
    </row>
    <row r="873" spans="1:25" ht="13.5" customHeight="1" x14ac:dyDescent="0.3">
      <c r="A873" s="45"/>
      <c r="B873" s="45"/>
      <c r="C873" s="52"/>
      <c r="D873" s="45"/>
      <c r="E873" s="45"/>
      <c r="F873" s="45"/>
      <c r="G873" s="52"/>
      <c r="H873" s="52"/>
      <c r="I873" s="45"/>
      <c r="J873" s="45"/>
      <c r="K873" s="45"/>
      <c r="L873" s="45"/>
      <c r="M873" s="45"/>
      <c r="N873" s="45"/>
      <c r="O873" s="45"/>
      <c r="P873" s="45"/>
      <c r="Q873" s="45"/>
      <c r="R873" s="45"/>
      <c r="S873" s="45"/>
      <c r="T873" s="45"/>
      <c r="U873" s="45"/>
      <c r="V873" s="45"/>
      <c r="W873" s="45"/>
      <c r="X873" s="45"/>
      <c r="Y873" s="45"/>
    </row>
    <row r="874" spans="1:25" ht="13.5" customHeight="1" x14ac:dyDescent="0.3">
      <c r="A874" s="45"/>
      <c r="B874" s="45"/>
      <c r="C874" s="52"/>
      <c r="D874" s="45"/>
      <c r="E874" s="45"/>
      <c r="F874" s="45"/>
      <c r="G874" s="52"/>
      <c r="H874" s="52"/>
      <c r="I874" s="45"/>
      <c r="J874" s="45"/>
      <c r="K874" s="45"/>
      <c r="L874" s="45"/>
      <c r="M874" s="45"/>
      <c r="N874" s="45"/>
      <c r="O874" s="45"/>
      <c r="P874" s="45"/>
      <c r="Q874" s="45"/>
      <c r="R874" s="45"/>
      <c r="S874" s="45"/>
      <c r="T874" s="45"/>
      <c r="U874" s="45"/>
      <c r="V874" s="45"/>
      <c r="W874" s="45"/>
      <c r="X874" s="45"/>
      <c r="Y874" s="45"/>
    </row>
    <row r="875" spans="1:25" ht="13.5" customHeight="1" x14ac:dyDescent="0.3">
      <c r="A875" s="45"/>
      <c r="B875" s="45"/>
      <c r="C875" s="52"/>
      <c r="D875" s="45"/>
      <c r="E875" s="45"/>
      <c r="F875" s="45"/>
      <c r="G875" s="52"/>
      <c r="H875" s="52"/>
      <c r="I875" s="45"/>
      <c r="J875" s="45"/>
      <c r="K875" s="45"/>
      <c r="L875" s="45"/>
      <c r="M875" s="45"/>
      <c r="N875" s="45"/>
      <c r="O875" s="45"/>
      <c r="P875" s="45"/>
      <c r="Q875" s="45"/>
      <c r="R875" s="45"/>
      <c r="S875" s="45"/>
      <c r="T875" s="45"/>
      <c r="U875" s="45"/>
      <c r="V875" s="45"/>
      <c r="W875" s="45"/>
      <c r="X875" s="45"/>
      <c r="Y875" s="45"/>
    </row>
    <row r="876" spans="1:25" ht="13.5" customHeight="1" x14ac:dyDescent="0.3">
      <c r="A876" s="45"/>
      <c r="B876" s="45"/>
      <c r="C876" s="52"/>
      <c r="D876" s="45"/>
      <c r="E876" s="45"/>
      <c r="F876" s="45"/>
      <c r="G876" s="52"/>
      <c r="H876" s="52"/>
      <c r="I876" s="45"/>
      <c r="J876" s="45"/>
      <c r="K876" s="45"/>
      <c r="L876" s="45"/>
      <c r="M876" s="45"/>
      <c r="N876" s="45"/>
      <c r="O876" s="45"/>
      <c r="P876" s="45"/>
      <c r="Q876" s="45"/>
      <c r="R876" s="45"/>
      <c r="S876" s="45"/>
      <c r="T876" s="45"/>
      <c r="U876" s="45"/>
      <c r="V876" s="45"/>
      <c r="W876" s="45"/>
      <c r="X876" s="45"/>
      <c r="Y876" s="45"/>
    </row>
    <row r="877" spans="1:25" ht="13.5" customHeight="1" x14ac:dyDescent="0.3">
      <c r="A877" s="45"/>
      <c r="B877" s="45"/>
      <c r="C877" s="52"/>
      <c r="D877" s="45"/>
      <c r="E877" s="45"/>
      <c r="F877" s="45"/>
      <c r="G877" s="52"/>
      <c r="H877" s="52"/>
      <c r="I877" s="45"/>
      <c r="J877" s="45"/>
      <c r="K877" s="45"/>
      <c r="L877" s="45"/>
      <c r="M877" s="45"/>
      <c r="N877" s="45"/>
      <c r="O877" s="45"/>
      <c r="P877" s="45"/>
      <c r="Q877" s="45"/>
      <c r="R877" s="45"/>
      <c r="S877" s="45"/>
      <c r="T877" s="45"/>
      <c r="U877" s="45"/>
      <c r="V877" s="45"/>
      <c r="W877" s="45"/>
      <c r="X877" s="45"/>
      <c r="Y877" s="45"/>
    </row>
    <row r="878" spans="1:25" ht="13.5" customHeight="1" x14ac:dyDescent="0.3">
      <c r="A878" s="45"/>
      <c r="B878" s="45"/>
      <c r="C878" s="52"/>
      <c r="D878" s="45"/>
      <c r="E878" s="45"/>
      <c r="F878" s="45"/>
      <c r="G878" s="52"/>
      <c r="H878" s="52"/>
      <c r="I878" s="45"/>
      <c r="J878" s="45"/>
      <c r="K878" s="45"/>
      <c r="L878" s="45"/>
      <c r="M878" s="45"/>
      <c r="N878" s="45"/>
      <c r="O878" s="45"/>
      <c r="P878" s="45"/>
      <c r="Q878" s="45"/>
      <c r="R878" s="45"/>
      <c r="S878" s="45"/>
      <c r="T878" s="45"/>
      <c r="U878" s="45"/>
      <c r="V878" s="45"/>
      <c r="W878" s="45"/>
      <c r="X878" s="45"/>
      <c r="Y878" s="45"/>
    </row>
    <row r="879" spans="1:25" ht="13.5" customHeight="1" x14ac:dyDescent="0.3">
      <c r="A879" s="45"/>
      <c r="B879" s="45"/>
      <c r="C879" s="52"/>
      <c r="D879" s="45"/>
      <c r="E879" s="45"/>
      <c r="F879" s="45"/>
      <c r="G879" s="52"/>
      <c r="H879" s="52"/>
      <c r="I879" s="45"/>
      <c r="J879" s="45"/>
      <c r="K879" s="45"/>
      <c r="L879" s="45"/>
      <c r="M879" s="45"/>
      <c r="N879" s="45"/>
      <c r="O879" s="45"/>
      <c r="P879" s="45"/>
      <c r="Q879" s="45"/>
      <c r="R879" s="45"/>
      <c r="S879" s="45"/>
      <c r="T879" s="45"/>
      <c r="U879" s="45"/>
      <c r="V879" s="45"/>
      <c r="W879" s="45"/>
      <c r="X879" s="45"/>
      <c r="Y879" s="45"/>
    </row>
    <row r="880" spans="1:25" ht="13.5" customHeight="1" x14ac:dyDescent="0.3">
      <c r="A880" s="45"/>
      <c r="B880" s="45"/>
      <c r="C880" s="52"/>
      <c r="D880" s="45"/>
      <c r="E880" s="45"/>
      <c r="F880" s="45"/>
      <c r="G880" s="52"/>
      <c r="H880" s="52"/>
      <c r="I880" s="45"/>
      <c r="J880" s="45"/>
      <c r="K880" s="45"/>
      <c r="L880" s="45"/>
      <c r="M880" s="45"/>
      <c r="N880" s="45"/>
      <c r="O880" s="45"/>
      <c r="P880" s="45"/>
      <c r="Q880" s="45"/>
      <c r="R880" s="45"/>
      <c r="S880" s="45"/>
      <c r="T880" s="45"/>
      <c r="U880" s="45"/>
      <c r="V880" s="45"/>
      <c r="W880" s="45"/>
      <c r="X880" s="45"/>
      <c r="Y880" s="45"/>
    </row>
    <row r="881" spans="1:25" ht="13.5" customHeight="1" x14ac:dyDescent="0.3">
      <c r="A881" s="45"/>
      <c r="B881" s="45"/>
      <c r="C881" s="52"/>
      <c r="D881" s="45"/>
      <c r="E881" s="45"/>
      <c r="F881" s="45"/>
      <c r="G881" s="52"/>
      <c r="H881" s="52"/>
      <c r="I881" s="45"/>
      <c r="J881" s="45"/>
      <c r="K881" s="45"/>
      <c r="L881" s="45"/>
      <c r="M881" s="45"/>
      <c r="N881" s="45"/>
      <c r="O881" s="45"/>
      <c r="P881" s="45"/>
      <c r="Q881" s="45"/>
      <c r="R881" s="45"/>
      <c r="S881" s="45"/>
      <c r="T881" s="45"/>
      <c r="U881" s="45"/>
      <c r="V881" s="45"/>
      <c r="W881" s="45"/>
      <c r="X881" s="45"/>
      <c r="Y881" s="45"/>
    </row>
    <row r="882" spans="1:25" ht="13.5" customHeight="1" x14ac:dyDescent="0.3">
      <c r="A882" s="45"/>
      <c r="B882" s="45"/>
      <c r="C882" s="52"/>
      <c r="D882" s="45"/>
      <c r="E882" s="45"/>
      <c r="F882" s="45"/>
      <c r="G882" s="52"/>
      <c r="H882" s="52"/>
      <c r="I882" s="45"/>
      <c r="J882" s="45"/>
      <c r="K882" s="45"/>
      <c r="L882" s="45"/>
      <c r="M882" s="45"/>
      <c r="N882" s="45"/>
      <c r="O882" s="45"/>
      <c r="P882" s="45"/>
      <c r="Q882" s="45"/>
      <c r="R882" s="45"/>
      <c r="S882" s="45"/>
      <c r="T882" s="45"/>
      <c r="U882" s="45"/>
      <c r="V882" s="45"/>
      <c r="W882" s="45"/>
      <c r="X882" s="45"/>
      <c r="Y882" s="45"/>
    </row>
    <row r="883" spans="1:25" ht="13.5" customHeight="1" x14ac:dyDescent="0.3">
      <c r="A883" s="45"/>
      <c r="B883" s="45"/>
      <c r="C883" s="52"/>
      <c r="D883" s="45"/>
      <c r="E883" s="45"/>
      <c r="F883" s="45"/>
      <c r="G883" s="52"/>
      <c r="H883" s="52"/>
      <c r="I883" s="45"/>
      <c r="J883" s="45"/>
      <c r="K883" s="45"/>
      <c r="L883" s="45"/>
      <c r="M883" s="45"/>
      <c r="N883" s="45"/>
      <c r="O883" s="45"/>
      <c r="P883" s="45"/>
      <c r="Q883" s="45"/>
      <c r="R883" s="45"/>
      <c r="S883" s="45"/>
      <c r="T883" s="45"/>
      <c r="U883" s="45"/>
      <c r="V883" s="45"/>
      <c r="W883" s="45"/>
      <c r="X883" s="45"/>
      <c r="Y883" s="45"/>
    </row>
    <row r="884" spans="1:25" ht="13.5" customHeight="1" x14ac:dyDescent="0.3">
      <c r="A884" s="45"/>
      <c r="B884" s="45"/>
      <c r="C884" s="52"/>
      <c r="D884" s="45"/>
      <c r="E884" s="45"/>
      <c r="F884" s="45"/>
      <c r="G884" s="52"/>
      <c r="H884" s="52"/>
      <c r="I884" s="45"/>
      <c r="J884" s="45"/>
      <c r="K884" s="45"/>
      <c r="L884" s="45"/>
      <c r="M884" s="45"/>
      <c r="N884" s="45"/>
      <c r="O884" s="45"/>
      <c r="P884" s="45"/>
      <c r="Q884" s="45"/>
      <c r="R884" s="45"/>
      <c r="S884" s="45"/>
      <c r="T884" s="45"/>
      <c r="U884" s="45"/>
      <c r="V884" s="45"/>
      <c r="W884" s="45"/>
      <c r="X884" s="45"/>
      <c r="Y884" s="45"/>
    </row>
    <row r="885" spans="1:25" ht="13.5" customHeight="1" x14ac:dyDescent="0.3">
      <c r="A885" s="45"/>
      <c r="B885" s="45"/>
      <c r="C885" s="52"/>
      <c r="D885" s="45"/>
      <c r="E885" s="45"/>
      <c r="F885" s="45"/>
      <c r="G885" s="52"/>
      <c r="H885" s="52"/>
      <c r="I885" s="45"/>
      <c r="J885" s="45"/>
      <c r="K885" s="45"/>
      <c r="L885" s="45"/>
      <c r="M885" s="45"/>
      <c r="N885" s="45"/>
      <c r="O885" s="45"/>
      <c r="P885" s="45"/>
      <c r="Q885" s="45"/>
      <c r="R885" s="45"/>
      <c r="S885" s="45"/>
      <c r="T885" s="45"/>
      <c r="U885" s="45"/>
      <c r="V885" s="45"/>
      <c r="W885" s="45"/>
      <c r="X885" s="45"/>
      <c r="Y885" s="45"/>
    </row>
    <row r="886" spans="1:25" ht="13.5" customHeight="1" x14ac:dyDescent="0.3">
      <c r="A886" s="45"/>
      <c r="B886" s="45"/>
      <c r="C886" s="52"/>
      <c r="D886" s="45"/>
      <c r="E886" s="45"/>
      <c r="F886" s="45"/>
      <c r="G886" s="52"/>
      <c r="H886" s="52"/>
      <c r="I886" s="45"/>
      <c r="J886" s="45"/>
      <c r="K886" s="45"/>
      <c r="L886" s="45"/>
      <c r="M886" s="45"/>
      <c r="N886" s="45"/>
      <c r="O886" s="45"/>
      <c r="P886" s="45"/>
      <c r="Q886" s="45"/>
      <c r="R886" s="45"/>
      <c r="S886" s="45"/>
      <c r="T886" s="45"/>
      <c r="U886" s="45"/>
      <c r="V886" s="45"/>
      <c r="W886" s="45"/>
      <c r="X886" s="45"/>
      <c r="Y886" s="45"/>
    </row>
    <row r="887" spans="1:25" ht="13.5" customHeight="1" x14ac:dyDescent="0.3">
      <c r="A887" s="45"/>
      <c r="B887" s="45"/>
      <c r="C887" s="52"/>
      <c r="D887" s="45"/>
      <c r="E887" s="45"/>
      <c r="F887" s="45"/>
      <c r="G887" s="52"/>
      <c r="H887" s="52"/>
      <c r="I887" s="45"/>
      <c r="J887" s="45"/>
      <c r="K887" s="45"/>
      <c r="L887" s="45"/>
      <c r="M887" s="45"/>
      <c r="N887" s="45"/>
      <c r="O887" s="45"/>
      <c r="P887" s="45"/>
      <c r="Q887" s="45"/>
      <c r="R887" s="45"/>
      <c r="S887" s="45"/>
      <c r="T887" s="45"/>
      <c r="U887" s="45"/>
      <c r="V887" s="45"/>
      <c r="W887" s="45"/>
      <c r="X887" s="45"/>
      <c r="Y887" s="45"/>
    </row>
    <row r="888" spans="1:25" ht="13.5" customHeight="1" x14ac:dyDescent="0.3">
      <c r="A888" s="45"/>
      <c r="B888" s="45"/>
      <c r="C888" s="52"/>
      <c r="D888" s="45"/>
      <c r="E888" s="45"/>
      <c r="F888" s="45"/>
      <c r="G888" s="52"/>
      <c r="H888" s="52"/>
      <c r="I888" s="45"/>
      <c r="J888" s="45"/>
      <c r="K888" s="45"/>
      <c r="L888" s="45"/>
      <c r="M888" s="45"/>
      <c r="N888" s="45"/>
      <c r="O888" s="45"/>
      <c r="P888" s="45"/>
      <c r="Q888" s="45"/>
      <c r="R888" s="45"/>
      <c r="S888" s="45"/>
      <c r="T888" s="45"/>
      <c r="U888" s="45"/>
      <c r="V888" s="45"/>
      <c r="W888" s="45"/>
      <c r="X888" s="45"/>
      <c r="Y888" s="45"/>
    </row>
    <row r="889" spans="1:25" ht="13.5" customHeight="1" x14ac:dyDescent="0.3">
      <c r="A889" s="45"/>
      <c r="B889" s="45"/>
      <c r="C889" s="52"/>
      <c r="D889" s="45"/>
      <c r="E889" s="45"/>
      <c r="F889" s="45"/>
      <c r="G889" s="52"/>
      <c r="H889" s="52"/>
      <c r="I889" s="45"/>
      <c r="J889" s="45"/>
      <c r="K889" s="45"/>
      <c r="L889" s="45"/>
      <c r="M889" s="45"/>
      <c r="N889" s="45"/>
      <c r="O889" s="45"/>
      <c r="P889" s="45"/>
      <c r="Q889" s="45"/>
      <c r="R889" s="45"/>
      <c r="S889" s="45"/>
      <c r="T889" s="45"/>
      <c r="U889" s="45"/>
      <c r="V889" s="45"/>
      <c r="W889" s="45"/>
      <c r="X889" s="45"/>
      <c r="Y889" s="45"/>
    </row>
    <row r="890" spans="1:25" ht="13.5" customHeight="1" x14ac:dyDescent="0.3">
      <c r="A890" s="45"/>
      <c r="B890" s="45"/>
      <c r="C890" s="52"/>
      <c r="D890" s="45"/>
      <c r="E890" s="45"/>
      <c r="F890" s="45"/>
      <c r="G890" s="52"/>
      <c r="H890" s="52"/>
      <c r="I890" s="45"/>
      <c r="J890" s="45"/>
      <c r="K890" s="45"/>
      <c r="L890" s="45"/>
      <c r="M890" s="45"/>
      <c r="N890" s="45"/>
      <c r="O890" s="45"/>
      <c r="P890" s="45"/>
      <c r="Q890" s="45"/>
      <c r="R890" s="45"/>
      <c r="S890" s="45"/>
      <c r="T890" s="45"/>
      <c r="U890" s="45"/>
      <c r="V890" s="45"/>
      <c r="W890" s="45"/>
      <c r="X890" s="45"/>
      <c r="Y890" s="45"/>
    </row>
    <row r="891" spans="1:25" ht="13.5" customHeight="1" x14ac:dyDescent="0.3">
      <c r="A891" s="45"/>
      <c r="B891" s="45"/>
      <c r="C891" s="52"/>
      <c r="D891" s="45"/>
      <c r="E891" s="45"/>
      <c r="F891" s="45"/>
      <c r="G891" s="52"/>
      <c r="H891" s="52"/>
      <c r="I891" s="45"/>
      <c r="J891" s="45"/>
      <c r="K891" s="45"/>
      <c r="L891" s="45"/>
      <c r="M891" s="45"/>
      <c r="N891" s="45"/>
      <c r="O891" s="45"/>
      <c r="P891" s="45"/>
      <c r="Q891" s="45"/>
      <c r="R891" s="45"/>
      <c r="S891" s="45"/>
      <c r="T891" s="45"/>
      <c r="U891" s="45"/>
      <c r="V891" s="45"/>
      <c r="W891" s="45"/>
      <c r="X891" s="45"/>
      <c r="Y891" s="45"/>
    </row>
    <row r="892" spans="1:25" ht="13.5" customHeight="1" x14ac:dyDescent="0.3">
      <c r="A892" s="45"/>
      <c r="B892" s="45"/>
      <c r="C892" s="52"/>
      <c r="D892" s="45"/>
      <c r="E892" s="45"/>
      <c r="F892" s="45"/>
      <c r="G892" s="52"/>
      <c r="H892" s="52"/>
      <c r="I892" s="45"/>
      <c r="J892" s="45"/>
      <c r="K892" s="45"/>
      <c r="L892" s="45"/>
      <c r="M892" s="45"/>
      <c r="N892" s="45"/>
      <c r="O892" s="45"/>
      <c r="P892" s="45"/>
      <c r="Q892" s="45"/>
      <c r="R892" s="45"/>
      <c r="S892" s="45"/>
      <c r="T892" s="45"/>
      <c r="U892" s="45"/>
      <c r="V892" s="45"/>
      <c r="W892" s="45"/>
      <c r="X892" s="45"/>
      <c r="Y892" s="45"/>
    </row>
    <row r="893" spans="1:25" ht="13.5" customHeight="1" x14ac:dyDescent="0.3">
      <c r="A893" s="45"/>
      <c r="B893" s="45"/>
      <c r="C893" s="52"/>
      <c r="D893" s="45"/>
      <c r="E893" s="45"/>
      <c r="F893" s="45"/>
      <c r="G893" s="52"/>
      <c r="H893" s="52"/>
      <c r="I893" s="45"/>
      <c r="J893" s="45"/>
      <c r="K893" s="45"/>
      <c r="L893" s="45"/>
      <c r="M893" s="45"/>
      <c r="N893" s="45"/>
      <c r="O893" s="45"/>
      <c r="P893" s="45"/>
      <c r="Q893" s="45"/>
      <c r="R893" s="45"/>
      <c r="S893" s="45"/>
      <c r="T893" s="45"/>
      <c r="U893" s="45"/>
      <c r="V893" s="45"/>
      <c r="W893" s="45"/>
      <c r="X893" s="45"/>
      <c r="Y893" s="45"/>
    </row>
    <row r="894" spans="1:25" ht="13.5" customHeight="1" x14ac:dyDescent="0.3">
      <c r="A894" s="45"/>
      <c r="B894" s="45"/>
      <c r="C894" s="52"/>
      <c r="D894" s="45"/>
      <c r="E894" s="45"/>
      <c r="F894" s="45"/>
      <c r="G894" s="52"/>
      <c r="H894" s="52"/>
      <c r="I894" s="45"/>
      <c r="J894" s="45"/>
      <c r="K894" s="45"/>
      <c r="L894" s="45"/>
      <c r="M894" s="45"/>
      <c r="N894" s="45"/>
      <c r="O894" s="45"/>
      <c r="P894" s="45"/>
      <c r="Q894" s="45"/>
      <c r="R894" s="45"/>
      <c r="S894" s="45"/>
      <c r="T894" s="45"/>
      <c r="U894" s="45"/>
      <c r="V894" s="45"/>
      <c r="W894" s="45"/>
      <c r="X894" s="45"/>
      <c r="Y894" s="45"/>
    </row>
    <row r="895" spans="1:25" ht="13.5" customHeight="1" x14ac:dyDescent="0.3">
      <c r="A895" s="45"/>
      <c r="B895" s="45"/>
      <c r="C895" s="52"/>
      <c r="D895" s="45"/>
      <c r="E895" s="45"/>
      <c r="F895" s="45"/>
      <c r="G895" s="52"/>
      <c r="H895" s="52"/>
      <c r="I895" s="45"/>
      <c r="J895" s="45"/>
      <c r="K895" s="45"/>
      <c r="L895" s="45"/>
      <c r="M895" s="45"/>
      <c r="N895" s="45"/>
      <c r="O895" s="45"/>
      <c r="P895" s="45"/>
      <c r="Q895" s="45"/>
      <c r="R895" s="45"/>
      <c r="S895" s="45"/>
      <c r="T895" s="45"/>
      <c r="U895" s="45"/>
      <c r="V895" s="45"/>
      <c r="W895" s="45"/>
      <c r="X895" s="45"/>
      <c r="Y895" s="45"/>
    </row>
    <row r="896" spans="1:25" ht="13.5" customHeight="1" x14ac:dyDescent="0.3">
      <c r="A896" s="45"/>
      <c r="B896" s="45"/>
      <c r="C896" s="52"/>
      <c r="D896" s="45"/>
      <c r="E896" s="45"/>
      <c r="F896" s="45"/>
      <c r="G896" s="52"/>
      <c r="H896" s="52"/>
      <c r="I896" s="45"/>
      <c r="J896" s="45"/>
      <c r="K896" s="45"/>
      <c r="L896" s="45"/>
      <c r="M896" s="45"/>
      <c r="N896" s="45"/>
      <c r="O896" s="45"/>
      <c r="P896" s="45"/>
      <c r="Q896" s="45"/>
      <c r="R896" s="45"/>
      <c r="S896" s="45"/>
      <c r="T896" s="45"/>
      <c r="U896" s="45"/>
      <c r="V896" s="45"/>
      <c r="W896" s="45"/>
      <c r="X896" s="45"/>
      <c r="Y896" s="45"/>
    </row>
    <row r="897" spans="1:25" ht="13.5" customHeight="1" x14ac:dyDescent="0.3">
      <c r="A897" s="45"/>
      <c r="B897" s="45"/>
      <c r="C897" s="52"/>
      <c r="D897" s="45"/>
      <c r="E897" s="45"/>
      <c r="F897" s="45"/>
      <c r="G897" s="52"/>
      <c r="H897" s="52"/>
      <c r="I897" s="45"/>
      <c r="J897" s="45"/>
      <c r="K897" s="45"/>
      <c r="L897" s="45"/>
      <c r="M897" s="45"/>
      <c r="N897" s="45"/>
      <c r="O897" s="45"/>
      <c r="P897" s="45"/>
      <c r="Q897" s="45"/>
      <c r="R897" s="45"/>
      <c r="S897" s="45"/>
      <c r="T897" s="45"/>
      <c r="U897" s="45"/>
      <c r="V897" s="45"/>
      <c r="W897" s="45"/>
      <c r="X897" s="45"/>
      <c r="Y897" s="45"/>
    </row>
    <row r="898" spans="1:25" ht="13.5" customHeight="1" x14ac:dyDescent="0.3">
      <c r="A898" s="45"/>
      <c r="B898" s="45"/>
      <c r="C898" s="52"/>
      <c r="D898" s="45"/>
      <c r="E898" s="45"/>
      <c r="F898" s="45"/>
      <c r="G898" s="52"/>
      <c r="H898" s="52"/>
      <c r="I898" s="45"/>
      <c r="J898" s="45"/>
      <c r="K898" s="45"/>
      <c r="L898" s="45"/>
      <c r="M898" s="45"/>
      <c r="N898" s="45"/>
      <c r="O898" s="45"/>
      <c r="P898" s="45"/>
      <c r="Q898" s="45"/>
      <c r="R898" s="45"/>
      <c r="S898" s="45"/>
      <c r="T898" s="45"/>
      <c r="U898" s="45"/>
      <c r="V898" s="45"/>
      <c r="W898" s="45"/>
      <c r="X898" s="45"/>
      <c r="Y898" s="45"/>
    </row>
    <row r="899" spans="1:25" ht="13.5" customHeight="1" x14ac:dyDescent="0.3">
      <c r="A899" s="45"/>
      <c r="B899" s="45"/>
      <c r="C899" s="52"/>
      <c r="D899" s="45"/>
      <c r="E899" s="45"/>
      <c r="F899" s="45"/>
      <c r="G899" s="52"/>
      <c r="H899" s="52"/>
      <c r="I899" s="45"/>
      <c r="J899" s="45"/>
      <c r="K899" s="45"/>
      <c r="L899" s="45"/>
      <c r="M899" s="45"/>
      <c r="N899" s="45"/>
      <c r="O899" s="45"/>
      <c r="P899" s="45"/>
      <c r="Q899" s="45"/>
      <c r="R899" s="45"/>
      <c r="S899" s="45"/>
      <c r="T899" s="45"/>
      <c r="U899" s="45"/>
      <c r="V899" s="45"/>
      <c r="W899" s="45"/>
      <c r="X899" s="45"/>
      <c r="Y899" s="45"/>
    </row>
    <row r="900" spans="1:25" ht="13.5" customHeight="1" x14ac:dyDescent="0.3">
      <c r="A900" s="45"/>
      <c r="B900" s="45"/>
      <c r="C900" s="52"/>
      <c r="D900" s="45"/>
      <c r="E900" s="45"/>
      <c r="F900" s="45"/>
      <c r="G900" s="52"/>
      <c r="H900" s="52"/>
      <c r="I900" s="45"/>
      <c r="J900" s="45"/>
      <c r="K900" s="45"/>
      <c r="L900" s="45"/>
      <c r="M900" s="45"/>
      <c r="N900" s="45"/>
      <c r="O900" s="45"/>
      <c r="P900" s="45"/>
      <c r="Q900" s="45"/>
      <c r="R900" s="45"/>
      <c r="S900" s="45"/>
      <c r="T900" s="45"/>
      <c r="U900" s="45"/>
      <c r="V900" s="45"/>
      <c r="W900" s="45"/>
      <c r="X900" s="45"/>
      <c r="Y900" s="45"/>
    </row>
    <row r="901" spans="1:25" ht="13.5" customHeight="1" x14ac:dyDescent="0.3">
      <c r="A901" s="45"/>
      <c r="B901" s="45"/>
      <c r="C901" s="52"/>
      <c r="D901" s="45"/>
      <c r="E901" s="45"/>
      <c r="F901" s="45"/>
      <c r="G901" s="52"/>
      <c r="H901" s="52"/>
      <c r="I901" s="45"/>
      <c r="J901" s="45"/>
      <c r="K901" s="45"/>
      <c r="L901" s="45"/>
      <c r="M901" s="45"/>
      <c r="N901" s="45"/>
      <c r="O901" s="45"/>
      <c r="P901" s="45"/>
      <c r="Q901" s="45"/>
      <c r="R901" s="45"/>
      <c r="S901" s="45"/>
      <c r="T901" s="45"/>
      <c r="U901" s="45"/>
      <c r="V901" s="45"/>
      <c r="W901" s="45"/>
      <c r="X901" s="45"/>
      <c r="Y901" s="45"/>
    </row>
    <row r="902" spans="1:25" ht="13.5" customHeight="1" x14ac:dyDescent="0.3">
      <c r="A902" s="45"/>
      <c r="B902" s="45"/>
      <c r="C902" s="52"/>
      <c r="D902" s="45"/>
      <c r="E902" s="45"/>
      <c r="F902" s="45"/>
      <c r="G902" s="52"/>
      <c r="H902" s="52"/>
      <c r="I902" s="45"/>
      <c r="J902" s="45"/>
      <c r="K902" s="45"/>
      <c r="L902" s="45"/>
      <c r="M902" s="45"/>
      <c r="N902" s="45"/>
      <c r="O902" s="45"/>
      <c r="P902" s="45"/>
      <c r="Q902" s="45"/>
      <c r="R902" s="45"/>
      <c r="S902" s="45"/>
      <c r="T902" s="45"/>
      <c r="U902" s="45"/>
      <c r="V902" s="45"/>
      <c r="W902" s="45"/>
      <c r="X902" s="45"/>
      <c r="Y902" s="45"/>
    </row>
    <row r="903" spans="1:25" ht="13.5" customHeight="1" x14ac:dyDescent="0.3">
      <c r="A903" s="45"/>
      <c r="B903" s="45"/>
      <c r="C903" s="52"/>
      <c r="D903" s="45"/>
      <c r="E903" s="45"/>
      <c r="F903" s="45"/>
      <c r="G903" s="52"/>
      <c r="H903" s="52"/>
      <c r="I903" s="45"/>
      <c r="J903" s="45"/>
      <c r="K903" s="45"/>
      <c r="L903" s="45"/>
      <c r="M903" s="45"/>
      <c r="N903" s="45"/>
      <c r="O903" s="45"/>
      <c r="P903" s="45"/>
      <c r="Q903" s="45"/>
      <c r="R903" s="45"/>
      <c r="S903" s="45"/>
      <c r="T903" s="45"/>
      <c r="U903" s="45"/>
      <c r="V903" s="45"/>
      <c r="W903" s="45"/>
      <c r="X903" s="45"/>
      <c r="Y903" s="45"/>
    </row>
    <row r="904" spans="1:25" ht="13.5" customHeight="1" x14ac:dyDescent="0.3">
      <c r="A904" s="45"/>
      <c r="B904" s="45"/>
      <c r="C904" s="52"/>
      <c r="D904" s="45"/>
      <c r="E904" s="45"/>
      <c r="F904" s="45"/>
      <c r="G904" s="52"/>
      <c r="H904" s="52"/>
      <c r="I904" s="45"/>
      <c r="J904" s="45"/>
      <c r="K904" s="45"/>
      <c r="L904" s="45"/>
      <c r="M904" s="45"/>
      <c r="N904" s="45"/>
      <c r="O904" s="45"/>
      <c r="P904" s="45"/>
      <c r="Q904" s="45"/>
      <c r="R904" s="45"/>
      <c r="S904" s="45"/>
      <c r="T904" s="45"/>
      <c r="U904" s="45"/>
      <c r="V904" s="45"/>
      <c r="W904" s="45"/>
      <c r="X904" s="45"/>
      <c r="Y904" s="45"/>
    </row>
    <row r="905" spans="1:25" ht="13.5" customHeight="1" x14ac:dyDescent="0.3">
      <c r="A905" s="45"/>
      <c r="B905" s="45"/>
      <c r="C905" s="52"/>
      <c r="D905" s="45"/>
      <c r="E905" s="45"/>
      <c r="F905" s="45"/>
      <c r="G905" s="52"/>
      <c r="H905" s="52"/>
      <c r="I905" s="45"/>
      <c r="J905" s="45"/>
      <c r="K905" s="45"/>
      <c r="L905" s="45"/>
      <c r="M905" s="45"/>
      <c r="N905" s="45"/>
      <c r="O905" s="45"/>
      <c r="P905" s="45"/>
      <c r="Q905" s="45"/>
      <c r="R905" s="45"/>
      <c r="S905" s="45"/>
      <c r="T905" s="45"/>
      <c r="U905" s="45"/>
      <c r="V905" s="45"/>
      <c r="W905" s="45"/>
      <c r="X905" s="45"/>
      <c r="Y905" s="45"/>
    </row>
    <row r="906" spans="1:25" ht="13.5" customHeight="1" x14ac:dyDescent="0.3">
      <c r="A906" s="45"/>
      <c r="B906" s="45"/>
      <c r="C906" s="52"/>
      <c r="D906" s="45"/>
      <c r="E906" s="45"/>
      <c r="F906" s="45"/>
      <c r="G906" s="52"/>
      <c r="H906" s="52"/>
      <c r="I906" s="45"/>
      <c r="J906" s="45"/>
      <c r="K906" s="45"/>
      <c r="L906" s="45"/>
      <c r="M906" s="45"/>
      <c r="N906" s="45"/>
      <c r="O906" s="45"/>
      <c r="P906" s="45"/>
      <c r="Q906" s="45"/>
      <c r="R906" s="45"/>
      <c r="S906" s="45"/>
      <c r="T906" s="45"/>
      <c r="U906" s="45"/>
      <c r="V906" s="45"/>
      <c r="W906" s="45"/>
      <c r="X906" s="45"/>
      <c r="Y906" s="45"/>
    </row>
    <row r="907" spans="1:25" ht="13.5" customHeight="1" x14ac:dyDescent="0.3">
      <c r="A907" s="45"/>
      <c r="B907" s="45"/>
      <c r="C907" s="52"/>
      <c r="D907" s="45"/>
      <c r="E907" s="45"/>
      <c r="F907" s="45"/>
      <c r="G907" s="52"/>
      <c r="H907" s="52"/>
      <c r="I907" s="45"/>
      <c r="J907" s="45"/>
      <c r="K907" s="45"/>
      <c r="L907" s="45"/>
      <c r="M907" s="45"/>
      <c r="N907" s="45"/>
      <c r="O907" s="45"/>
      <c r="P907" s="45"/>
      <c r="Q907" s="45"/>
      <c r="R907" s="45"/>
      <c r="S907" s="45"/>
      <c r="T907" s="45"/>
      <c r="U907" s="45"/>
      <c r="V907" s="45"/>
      <c r="W907" s="45"/>
      <c r="X907" s="45"/>
      <c r="Y907" s="45"/>
    </row>
    <row r="908" spans="1:25" ht="13.5" customHeight="1" x14ac:dyDescent="0.3">
      <c r="A908" s="45"/>
      <c r="B908" s="45"/>
      <c r="C908" s="52"/>
      <c r="D908" s="45"/>
      <c r="E908" s="45"/>
      <c r="F908" s="45"/>
      <c r="G908" s="52"/>
      <c r="H908" s="52"/>
      <c r="I908" s="45"/>
      <c r="J908" s="45"/>
      <c r="K908" s="45"/>
      <c r="L908" s="45"/>
      <c r="M908" s="45"/>
      <c r="N908" s="45"/>
      <c r="O908" s="45"/>
      <c r="P908" s="45"/>
      <c r="Q908" s="45"/>
      <c r="R908" s="45"/>
      <c r="S908" s="45"/>
      <c r="T908" s="45"/>
      <c r="U908" s="45"/>
      <c r="V908" s="45"/>
      <c r="W908" s="45"/>
      <c r="X908" s="45"/>
      <c r="Y908" s="45"/>
    </row>
    <row r="909" spans="1:25" ht="13.5" customHeight="1" x14ac:dyDescent="0.3">
      <c r="A909" s="45"/>
      <c r="B909" s="45"/>
      <c r="C909" s="52"/>
      <c r="D909" s="45"/>
      <c r="E909" s="45"/>
      <c r="F909" s="45"/>
      <c r="G909" s="52"/>
      <c r="H909" s="52"/>
      <c r="I909" s="45"/>
      <c r="J909" s="45"/>
      <c r="K909" s="45"/>
      <c r="L909" s="45"/>
      <c r="M909" s="45"/>
      <c r="N909" s="45"/>
      <c r="O909" s="45"/>
      <c r="P909" s="45"/>
      <c r="Q909" s="45"/>
      <c r="R909" s="45"/>
      <c r="S909" s="45"/>
      <c r="T909" s="45"/>
      <c r="U909" s="45"/>
      <c r="V909" s="45"/>
      <c r="W909" s="45"/>
      <c r="X909" s="45"/>
      <c r="Y909" s="45"/>
    </row>
    <row r="910" spans="1:25" ht="13.5" customHeight="1" x14ac:dyDescent="0.3">
      <c r="A910" s="45"/>
      <c r="B910" s="45"/>
      <c r="C910" s="52"/>
      <c r="D910" s="45"/>
      <c r="E910" s="45"/>
      <c r="F910" s="45"/>
      <c r="G910" s="52"/>
      <c r="H910" s="52"/>
      <c r="I910" s="45"/>
      <c r="J910" s="45"/>
      <c r="K910" s="45"/>
      <c r="L910" s="45"/>
      <c r="M910" s="45"/>
      <c r="N910" s="45"/>
      <c r="O910" s="45"/>
      <c r="P910" s="45"/>
      <c r="Q910" s="45"/>
      <c r="R910" s="45"/>
      <c r="S910" s="45"/>
      <c r="T910" s="45"/>
      <c r="U910" s="45"/>
      <c r="V910" s="45"/>
      <c r="W910" s="45"/>
      <c r="X910" s="45"/>
      <c r="Y910" s="45"/>
    </row>
    <row r="911" spans="1:25" ht="13.5" customHeight="1" x14ac:dyDescent="0.3">
      <c r="A911" s="45"/>
      <c r="B911" s="45"/>
      <c r="C911" s="52"/>
      <c r="D911" s="45"/>
      <c r="E911" s="45"/>
      <c r="F911" s="45"/>
      <c r="G911" s="52"/>
      <c r="H911" s="52"/>
      <c r="I911" s="45"/>
      <c r="J911" s="45"/>
      <c r="K911" s="45"/>
      <c r="L911" s="45"/>
      <c r="M911" s="45"/>
      <c r="N911" s="45"/>
      <c r="O911" s="45"/>
      <c r="P911" s="45"/>
      <c r="Q911" s="45"/>
      <c r="R911" s="45"/>
      <c r="S911" s="45"/>
      <c r="T911" s="45"/>
      <c r="U911" s="45"/>
      <c r="V911" s="45"/>
      <c r="W911" s="45"/>
      <c r="X911" s="45"/>
      <c r="Y911" s="45"/>
    </row>
    <row r="912" spans="1:25" ht="13.5" customHeight="1" x14ac:dyDescent="0.3">
      <c r="A912" s="45"/>
      <c r="B912" s="45"/>
      <c r="C912" s="52"/>
      <c r="D912" s="45"/>
      <c r="E912" s="45"/>
      <c r="F912" s="45"/>
      <c r="G912" s="52"/>
      <c r="H912" s="52"/>
      <c r="I912" s="45"/>
      <c r="J912" s="45"/>
      <c r="K912" s="45"/>
      <c r="L912" s="45"/>
      <c r="M912" s="45"/>
      <c r="N912" s="45"/>
      <c r="O912" s="45"/>
      <c r="P912" s="45"/>
      <c r="Q912" s="45"/>
      <c r="R912" s="45"/>
      <c r="S912" s="45"/>
      <c r="T912" s="45"/>
      <c r="U912" s="45"/>
      <c r="V912" s="45"/>
      <c r="W912" s="45"/>
      <c r="X912" s="45"/>
      <c r="Y912" s="45"/>
    </row>
    <row r="913" spans="1:25" ht="13.5" customHeight="1" x14ac:dyDescent="0.3">
      <c r="A913" s="45"/>
      <c r="B913" s="45"/>
      <c r="C913" s="52"/>
      <c r="D913" s="45"/>
      <c r="E913" s="45"/>
      <c r="F913" s="45"/>
      <c r="G913" s="52"/>
      <c r="H913" s="52"/>
      <c r="I913" s="45"/>
      <c r="J913" s="45"/>
      <c r="K913" s="45"/>
      <c r="L913" s="45"/>
      <c r="M913" s="45"/>
      <c r="N913" s="45"/>
      <c r="O913" s="45"/>
      <c r="P913" s="45"/>
      <c r="Q913" s="45"/>
      <c r="R913" s="45"/>
      <c r="S913" s="45"/>
      <c r="T913" s="45"/>
      <c r="U913" s="45"/>
      <c r="V913" s="45"/>
      <c r="W913" s="45"/>
      <c r="X913" s="45"/>
      <c r="Y913" s="45"/>
    </row>
    <row r="914" spans="1:25" ht="13.5" customHeight="1" x14ac:dyDescent="0.3">
      <c r="A914" s="45"/>
      <c r="B914" s="45"/>
      <c r="C914" s="52"/>
      <c r="D914" s="45"/>
      <c r="E914" s="45"/>
      <c r="F914" s="45"/>
      <c r="G914" s="52"/>
      <c r="H914" s="52"/>
      <c r="I914" s="45"/>
      <c r="J914" s="45"/>
      <c r="K914" s="45"/>
      <c r="L914" s="45"/>
      <c r="M914" s="45"/>
      <c r="N914" s="45"/>
      <c r="O914" s="45"/>
      <c r="P914" s="45"/>
      <c r="Q914" s="45"/>
      <c r="R914" s="45"/>
      <c r="S914" s="45"/>
      <c r="T914" s="45"/>
      <c r="U914" s="45"/>
      <c r="V914" s="45"/>
      <c r="W914" s="45"/>
      <c r="X914" s="45"/>
      <c r="Y914" s="45"/>
    </row>
    <row r="915" spans="1:25" ht="13.5" customHeight="1" x14ac:dyDescent="0.3">
      <c r="A915" s="45"/>
      <c r="B915" s="45"/>
      <c r="C915" s="52"/>
      <c r="D915" s="45"/>
      <c r="E915" s="45"/>
      <c r="F915" s="45"/>
      <c r="G915" s="52"/>
      <c r="H915" s="52"/>
      <c r="I915" s="45"/>
      <c r="J915" s="45"/>
      <c r="K915" s="45"/>
      <c r="L915" s="45"/>
      <c r="M915" s="45"/>
      <c r="N915" s="45"/>
      <c r="O915" s="45"/>
      <c r="P915" s="45"/>
      <c r="Q915" s="45"/>
      <c r="R915" s="45"/>
      <c r="S915" s="45"/>
      <c r="T915" s="45"/>
      <c r="U915" s="45"/>
      <c r="V915" s="45"/>
      <c r="W915" s="45"/>
      <c r="X915" s="45"/>
      <c r="Y915" s="45"/>
    </row>
    <row r="916" spans="1:25" ht="13.5" customHeight="1" x14ac:dyDescent="0.3">
      <c r="A916" s="45"/>
      <c r="B916" s="45"/>
      <c r="C916" s="52"/>
      <c r="D916" s="45"/>
      <c r="E916" s="45"/>
      <c r="F916" s="45"/>
      <c r="G916" s="52"/>
      <c r="H916" s="52"/>
      <c r="I916" s="45"/>
      <c r="J916" s="45"/>
      <c r="K916" s="45"/>
      <c r="L916" s="45"/>
      <c r="M916" s="45"/>
      <c r="N916" s="45"/>
      <c r="O916" s="45"/>
      <c r="P916" s="45"/>
      <c r="Q916" s="45"/>
      <c r="R916" s="45"/>
      <c r="S916" s="45"/>
      <c r="T916" s="45"/>
      <c r="U916" s="45"/>
      <c r="V916" s="45"/>
      <c r="W916" s="45"/>
      <c r="X916" s="45"/>
      <c r="Y916" s="45"/>
    </row>
    <row r="917" spans="1:25" ht="13.5" customHeight="1" x14ac:dyDescent="0.3">
      <c r="A917" s="45"/>
      <c r="B917" s="45"/>
      <c r="C917" s="52"/>
      <c r="D917" s="45"/>
      <c r="E917" s="45"/>
      <c r="F917" s="45"/>
      <c r="G917" s="52"/>
      <c r="H917" s="52"/>
      <c r="I917" s="45"/>
      <c r="J917" s="45"/>
      <c r="K917" s="45"/>
      <c r="L917" s="45"/>
      <c r="M917" s="45"/>
      <c r="N917" s="45"/>
      <c r="O917" s="45"/>
      <c r="P917" s="45"/>
      <c r="Q917" s="45"/>
      <c r="R917" s="45"/>
      <c r="S917" s="45"/>
      <c r="T917" s="45"/>
      <c r="U917" s="45"/>
      <c r="V917" s="45"/>
      <c r="W917" s="45"/>
      <c r="X917" s="45"/>
      <c r="Y917" s="45"/>
    </row>
    <row r="918" spans="1:25" ht="13.5" customHeight="1" x14ac:dyDescent="0.3">
      <c r="A918" s="45"/>
      <c r="B918" s="45"/>
      <c r="C918" s="52"/>
      <c r="D918" s="45"/>
      <c r="E918" s="45"/>
      <c r="F918" s="45"/>
      <c r="G918" s="52"/>
      <c r="H918" s="52"/>
      <c r="I918" s="45"/>
      <c r="J918" s="45"/>
      <c r="K918" s="45"/>
      <c r="L918" s="45"/>
      <c r="M918" s="45"/>
      <c r="N918" s="45"/>
      <c r="O918" s="45"/>
      <c r="P918" s="45"/>
      <c r="Q918" s="45"/>
      <c r="R918" s="45"/>
      <c r="S918" s="45"/>
      <c r="T918" s="45"/>
      <c r="U918" s="45"/>
      <c r="V918" s="45"/>
      <c r="W918" s="45"/>
      <c r="X918" s="45"/>
      <c r="Y918" s="45"/>
    </row>
    <row r="919" spans="1:25" ht="13.5" customHeight="1" x14ac:dyDescent="0.3">
      <c r="A919" s="45"/>
      <c r="B919" s="45"/>
      <c r="C919" s="52"/>
      <c r="D919" s="45"/>
      <c r="E919" s="45"/>
      <c r="F919" s="45"/>
      <c r="G919" s="52"/>
      <c r="H919" s="52"/>
      <c r="I919" s="45"/>
      <c r="J919" s="45"/>
      <c r="K919" s="45"/>
      <c r="L919" s="45"/>
      <c r="M919" s="45"/>
      <c r="N919" s="45"/>
      <c r="O919" s="45"/>
      <c r="P919" s="45"/>
      <c r="Q919" s="45"/>
      <c r="R919" s="45"/>
      <c r="S919" s="45"/>
      <c r="T919" s="45"/>
      <c r="U919" s="45"/>
      <c r="V919" s="45"/>
      <c r="W919" s="45"/>
      <c r="X919" s="45"/>
      <c r="Y919" s="45"/>
    </row>
    <row r="920" spans="1:25" ht="13.5" customHeight="1" x14ac:dyDescent="0.3">
      <c r="A920" s="45"/>
      <c r="B920" s="45"/>
      <c r="C920" s="52"/>
      <c r="D920" s="45"/>
      <c r="E920" s="45"/>
      <c r="F920" s="45"/>
      <c r="G920" s="52"/>
      <c r="H920" s="52"/>
      <c r="I920" s="45"/>
      <c r="J920" s="45"/>
      <c r="K920" s="45"/>
      <c r="L920" s="45"/>
      <c r="M920" s="45"/>
      <c r="N920" s="45"/>
      <c r="O920" s="45"/>
      <c r="P920" s="45"/>
      <c r="Q920" s="45"/>
      <c r="R920" s="45"/>
      <c r="S920" s="45"/>
      <c r="T920" s="45"/>
      <c r="U920" s="45"/>
      <c r="V920" s="45"/>
      <c r="W920" s="45"/>
      <c r="X920" s="45"/>
      <c r="Y920" s="45"/>
    </row>
    <row r="921" spans="1:25" ht="13.5" customHeight="1" x14ac:dyDescent="0.3">
      <c r="A921" s="45"/>
      <c r="B921" s="45"/>
      <c r="C921" s="52"/>
      <c r="D921" s="45"/>
      <c r="E921" s="45"/>
      <c r="F921" s="45"/>
      <c r="G921" s="52"/>
      <c r="H921" s="52"/>
      <c r="I921" s="45"/>
      <c r="J921" s="45"/>
      <c r="K921" s="45"/>
      <c r="L921" s="45"/>
      <c r="M921" s="45"/>
      <c r="N921" s="45"/>
      <c r="O921" s="45"/>
      <c r="P921" s="45"/>
      <c r="Q921" s="45"/>
      <c r="R921" s="45"/>
      <c r="S921" s="45"/>
      <c r="T921" s="45"/>
      <c r="U921" s="45"/>
      <c r="V921" s="45"/>
      <c r="W921" s="45"/>
      <c r="X921" s="45"/>
      <c r="Y921" s="45"/>
    </row>
    <row r="922" spans="1:25" ht="13.5" customHeight="1" x14ac:dyDescent="0.3">
      <c r="A922" s="45"/>
      <c r="B922" s="45"/>
      <c r="C922" s="52"/>
      <c r="D922" s="45"/>
      <c r="E922" s="45"/>
      <c r="F922" s="45"/>
      <c r="G922" s="52"/>
      <c r="H922" s="52"/>
      <c r="I922" s="45"/>
      <c r="J922" s="45"/>
      <c r="K922" s="45"/>
      <c r="L922" s="45"/>
      <c r="M922" s="45"/>
      <c r="N922" s="45"/>
      <c r="O922" s="45"/>
      <c r="P922" s="45"/>
      <c r="Q922" s="45"/>
      <c r="R922" s="45"/>
      <c r="S922" s="45"/>
      <c r="T922" s="45"/>
      <c r="U922" s="45"/>
      <c r="V922" s="45"/>
      <c r="W922" s="45"/>
      <c r="X922" s="45"/>
      <c r="Y922" s="45"/>
    </row>
    <row r="923" spans="1:25" ht="13.5" customHeight="1" x14ac:dyDescent="0.3">
      <c r="A923" s="45"/>
      <c r="B923" s="45"/>
      <c r="C923" s="52"/>
      <c r="D923" s="45"/>
      <c r="E923" s="45"/>
      <c r="F923" s="45"/>
      <c r="G923" s="52"/>
      <c r="H923" s="52"/>
      <c r="I923" s="45"/>
      <c r="J923" s="45"/>
      <c r="K923" s="45"/>
      <c r="L923" s="45"/>
      <c r="M923" s="45"/>
      <c r="N923" s="45"/>
      <c r="O923" s="45"/>
      <c r="P923" s="45"/>
      <c r="Q923" s="45"/>
      <c r="R923" s="45"/>
      <c r="S923" s="45"/>
      <c r="T923" s="45"/>
      <c r="U923" s="45"/>
      <c r="V923" s="45"/>
      <c r="W923" s="45"/>
      <c r="X923" s="45"/>
      <c r="Y923" s="45"/>
    </row>
    <row r="924" spans="1:25" ht="13.5" customHeight="1" x14ac:dyDescent="0.3">
      <c r="A924" s="45"/>
      <c r="B924" s="45"/>
      <c r="C924" s="52"/>
      <c r="D924" s="45"/>
      <c r="E924" s="45"/>
      <c r="F924" s="45"/>
      <c r="G924" s="52"/>
      <c r="H924" s="52"/>
      <c r="I924" s="45"/>
      <c r="J924" s="45"/>
      <c r="K924" s="45"/>
      <c r="L924" s="45"/>
      <c r="M924" s="45"/>
      <c r="N924" s="45"/>
      <c r="O924" s="45"/>
      <c r="P924" s="45"/>
      <c r="Q924" s="45"/>
      <c r="R924" s="45"/>
      <c r="S924" s="45"/>
      <c r="T924" s="45"/>
      <c r="U924" s="45"/>
      <c r="V924" s="45"/>
      <c r="W924" s="45"/>
      <c r="X924" s="45"/>
      <c r="Y924" s="45"/>
    </row>
    <row r="925" spans="1:25" ht="13.5" customHeight="1" x14ac:dyDescent="0.3">
      <c r="A925" s="45"/>
      <c r="B925" s="45"/>
      <c r="C925" s="52"/>
      <c r="D925" s="45"/>
      <c r="E925" s="45"/>
      <c r="F925" s="45"/>
      <c r="G925" s="52"/>
      <c r="H925" s="52"/>
      <c r="I925" s="45"/>
      <c r="J925" s="45"/>
      <c r="K925" s="45"/>
      <c r="L925" s="45"/>
      <c r="M925" s="45"/>
      <c r="N925" s="45"/>
      <c r="O925" s="45"/>
      <c r="P925" s="45"/>
      <c r="Q925" s="45"/>
      <c r="R925" s="45"/>
      <c r="S925" s="45"/>
      <c r="T925" s="45"/>
      <c r="U925" s="45"/>
      <c r="V925" s="45"/>
      <c r="W925" s="45"/>
      <c r="X925" s="45"/>
      <c r="Y925" s="45"/>
    </row>
    <row r="926" spans="1:25" ht="13.5" customHeight="1" x14ac:dyDescent="0.3">
      <c r="A926" s="45"/>
      <c r="B926" s="45"/>
      <c r="C926" s="52"/>
      <c r="D926" s="45"/>
      <c r="E926" s="45"/>
      <c r="F926" s="45"/>
      <c r="G926" s="52"/>
      <c r="H926" s="52"/>
      <c r="I926" s="45"/>
      <c r="J926" s="45"/>
      <c r="K926" s="45"/>
      <c r="L926" s="45"/>
      <c r="M926" s="45"/>
      <c r="N926" s="45"/>
      <c r="O926" s="45"/>
      <c r="P926" s="45"/>
      <c r="Q926" s="45"/>
      <c r="R926" s="45"/>
      <c r="S926" s="45"/>
      <c r="T926" s="45"/>
      <c r="U926" s="45"/>
      <c r="V926" s="45"/>
      <c r="W926" s="45"/>
      <c r="X926" s="45"/>
      <c r="Y926" s="45"/>
    </row>
    <row r="927" spans="1:25" ht="13.5" customHeight="1" x14ac:dyDescent="0.3">
      <c r="A927" s="45"/>
      <c r="B927" s="45"/>
      <c r="C927" s="52"/>
      <c r="D927" s="45"/>
      <c r="E927" s="45"/>
      <c r="F927" s="45"/>
      <c r="G927" s="52"/>
      <c r="H927" s="52"/>
      <c r="I927" s="45"/>
      <c r="J927" s="45"/>
      <c r="K927" s="45"/>
      <c r="L927" s="45"/>
      <c r="M927" s="45"/>
      <c r="N927" s="45"/>
      <c r="O927" s="45"/>
      <c r="P927" s="45"/>
      <c r="Q927" s="45"/>
      <c r="R927" s="45"/>
      <c r="S927" s="45"/>
      <c r="T927" s="45"/>
      <c r="U927" s="45"/>
      <c r="V927" s="45"/>
      <c r="W927" s="45"/>
      <c r="X927" s="45"/>
      <c r="Y927" s="45"/>
    </row>
    <row r="928" spans="1:25" ht="13.5" customHeight="1" x14ac:dyDescent="0.3">
      <c r="A928" s="45"/>
      <c r="B928" s="45"/>
      <c r="C928" s="52"/>
      <c r="D928" s="45"/>
      <c r="E928" s="45"/>
      <c r="F928" s="45"/>
      <c r="G928" s="52"/>
      <c r="H928" s="52"/>
      <c r="I928" s="45"/>
      <c r="J928" s="45"/>
      <c r="K928" s="45"/>
      <c r="L928" s="45"/>
      <c r="M928" s="45"/>
      <c r="N928" s="45"/>
      <c r="O928" s="45"/>
      <c r="P928" s="45"/>
      <c r="Q928" s="45"/>
      <c r="R928" s="45"/>
      <c r="S928" s="45"/>
      <c r="T928" s="45"/>
      <c r="U928" s="45"/>
      <c r="V928" s="45"/>
      <c r="W928" s="45"/>
      <c r="X928" s="45"/>
      <c r="Y928" s="45"/>
    </row>
    <row r="929" spans="1:25" ht="13.5" customHeight="1" x14ac:dyDescent="0.3">
      <c r="A929" s="45"/>
      <c r="B929" s="45"/>
      <c r="C929" s="52"/>
      <c r="D929" s="45"/>
      <c r="E929" s="45"/>
      <c r="F929" s="45"/>
      <c r="G929" s="52"/>
      <c r="H929" s="52"/>
      <c r="I929" s="45"/>
      <c r="J929" s="45"/>
      <c r="K929" s="45"/>
      <c r="L929" s="45"/>
      <c r="M929" s="45"/>
      <c r="N929" s="45"/>
      <c r="O929" s="45"/>
      <c r="P929" s="45"/>
      <c r="Q929" s="45"/>
      <c r="R929" s="45"/>
      <c r="S929" s="45"/>
      <c r="T929" s="45"/>
      <c r="U929" s="45"/>
      <c r="V929" s="45"/>
      <c r="W929" s="45"/>
      <c r="X929" s="45"/>
      <c r="Y929" s="45"/>
    </row>
    <row r="930" spans="1:25" ht="13.5" customHeight="1" x14ac:dyDescent="0.3">
      <c r="A930" s="45"/>
      <c r="B930" s="45"/>
      <c r="C930" s="52"/>
      <c r="D930" s="45"/>
      <c r="E930" s="45"/>
      <c r="F930" s="45"/>
      <c r="G930" s="52"/>
      <c r="H930" s="52"/>
      <c r="I930" s="45"/>
      <c r="J930" s="45"/>
      <c r="K930" s="45"/>
      <c r="L930" s="45"/>
      <c r="M930" s="45"/>
      <c r="N930" s="45"/>
      <c r="O930" s="45"/>
      <c r="P930" s="45"/>
      <c r="Q930" s="45"/>
      <c r="R930" s="45"/>
      <c r="S930" s="45"/>
      <c r="T930" s="45"/>
      <c r="U930" s="45"/>
      <c r="V930" s="45"/>
      <c r="W930" s="45"/>
      <c r="X930" s="45"/>
      <c r="Y930" s="45"/>
    </row>
    <row r="931" spans="1:25" ht="13.5" customHeight="1" x14ac:dyDescent="0.3">
      <c r="A931" s="45"/>
      <c r="B931" s="45"/>
      <c r="C931" s="52"/>
      <c r="D931" s="45"/>
      <c r="E931" s="45"/>
      <c r="F931" s="45"/>
      <c r="G931" s="52"/>
      <c r="H931" s="52"/>
      <c r="I931" s="45"/>
      <c r="J931" s="45"/>
      <c r="K931" s="45"/>
      <c r="L931" s="45"/>
      <c r="M931" s="45"/>
      <c r="N931" s="45"/>
      <c r="O931" s="45"/>
      <c r="P931" s="45"/>
      <c r="Q931" s="45"/>
      <c r="R931" s="45"/>
      <c r="S931" s="45"/>
      <c r="T931" s="45"/>
      <c r="U931" s="45"/>
      <c r="V931" s="45"/>
      <c r="W931" s="45"/>
      <c r="X931" s="45"/>
      <c r="Y931" s="45"/>
    </row>
    <row r="932" spans="1:25" ht="13.5" customHeight="1" x14ac:dyDescent="0.3">
      <c r="A932" s="45"/>
      <c r="B932" s="45"/>
      <c r="C932" s="52"/>
      <c r="D932" s="45"/>
      <c r="E932" s="45"/>
      <c r="F932" s="45"/>
      <c r="G932" s="52"/>
      <c r="H932" s="52"/>
      <c r="I932" s="45"/>
      <c r="J932" s="45"/>
      <c r="K932" s="45"/>
      <c r="L932" s="45"/>
      <c r="M932" s="45"/>
      <c r="N932" s="45"/>
      <c r="O932" s="45"/>
      <c r="P932" s="45"/>
      <c r="Q932" s="45"/>
      <c r="R932" s="45"/>
      <c r="S932" s="45"/>
      <c r="T932" s="45"/>
      <c r="U932" s="45"/>
      <c r="V932" s="45"/>
      <c r="W932" s="45"/>
      <c r="X932" s="45"/>
      <c r="Y932" s="45"/>
    </row>
    <row r="933" spans="1:25" ht="13.5" customHeight="1" x14ac:dyDescent="0.3">
      <c r="A933" s="45"/>
      <c r="B933" s="45"/>
      <c r="C933" s="52"/>
      <c r="D933" s="45"/>
      <c r="E933" s="45"/>
      <c r="F933" s="45"/>
      <c r="G933" s="52"/>
      <c r="H933" s="52"/>
      <c r="I933" s="45"/>
      <c r="J933" s="45"/>
      <c r="K933" s="45"/>
      <c r="L933" s="45"/>
      <c r="M933" s="45"/>
      <c r="N933" s="45"/>
      <c r="O933" s="45"/>
      <c r="P933" s="45"/>
      <c r="Q933" s="45"/>
      <c r="R933" s="45"/>
      <c r="S933" s="45"/>
      <c r="T933" s="45"/>
      <c r="U933" s="45"/>
      <c r="V933" s="45"/>
      <c r="W933" s="45"/>
      <c r="X933" s="45"/>
      <c r="Y933" s="45"/>
    </row>
    <row r="934" spans="1:25" ht="13.5" customHeight="1" x14ac:dyDescent="0.3">
      <c r="A934" s="45"/>
      <c r="B934" s="45"/>
      <c r="C934" s="52"/>
      <c r="D934" s="45"/>
      <c r="E934" s="45"/>
      <c r="F934" s="45"/>
      <c r="G934" s="52"/>
      <c r="H934" s="52"/>
      <c r="I934" s="45"/>
      <c r="J934" s="45"/>
      <c r="K934" s="45"/>
      <c r="L934" s="45"/>
      <c r="M934" s="45"/>
      <c r="N934" s="45"/>
      <c r="O934" s="45"/>
      <c r="P934" s="45"/>
      <c r="Q934" s="45"/>
      <c r="R934" s="45"/>
      <c r="S934" s="45"/>
      <c r="T934" s="45"/>
      <c r="U934" s="45"/>
      <c r="V934" s="45"/>
      <c r="W934" s="45"/>
      <c r="X934" s="45"/>
      <c r="Y934" s="45"/>
    </row>
    <row r="935" spans="1:25" ht="13.5" customHeight="1" x14ac:dyDescent="0.3">
      <c r="A935" s="45"/>
      <c r="B935" s="45"/>
      <c r="C935" s="52"/>
      <c r="D935" s="45"/>
      <c r="E935" s="45"/>
      <c r="F935" s="45"/>
      <c r="G935" s="52"/>
      <c r="H935" s="52"/>
      <c r="I935" s="45"/>
      <c r="J935" s="45"/>
      <c r="K935" s="45"/>
      <c r="L935" s="45"/>
      <c r="M935" s="45"/>
      <c r="N935" s="45"/>
      <c r="O935" s="45"/>
      <c r="P935" s="45"/>
      <c r="Q935" s="45"/>
      <c r="R935" s="45"/>
      <c r="S935" s="45"/>
      <c r="T935" s="45"/>
      <c r="U935" s="45"/>
      <c r="V935" s="45"/>
      <c r="W935" s="45"/>
      <c r="X935" s="45"/>
      <c r="Y935" s="45"/>
    </row>
    <row r="936" spans="1:25" ht="13.5" customHeight="1" x14ac:dyDescent="0.3">
      <c r="A936" s="45"/>
      <c r="B936" s="45"/>
      <c r="C936" s="52"/>
      <c r="D936" s="45"/>
      <c r="E936" s="45"/>
      <c r="F936" s="45"/>
      <c r="G936" s="52"/>
      <c r="H936" s="52"/>
      <c r="I936" s="45"/>
      <c r="J936" s="45"/>
      <c r="K936" s="45"/>
      <c r="L936" s="45"/>
      <c r="M936" s="45"/>
      <c r="N936" s="45"/>
      <c r="O936" s="45"/>
      <c r="P936" s="45"/>
      <c r="Q936" s="45"/>
      <c r="R936" s="45"/>
      <c r="S936" s="45"/>
      <c r="T936" s="45"/>
      <c r="U936" s="45"/>
      <c r="V936" s="45"/>
      <c r="W936" s="45"/>
      <c r="X936" s="45"/>
      <c r="Y936" s="45"/>
    </row>
    <row r="937" spans="1:25" ht="13.5" customHeight="1" x14ac:dyDescent="0.3">
      <c r="A937" s="45"/>
      <c r="B937" s="45"/>
      <c r="C937" s="52"/>
      <c r="D937" s="45"/>
      <c r="E937" s="45"/>
      <c r="F937" s="45"/>
      <c r="G937" s="52"/>
      <c r="H937" s="52"/>
      <c r="I937" s="45"/>
      <c r="J937" s="45"/>
      <c r="K937" s="45"/>
      <c r="L937" s="45"/>
      <c r="M937" s="45"/>
      <c r="N937" s="45"/>
      <c r="O937" s="45"/>
      <c r="P937" s="45"/>
      <c r="Q937" s="45"/>
      <c r="R937" s="45"/>
      <c r="S937" s="45"/>
      <c r="T937" s="45"/>
      <c r="U937" s="45"/>
      <c r="V937" s="45"/>
      <c r="W937" s="45"/>
      <c r="X937" s="45"/>
      <c r="Y937" s="45"/>
    </row>
    <row r="938" spans="1:25" ht="13.5" customHeight="1" x14ac:dyDescent="0.3">
      <c r="A938" s="45"/>
      <c r="B938" s="45"/>
      <c r="C938" s="52"/>
      <c r="D938" s="45"/>
      <c r="E938" s="45"/>
      <c r="F938" s="45"/>
      <c r="G938" s="52"/>
      <c r="H938" s="52"/>
      <c r="I938" s="45"/>
      <c r="J938" s="45"/>
      <c r="K938" s="45"/>
      <c r="L938" s="45"/>
      <c r="M938" s="45"/>
      <c r="N938" s="45"/>
      <c r="O938" s="45"/>
      <c r="P938" s="45"/>
      <c r="Q938" s="45"/>
      <c r="R938" s="45"/>
      <c r="S938" s="45"/>
      <c r="T938" s="45"/>
      <c r="U938" s="45"/>
      <c r="V938" s="45"/>
      <c r="W938" s="45"/>
      <c r="X938" s="45"/>
      <c r="Y938" s="45"/>
    </row>
    <row r="939" spans="1:25" ht="13.5" customHeight="1" x14ac:dyDescent="0.3">
      <c r="A939" s="45"/>
      <c r="B939" s="45"/>
      <c r="C939" s="52"/>
      <c r="D939" s="45"/>
      <c r="E939" s="45"/>
      <c r="F939" s="45"/>
      <c r="G939" s="52"/>
      <c r="H939" s="52"/>
      <c r="I939" s="45"/>
      <c r="J939" s="45"/>
      <c r="K939" s="45"/>
      <c r="L939" s="45"/>
      <c r="M939" s="45"/>
      <c r="N939" s="45"/>
      <c r="O939" s="45"/>
      <c r="P939" s="45"/>
      <c r="Q939" s="45"/>
      <c r="R939" s="45"/>
      <c r="S939" s="45"/>
      <c r="T939" s="45"/>
      <c r="U939" s="45"/>
      <c r="V939" s="45"/>
      <c r="W939" s="45"/>
      <c r="X939" s="45"/>
      <c r="Y939" s="45"/>
    </row>
    <row r="940" spans="1:25" ht="13.5" customHeight="1" x14ac:dyDescent="0.3">
      <c r="A940" s="45"/>
      <c r="B940" s="45"/>
      <c r="C940" s="52"/>
      <c r="D940" s="45"/>
      <c r="E940" s="45"/>
      <c r="F940" s="45"/>
      <c r="G940" s="52"/>
      <c r="H940" s="52"/>
      <c r="I940" s="45"/>
      <c r="J940" s="45"/>
      <c r="K940" s="45"/>
      <c r="L940" s="45"/>
      <c r="M940" s="45"/>
      <c r="N940" s="45"/>
      <c r="O940" s="45"/>
      <c r="P940" s="45"/>
      <c r="Q940" s="45"/>
      <c r="R940" s="45"/>
      <c r="S940" s="45"/>
      <c r="T940" s="45"/>
      <c r="U940" s="45"/>
      <c r="V940" s="45"/>
      <c r="W940" s="45"/>
      <c r="X940" s="45"/>
      <c r="Y940" s="45"/>
    </row>
    <row r="941" spans="1:25" ht="13.5" customHeight="1" x14ac:dyDescent="0.3">
      <c r="A941" s="45"/>
      <c r="B941" s="45"/>
      <c r="C941" s="52"/>
      <c r="D941" s="45"/>
      <c r="E941" s="45"/>
      <c r="F941" s="45"/>
      <c r="G941" s="52"/>
      <c r="H941" s="52"/>
      <c r="I941" s="45"/>
      <c r="J941" s="45"/>
      <c r="K941" s="45"/>
      <c r="L941" s="45"/>
      <c r="M941" s="45"/>
      <c r="N941" s="45"/>
      <c r="O941" s="45"/>
      <c r="P941" s="45"/>
      <c r="Q941" s="45"/>
      <c r="R941" s="45"/>
      <c r="S941" s="45"/>
      <c r="T941" s="45"/>
      <c r="U941" s="45"/>
      <c r="V941" s="45"/>
      <c r="W941" s="45"/>
      <c r="X941" s="45"/>
      <c r="Y941" s="45"/>
    </row>
    <row r="942" spans="1:25" ht="13.5" customHeight="1" x14ac:dyDescent="0.3">
      <c r="A942" s="45"/>
      <c r="B942" s="45"/>
      <c r="C942" s="52"/>
      <c r="D942" s="45"/>
      <c r="E942" s="45"/>
      <c r="F942" s="45"/>
      <c r="G942" s="52"/>
      <c r="H942" s="52"/>
      <c r="I942" s="45"/>
      <c r="J942" s="45"/>
      <c r="K942" s="45"/>
      <c r="L942" s="45"/>
      <c r="M942" s="45"/>
      <c r="N942" s="45"/>
      <c r="O942" s="45"/>
      <c r="P942" s="45"/>
      <c r="Q942" s="45"/>
      <c r="R942" s="45"/>
      <c r="S942" s="45"/>
      <c r="T942" s="45"/>
      <c r="U942" s="45"/>
      <c r="V942" s="45"/>
      <c r="W942" s="45"/>
      <c r="X942" s="45"/>
      <c r="Y942" s="45"/>
    </row>
    <row r="943" spans="1:25" ht="13.5" customHeight="1" x14ac:dyDescent="0.3">
      <c r="A943" s="45"/>
      <c r="B943" s="45"/>
      <c r="C943" s="52"/>
      <c r="D943" s="45"/>
      <c r="E943" s="45"/>
      <c r="F943" s="45"/>
      <c r="G943" s="52"/>
      <c r="H943" s="52"/>
      <c r="I943" s="45"/>
      <c r="J943" s="45"/>
      <c r="K943" s="45"/>
      <c r="L943" s="45"/>
      <c r="M943" s="45"/>
      <c r="N943" s="45"/>
      <c r="O943" s="45"/>
      <c r="P943" s="45"/>
      <c r="Q943" s="45"/>
      <c r="R943" s="45"/>
      <c r="S943" s="45"/>
      <c r="T943" s="45"/>
      <c r="U943" s="45"/>
      <c r="V943" s="45"/>
      <c r="W943" s="45"/>
      <c r="X943" s="45"/>
      <c r="Y943" s="45"/>
    </row>
    <row r="944" spans="1:25" ht="13.5" customHeight="1" x14ac:dyDescent="0.3">
      <c r="A944" s="45"/>
      <c r="B944" s="45"/>
      <c r="C944" s="52"/>
      <c r="D944" s="45"/>
      <c r="E944" s="45"/>
      <c r="F944" s="45"/>
      <c r="G944" s="52"/>
      <c r="H944" s="52"/>
      <c r="I944" s="45"/>
      <c r="J944" s="45"/>
      <c r="K944" s="45"/>
      <c r="L944" s="45"/>
      <c r="M944" s="45"/>
      <c r="N944" s="45"/>
      <c r="O944" s="45"/>
      <c r="P944" s="45"/>
      <c r="Q944" s="45"/>
      <c r="R944" s="45"/>
      <c r="S944" s="45"/>
      <c r="T944" s="45"/>
      <c r="U944" s="45"/>
      <c r="V944" s="45"/>
      <c r="W944" s="45"/>
      <c r="X944" s="45"/>
      <c r="Y944" s="45"/>
    </row>
    <row r="945" spans="1:25" ht="13.5" customHeight="1" x14ac:dyDescent="0.3">
      <c r="A945" s="45"/>
      <c r="B945" s="45"/>
      <c r="C945" s="52"/>
      <c r="D945" s="45"/>
      <c r="E945" s="45"/>
      <c r="F945" s="45"/>
      <c r="G945" s="52"/>
      <c r="H945" s="52"/>
      <c r="I945" s="45"/>
      <c r="J945" s="45"/>
      <c r="K945" s="45"/>
      <c r="L945" s="45"/>
      <c r="M945" s="45"/>
      <c r="N945" s="45"/>
      <c r="O945" s="45"/>
      <c r="P945" s="45"/>
      <c r="Q945" s="45"/>
      <c r="R945" s="45"/>
      <c r="S945" s="45"/>
      <c r="T945" s="45"/>
      <c r="U945" s="45"/>
      <c r="V945" s="45"/>
      <c r="W945" s="45"/>
      <c r="X945" s="45"/>
      <c r="Y945" s="45"/>
    </row>
    <row r="946" spans="1:25" ht="13.5" customHeight="1" x14ac:dyDescent="0.3">
      <c r="A946" s="45"/>
      <c r="B946" s="45"/>
      <c r="C946" s="52"/>
      <c r="D946" s="45"/>
      <c r="E946" s="45"/>
      <c r="F946" s="45"/>
      <c r="G946" s="52"/>
      <c r="H946" s="52"/>
      <c r="I946" s="45"/>
      <c r="J946" s="45"/>
      <c r="K946" s="45"/>
      <c r="L946" s="45"/>
      <c r="M946" s="45"/>
      <c r="N946" s="45"/>
      <c r="O946" s="45"/>
      <c r="P946" s="45"/>
      <c r="Q946" s="45"/>
      <c r="R946" s="45"/>
      <c r="S946" s="45"/>
      <c r="T946" s="45"/>
      <c r="U946" s="45"/>
      <c r="V946" s="45"/>
      <c r="W946" s="45"/>
      <c r="X946" s="45"/>
      <c r="Y946" s="45"/>
    </row>
    <row r="947" spans="1:25" ht="13.5" customHeight="1" x14ac:dyDescent="0.3">
      <c r="A947" s="45"/>
      <c r="B947" s="45"/>
      <c r="C947" s="52"/>
      <c r="D947" s="45"/>
      <c r="E947" s="45"/>
      <c r="F947" s="45"/>
      <c r="G947" s="52"/>
      <c r="H947" s="52"/>
      <c r="I947" s="45"/>
      <c r="J947" s="45"/>
      <c r="K947" s="45"/>
      <c r="L947" s="45"/>
      <c r="M947" s="45"/>
      <c r="N947" s="45"/>
      <c r="O947" s="45"/>
      <c r="P947" s="45"/>
      <c r="Q947" s="45"/>
      <c r="R947" s="45"/>
      <c r="S947" s="45"/>
      <c r="T947" s="45"/>
      <c r="U947" s="45"/>
      <c r="V947" s="45"/>
      <c r="W947" s="45"/>
      <c r="X947" s="45"/>
      <c r="Y947" s="45"/>
    </row>
    <row r="948" spans="1:25" ht="13.5" customHeight="1" x14ac:dyDescent="0.3">
      <c r="A948" s="45"/>
      <c r="B948" s="45"/>
      <c r="C948" s="52"/>
      <c r="D948" s="45"/>
      <c r="E948" s="45"/>
      <c r="F948" s="45"/>
      <c r="G948" s="52"/>
      <c r="H948" s="52"/>
      <c r="I948" s="45"/>
      <c r="J948" s="45"/>
      <c r="K948" s="45"/>
      <c r="L948" s="45"/>
      <c r="M948" s="45"/>
      <c r="N948" s="45"/>
      <c r="O948" s="45"/>
      <c r="P948" s="45"/>
      <c r="Q948" s="45"/>
      <c r="R948" s="45"/>
      <c r="S948" s="45"/>
      <c r="T948" s="45"/>
      <c r="U948" s="45"/>
      <c r="V948" s="45"/>
      <c r="W948" s="45"/>
      <c r="X948" s="45"/>
      <c r="Y948" s="45"/>
    </row>
    <row r="949" spans="1:25" ht="13.5" customHeight="1" x14ac:dyDescent="0.3">
      <c r="A949" s="45"/>
      <c r="B949" s="45"/>
      <c r="C949" s="52"/>
      <c r="D949" s="45"/>
      <c r="E949" s="45"/>
      <c r="F949" s="45"/>
      <c r="G949" s="52"/>
      <c r="H949" s="52"/>
      <c r="I949" s="45"/>
      <c r="J949" s="45"/>
      <c r="K949" s="45"/>
      <c r="L949" s="45"/>
      <c r="M949" s="45"/>
      <c r="N949" s="45"/>
      <c r="O949" s="45"/>
      <c r="P949" s="45"/>
      <c r="Q949" s="45"/>
      <c r="R949" s="45"/>
      <c r="S949" s="45"/>
      <c r="T949" s="45"/>
      <c r="U949" s="45"/>
      <c r="V949" s="45"/>
      <c r="W949" s="45"/>
      <c r="X949" s="45"/>
      <c r="Y949" s="45"/>
    </row>
    <row r="950" spans="1:25" ht="13.5" customHeight="1" x14ac:dyDescent="0.3">
      <c r="A950" s="45"/>
      <c r="B950" s="45"/>
      <c r="C950" s="52"/>
      <c r="D950" s="45"/>
      <c r="E950" s="45"/>
      <c r="F950" s="45"/>
      <c r="G950" s="52"/>
      <c r="H950" s="52"/>
      <c r="I950" s="45"/>
      <c r="J950" s="45"/>
      <c r="K950" s="45"/>
      <c r="L950" s="45"/>
      <c r="M950" s="45"/>
      <c r="N950" s="45"/>
      <c r="O950" s="45"/>
      <c r="P950" s="45"/>
      <c r="Q950" s="45"/>
      <c r="R950" s="45"/>
      <c r="S950" s="45"/>
      <c r="T950" s="45"/>
      <c r="U950" s="45"/>
      <c r="V950" s="45"/>
      <c r="W950" s="45"/>
      <c r="X950" s="45"/>
      <c r="Y950" s="45"/>
    </row>
    <row r="951" spans="1:25" ht="13.5" customHeight="1" x14ac:dyDescent="0.3">
      <c r="A951" s="45"/>
      <c r="B951" s="45"/>
      <c r="C951" s="52"/>
      <c r="D951" s="45"/>
      <c r="E951" s="45"/>
      <c r="F951" s="45"/>
      <c r="G951" s="52"/>
      <c r="H951" s="52"/>
      <c r="I951" s="45"/>
      <c r="J951" s="45"/>
      <c r="K951" s="45"/>
      <c r="L951" s="45"/>
      <c r="M951" s="45"/>
      <c r="N951" s="45"/>
      <c r="O951" s="45"/>
      <c r="P951" s="45"/>
      <c r="Q951" s="45"/>
      <c r="R951" s="45"/>
      <c r="S951" s="45"/>
      <c r="T951" s="45"/>
      <c r="U951" s="45"/>
      <c r="V951" s="45"/>
      <c r="W951" s="45"/>
      <c r="X951" s="45"/>
      <c r="Y951" s="45"/>
    </row>
    <row r="952" spans="1:25" ht="13.5" customHeight="1" x14ac:dyDescent="0.3">
      <c r="A952" s="45"/>
      <c r="B952" s="45"/>
      <c r="C952" s="52"/>
      <c r="D952" s="45"/>
      <c r="E952" s="45"/>
      <c r="F952" s="45"/>
      <c r="G952" s="52"/>
      <c r="H952" s="52"/>
      <c r="I952" s="45"/>
      <c r="J952" s="45"/>
      <c r="K952" s="45"/>
      <c r="L952" s="45"/>
      <c r="M952" s="45"/>
      <c r="N952" s="45"/>
      <c r="O952" s="45"/>
      <c r="P952" s="45"/>
      <c r="Q952" s="45"/>
      <c r="R952" s="45"/>
      <c r="S952" s="45"/>
      <c r="T952" s="45"/>
      <c r="U952" s="45"/>
      <c r="V952" s="45"/>
      <c r="W952" s="45"/>
      <c r="X952" s="45"/>
      <c r="Y952" s="45"/>
    </row>
    <row r="953" spans="1:25" ht="13.5" customHeight="1" x14ac:dyDescent="0.3">
      <c r="A953" s="45"/>
      <c r="B953" s="45"/>
      <c r="C953" s="52"/>
      <c r="D953" s="45"/>
      <c r="E953" s="45"/>
      <c r="F953" s="45"/>
      <c r="G953" s="52"/>
      <c r="H953" s="52"/>
      <c r="I953" s="45"/>
      <c r="J953" s="45"/>
      <c r="K953" s="45"/>
      <c r="L953" s="45"/>
      <c r="M953" s="45"/>
      <c r="N953" s="45"/>
      <c r="O953" s="45"/>
      <c r="P953" s="45"/>
      <c r="Q953" s="45"/>
      <c r="R953" s="45"/>
      <c r="S953" s="45"/>
      <c r="T953" s="45"/>
      <c r="U953" s="45"/>
      <c r="V953" s="45"/>
      <c r="W953" s="45"/>
      <c r="X953" s="45"/>
      <c r="Y953" s="45"/>
    </row>
    <row r="954" spans="1:25" ht="13.5" customHeight="1" x14ac:dyDescent="0.3">
      <c r="A954" s="45"/>
      <c r="B954" s="45"/>
      <c r="C954" s="52"/>
      <c r="D954" s="45"/>
      <c r="E954" s="45"/>
      <c r="F954" s="45"/>
      <c r="G954" s="52"/>
      <c r="H954" s="52"/>
      <c r="I954" s="45"/>
      <c r="J954" s="45"/>
      <c r="K954" s="45"/>
      <c r="L954" s="45"/>
      <c r="M954" s="45"/>
      <c r="N954" s="45"/>
      <c r="O954" s="45"/>
      <c r="P954" s="45"/>
      <c r="Q954" s="45"/>
      <c r="R954" s="45"/>
      <c r="S954" s="45"/>
      <c r="T954" s="45"/>
      <c r="U954" s="45"/>
      <c r="V954" s="45"/>
      <c r="W954" s="45"/>
      <c r="X954" s="45"/>
      <c r="Y954" s="45"/>
    </row>
    <row r="955" spans="1:25" ht="13.5" customHeight="1" x14ac:dyDescent="0.3">
      <c r="A955" s="45"/>
      <c r="B955" s="45"/>
      <c r="C955" s="52"/>
      <c r="D955" s="45"/>
      <c r="E955" s="45"/>
      <c r="F955" s="45"/>
      <c r="G955" s="52"/>
      <c r="H955" s="52"/>
      <c r="I955" s="45"/>
      <c r="J955" s="45"/>
      <c r="K955" s="45"/>
      <c r="L955" s="45"/>
      <c r="M955" s="45"/>
      <c r="N955" s="45"/>
      <c r="O955" s="45"/>
      <c r="P955" s="45"/>
      <c r="Q955" s="45"/>
      <c r="R955" s="45"/>
      <c r="S955" s="45"/>
      <c r="T955" s="45"/>
      <c r="U955" s="45"/>
      <c r="V955" s="45"/>
      <c r="W955" s="45"/>
      <c r="X955" s="45"/>
      <c r="Y955" s="45"/>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81AB5-05D9-42EC-B951-01CF421FB535}">
  <dimension ref="A1:B29"/>
  <sheetViews>
    <sheetView workbookViewId="0">
      <pane ySplit="1" topLeftCell="A2" activePane="bottomLeft" state="frozen"/>
      <selection pane="bottomLeft"/>
    </sheetView>
  </sheetViews>
  <sheetFormatPr defaultRowHeight="13.8" x14ac:dyDescent="0.3"/>
  <cols>
    <col min="1" max="1" width="11.44140625" style="28" bestFit="1" customWidth="1"/>
    <col min="2" max="2" width="105.6640625" style="33" customWidth="1"/>
    <col min="3" max="16384" width="8.88671875" style="28"/>
  </cols>
  <sheetData>
    <row r="1" spans="1:2" s="27" customFormat="1" x14ac:dyDescent="0.3">
      <c r="A1" s="19" t="s">
        <v>9673</v>
      </c>
      <c r="B1" s="19" t="s">
        <v>9674</v>
      </c>
    </row>
    <row r="2" spans="1:2" ht="55.2" x14ac:dyDescent="0.3">
      <c r="A2" s="20" t="s">
        <v>9661</v>
      </c>
      <c r="B2" s="20" t="s">
        <v>9693</v>
      </c>
    </row>
    <row r="3" spans="1:2" ht="41.4" x14ac:dyDescent="0.3">
      <c r="A3" s="20" t="s">
        <v>9659</v>
      </c>
      <c r="B3" s="20" t="s">
        <v>9694</v>
      </c>
    </row>
    <row r="4" spans="1:2" ht="27.6" x14ac:dyDescent="0.3">
      <c r="A4" s="20" t="s">
        <v>9654</v>
      </c>
      <c r="B4" s="20" t="s">
        <v>9695</v>
      </c>
    </row>
    <row r="5" spans="1:2" x14ac:dyDescent="0.3">
      <c r="A5" s="20" t="s">
        <v>415</v>
      </c>
      <c r="B5" s="20" t="s">
        <v>9696</v>
      </c>
    </row>
    <row r="6" spans="1:2" ht="27.6" x14ac:dyDescent="0.3">
      <c r="A6" s="20" t="s">
        <v>9656</v>
      </c>
      <c r="B6" s="20" t="s">
        <v>9697</v>
      </c>
    </row>
    <row r="7" spans="1:2" ht="41.4" x14ac:dyDescent="0.3">
      <c r="A7" s="20" t="s">
        <v>208</v>
      </c>
      <c r="B7" s="20" t="s">
        <v>9698</v>
      </c>
    </row>
    <row r="8" spans="1:2" ht="27.6" x14ac:dyDescent="0.3">
      <c r="A8" s="20" t="s">
        <v>112</v>
      </c>
      <c r="B8" s="20" t="s">
        <v>9699</v>
      </c>
    </row>
    <row r="9" spans="1:2" ht="28.2" thickBot="1" x14ac:dyDescent="0.35">
      <c r="A9" s="25" t="s">
        <v>9655</v>
      </c>
      <c r="B9" s="25" t="s">
        <v>9700</v>
      </c>
    </row>
    <row r="10" spans="1:2" ht="82.8" x14ac:dyDescent="0.3">
      <c r="A10" s="29" t="s">
        <v>9675</v>
      </c>
      <c r="B10" s="30" t="s">
        <v>9701</v>
      </c>
    </row>
    <row r="11" spans="1:2" ht="27.6" x14ac:dyDescent="0.3">
      <c r="A11" s="29" t="s">
        <v>9663</v>
      </c>
      <c r="B11" s="30" t="s">
        <v>9702</v>
      </c>
    </row>
    <row r="12" spans="1:2" ht="27.6" x14ac:dyDescent="0.3">
      <c r="A12" s="29" t="s">
        <v>9678</v>
      </c>
      <c r="B12" s="30" t="s">
        <v>9703</v>
      </c>
    </row>
    <row r="13" spans="1:2" x14ac:dyDescent="0.3">
      <c r="A13" s="29" t="s">
        <v>544</v>
      </c>
      <c r="B13" s="30" t="s">
        <v>9704</v>
      </c>
    </row>
    <row r="14" spans="1:2" ht="27.6" x14ac:dyDescent="0.3">
      <c r="A14" s="29" t="s">
        <v>9681</v>
      </c>
      <c r="B14" s="30" t="s">
        <v>9705</v>
      </c>
    </row>
    <row r="15" spans="1:2" ht="55.2" x14ac:dyDescent="0.3">
      <c r="A15" s="29" t="s">
        <v>9683</v>
      </c>
      <c r="B15" s="30" t="s">
        <v>9706</v>
      </c>
    </row>
    <row r="16" spans="1:2" ht="27.6" x14ac:dyDescent="0.3">
      <c r="A16" s="29" t="s">
        <v>9685</v>
      </c>
      <c r="B16" s="30" t="s">
        <v>9707</v>
      </c>
    </row>
    <row r="17" spans="1:2" ht="55.2" x14ac:dyDescent="0.3">
      <c r="A17" s="29" t="s">
        <v>9687</v>
      </c>
      <c r="B17" s="30" t="s">
        <v>9708</v>
      </c>
    </row>
    <row r="18" spans="1:2" ht="27.6" x14ac:dyDescent="0.3">
      <c r="A18" s="29" t="s">
        <v>9689</v>
      </c>
      <c r="B18" s="30" t="s">
        <v>9709</v>
      </c>
    </row>
    <row r="19" spans="1:2" ht="28.2" thickBot="1" x14ac:dyDescent="0.35">
      <c r="A19" s="26" t="s">
        <v>9691</v>
      </c>
      <c r="B19" s="25" t="s">
        <v>9710</v>
      </c>
    </row>
    <row r="20" spans="1:2" ht="55.2" x14ac:dyDescent="0.3">
      <c r="A20" s="31" t="s">
        <v>9675</v>
      </c>
      <c r="B20" s="32" t="s">
        <v>9676</v>
      </c>
    </row>
    <row r="21" spans="1:2" ht="27.6" x14ac:dyDescent="0.3">
      <c r="A21" s="29" t="s">
        <v>9663</v>
      </c>
      <c r="B21" s="30" t="s">
        <v>9677</v>
      </c>
    </row>
    <row r="22" spans="1:2" ht="27.6" x14ac:dyDescent="0.3">
      <c r="A22" s="29" t="s">
        <v>9678</v>
      </c>
      <c r="B22" s="30" t="s">
        <v>9679</v>
      </c>
    </row>
    <row r="23" spans="1:2" ht="69" x14ac:dyDescent="0.3">
      <c r="A23" s="29" t="s">
        <v>544</v>
      </c>
      <c r="B23" s="30" t="s">
        <v>9680</v>
      </c>
    </row>
    <row r="24" spans="1:2" ht="27.6" x14ac:dyDescent="0.3">
      <c r="A24" s="29" t="s">
        <v>9681</v>
      </c>
      <c r="B24" s="30" t="s">
        <v>9682</v>
      </c>
    </row>
    <row r="25" spans="1:2" ht="41.4" x14ac:dyDescent="0.3">
      <c r="A25" s="29" t="s">
        <v>9683</v>
      </c>
      <c r="B25" s="30" t="s">
        <v>9684</v>
      </c>
    </row>
    <row r="26" spans="1:2" ht="27.6" x14ac:dyDescent="0.3">
      <c r="A26" s="29" t="s">
        <v>9685</v>
      </c>
      <c r="B26" s="30" t="s">
        <v>9686</v>
      </c>
    </row>
    <row r="27" spans="1:2" ht="41.4" x14ac:dyDescent="0.3">
      <c r="A27" s="29" t="s">
        <v>9687</v>
      </c>
      <c r="B27" s="30" t="s">
        <v>9688</v>
      </c>
    </row>
    <row r="28" spans="1:2" x14ac:dyDescent="0.3">
      <c r="A28" s="29" t="s">
        <v>9689</v>
      </c>
      <c r="B28" s="30" t="s">
        <v>9690</v>
      </c>
    </row>
    <row r="29" spans="1:2" ht="28.2" thickBot="1" x14ac:dyDescent="0.35">
      <c r="A29" s="26" t="s">
        <v>9691</v>
      </c>
      <c r="B29" s="25" t="s">
        <v>9692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8ED9C-374E-4727-B10C-FC2C32F392D7}">
  <dimension ref="A1:I676"/>
  <sheetViews>
    <sheetView workbookViewId="0">
      <pane ySplit="1" topLeftCell="A2" activePane="bottomLeft" state="frozen"/>
      <selection pane="bottomLeft"/>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212</v>
      </c>
      <c r="B2" s="2" t="s">
        <v>213</v>
      </c>
      <c r="C2" s="2" t="s">
        <v>214</v>
      </c>
      <c r="D2" s="2" t="s">
        <v>215</v>
      </c>
      <c r="E2" s="2" t="s">
        <v>39</v>
      </c>
      <c r="F2" s="2"/>
      <c r="G2" s="2"/>
      <c r="H2" s="2" t="s">
        <v>216</v>
      </c>
      <c r="I2" s="3">
        <f t="shared" ref="I2:I65" si="0">LEN(D2)</f>
        <v>25</v>
      </c>
    </row>
    <row r="3" spans="1:9" x14ac:dyDescent="0.3">
      <c r="A3" s="2" t="s">
        <v>212</v>
      </c>
      <c r="B3" s="2" t="s">
        <v>243</v>
      </c>
      <c r="C3" s="2"/>
      <c r="D3" s="2" t="s">
        <v>244</v>
      </c>
      <c r="E3" s="2" t="s">
        <v>39</v>
      </c>
      <c r="F3" s="2"/>
      <c r="G3" s="2"/>
      <c r="H3" s="2"/>
      <c r="I3" s="3">
        <f t="shared" si="0"/>
        <v>28</v>
      </c>
    </row>
    <row r="4" spans="1:9" x14ac:dyDescent="0.3">
      <c r="A4" s="2" t="s">
        <v>212</v>
      </c>
      <c r="B4" s="2" t="s">
        <v>213</v>
      </c>
      <c r="C4" s="2"/>
      <c r="D4" s="2" t="s">
        <v>314</v>
      </c>
      <c r="E4" s="2" t="s">
        <v>39</v>
      </c>
      <c r="F4" s="2"/>
      <c r="G4" s="2"/>
      <c r="H4" s="2" t="s">
        <v>216</v>
      </c>
      <c r="I4" s="3">
        <f t="shared" si="0"/>
        <v>33</v>
      </c>
    </row>
    <row r="5" spans="1:9" x14ac:dyDescent="0.3">
      <c r="A5" s="2" t="s">
        <v>212</v>
      </c>
      <c r="B5" s="2" t="s">
        <v>213</v>
      </c>
      <c r="C5" s="2" t="s">
        <v>64</v>
      </c>
      <c r="D5" s="2" t="s">
        <v>356</v>
      </c>
      <c r="E5" s="2" t="s">
        <v>39</v>
      </c>
      <c r="F5" s="2"/>
      <c r="G5" s="2"/>
      <c r="H5" s="2" t="s">
        <v>216</v>
      </c>
      <c r="I5" s="3">
        <f t="shared" si="0"/>
        <v>34</v>
      </c>
    </row>
    <row r="6" spans="1:9" x14ac:dyDescent="0.3">
      <c r="A6" s="2" t="s">
        <v>212</v>
      </c>
      <c r="B6" s="2" t="s">
        <v>177</v>
      </c>
      <c r="C6" s="2" t="s">
        <v>178</v>
      </c>
      <c r="D6" s="2" t="s">
        <v>426</v>
      </c>
      <c r="E6" s="2" t="s">
        <v>39</v>
      </c>
      <c r="F6" s="2"/>
      <c r="G6" s="2"/>
      <c r="H6" s="2"/>
      <c r="I6" s="3">
        <f t="shared" si="0"/>
        <v>37</v>
      </c>
    </row>
    <row r="7" spans="1:9" x14ac:dyDescent="0.3">
      <c r="A7" s="2" t="s">
        <v>212</v>
      </c>
      <c r="B7" s="2" t="s">
        <v>477</v>
      </c>
      <c r="C7" s="2" t="s">
        <v>144</v>
      </c>
      <c r="D7" s="2" t="s">
        <v>478</v>
      </c>
      <c r="E7" s="2" t="s">
        <v>39</v>
      </c>
      <c r="F7" s="2"/>
      <c r="G7" s="2"/>
      <c r="H7" s="2"/>
      <c r="I7" s="3">
        <f t="shared" si="0"/>
        <v>39</v>
      </c>
    </row>
    <row r="8" spans="1:9" x14ac:dyDescent="0.3">
      <c r="A8" s="2" t="s">
        <v>212</v>
      </c>
      <c r="B8" s="2" t="s">
        <v>213</v>
      </c>
      <c r="C8" s="2" t="s">
        <v>659</v>
      </c>
      <c r="D8" s="2" t="s">
        <v>660</v>
      </c>
      <c r="E8" s="2" t="s">
        <v>39</v>
      </c>
      <c r="F8" s="2"/>
      <c r="G8" s="2"/>
      <c r="H8" s="2" t="s">
        <v>216</v>
      </c>
      <c r="I8" s="3">
        <f t="shared" si="0"/>
        <v>46</v>
      </c>
    </row>
    <row r="9" spans="1:9" x14ac:dyDescent="0.3">
      <c r="A9" s="2" t="s">
        <v>682</v>
      </c>
      <c r="B9" s="2" t="s">
        <v>683</v>
      </c>
      <c r="C9" s="2" t="s">
        <v>408</v>
      </c>
      <c r="D9" s="2" t="s">
        <v>684</v>
      </c>
      <c r="E9" s="2"/>
      <c r="F9" s="2"/>
      <c r="G9" s="2"/>
      <c r="H9" s="2"/>
      <c r="I9" s="3">
        <f t="shared" si="0"/>
        <v>46</v>
      </c>
    </row>
    <row r="10" spans="1:9" x14ac:dyDescent="0.3">
      <c r="A10" s="2" t="s">
        <v>212</v>
      </c>
      <c r="B10" s="2" t="s">
        <v>762</v>
      </c>
      <c r="C10" s="2" t="s">
        <v>763</v>
      </c>
      <c r="D10" s="2" t="s">
        <v>764</v>
      </c>
      <c r="E10" s="2" t="s">
        <v>39</v>
      </c>
      <c r="F10" s="2"/>
      <c r="G10" s="2"/>
      <c r="H10" s="2"/>
      <c r="I10" s="3">
        <f t="shared" si="0"/>
        <v>49</v>
      </c>
    </row>
    <row r="11" spans="1:9" x14ac:dyDescent="0.3">
      <c r="A11" s="2" t="s">
        <v>212</v>
      </c>
      <c r="B11" s="2" t="s">
        <v>213</v>
      </c>
      <c r="C11" s="2"/>
      <c r="D11" s="2" t="s">
        <v>821</v>
      </c>
      <c r="E11" s="2" t="s">
        <v>39</v>
      </c>
      <c r="F11" s="2"/>
      <c r="G11" s="2"/>
      <c r="H11" s="2" t="s">
        <v>216</v>
      </c>
      <c r="I11" s="3">
        <f t="shared" si="0"/>
        <v>51</v>
      </c>
    </row>
    <row r="12" spans="1:9" x14ac:dyDescent="0.3">
      <c r="A12" s="2" t="s">
        <v>212</v>
      </c>
      <c r="B12" s="2" t="s">
        <v>399</v>
      </c>
      <c r="C12" s="2" t="s">
        <v>500</v>
      </c>
      <c r="D12" s="2" t="s">
        <v>853</v>
      </c>
      <c r="E12" s="2" t="s">
        <v>39</v>
      </c>
      <c r="F12" s="2"/>
      <c r="G12" s="2"/>
      <c r="H12" s="2" t="s">
        <v>402</v>
      </c>
      <c r="I12" s="3">
        <f t="shared" si="0"/>
        <v>51</v>
      </c>
    </row>
    <row r="13" spans="1:9" ht="24" x14ac:dyDescent="0.3">
      <c r="A13" s="2" t="s">
        <v>682</v>
      </c>
      <c r="B13" s="2" t="s">
        <v>939</v>
      </c>
      <c r="C13" s="2" t="s">
        <v>8731</v>
      </c>
      <c r="D13" s="2" t="s">
        <v>940</v>
      </c>
      <c r="E13" s="2" t="s">
        <v>39</v>
      </c>
      <c r="F13" s="2"/>
      <c r="G13" s="2"/>
      <c r="H13" s="2"/>
      <c r="I13" s="3">
        <f t="shared" si="0"/>
        <v>53</v>
      </c>
    </row>
    <row r="14" spans="1:9" ht="24" x14ac:dyDescent="0.3">
      <c r="A14" s="2" t="s">
        <v>682</v>
      </c>
      <c r="B14" s="2" t="s">
        <v>969</v>
      </c>
      <c r="C14" s="2" t="s">
        <v>8731</v>
      </c>
      <c r="D14" s="2" t="s">
        <v>970</v>
      </c>
      <c r="E14" s="2" t="s">
        <v>39</v>
      </c>
      <c r="F14" s="2"/>
      <c r="G14" s="2"/>
      <c r="H14" s="2"/>
      <c r="I14" s="3">
        <f t="shared" si="0"/>
        <v>54</v>
      </c>
    </row>
    <row r="15" spans="1:9" x14ac:dyDescent="0.3">
      <c r="A15" s="2" t="s">
        <v>212</v>
      </c>
      <c r="B15" s="2" t="s">
        <v>1062</v>
      </c>
      <c r="C15" s="2"/>
      <c r="D15" s="2" t="s">
        <v>1063</v>
      </c>
      <c r="E15" s="2" t="s">
        <v>39</v>
      </c>
      <c r="F15" s="2"/>
      <c r="G15" s="2"/>
      <c r="H15" s="2" t="s">
        <v>216</v>
      </c>
      <c r="I15" s="3">
        <f t="shared" si="0"/>
        <v>56</v>
      </c>
    </row>
    <row r="16" spans="1:9" x14ac:dyDescent="0.3">
      <c r="A16" s="2" t="s">
        <v>212</v>
      </c>
      <c r="B16" s="2" t="s">
        <v>1062</v>
      </c>
      <c r="C16" s="2"/>
      <c r="D16" s="2" t="s">
        <v>1064</v>
      </c>
      <c r="E16" s="2" t="s">
        <v>39</v>
      </c>
      <c r="F16" s="2"/>
      <c r="G16" s="2"/>
      <c r="H16" s="2" t="s">
        <v>216</v>
      </c>
      <c r="I16" s="3">
        <f t="shared" si="0"/>
        <v>56</v>
      </c>
    </row>
    <row r="17" spans="1:9" x14ac:dyDescent="0.3">
      <c r="A17" s="2" t="s">
        <v>212</v>
      </c>
      <c r="B17" s="2" t="s">
        <v>1148</v>
      </c>
      <c r="C17" s="2" t="s">
        <v>515</v>
      </c>
      <c r="D17" s="2" t="s">
        <v>1149</v>
      </c>
      <c r="E17" s="2" t="s">
        <v>39</v>
      </c>
      <c r="F17" s="2"/>
      <c r="G17" s="2"/>
      <c r="H17" s="2"/>
      <c r="I17" s="3">
        <f t="shared" si="0"/>
        <v>58</v>
      </c>
    </row>
    <row r="18" spans="1:9" x14ac:dyDescent="0.3">
      <c r="A18" s="2" t="s">
        <v>682</v>
      </c>
      <c r="B18" s="2" t="s">
        <v>1160</v>
      </c>
      <c r="C18" s="2" t="s">
        <v>8731</v>
      </c>
      <c r="D18" s="2" t="s">
        <v>1161</v>
      </c>
      <c r="E18" s="2" t="s">
        <v>39</v>
      </c>
      <c r="F18" s="2"/>
      <c r="G18" s="2"/>
      <c r="H18" s="2"/>
      <c r="I18" s="3">
        <f t="shared" si="0"/>
        <v>58</v>
      </c>
    </row>
    <row r="19" spans="1:9" x14ac:dyDescent="0.3">
      <c r="A19" s="2" t="s">
        <v>682</v>
      </c>
      <c r="B19" s="2" t="s">
        <v>1222</v>
      </c>
      <c r="C19" s="2" t="s">
        <v>8731</v>
      </c>
      <c r="D19" s="2" t="s">
        <v>1223</v>
      </c>
      <c r="E19" s="2"/>
      <c r="F19" s="2"/>
      <c r="G19" s="2"/>
      <c r="H19" s="2"/>
      <c r="I19" s="3">
        <f t="shared" si="0"/>
        <v>59</v>
      </c>
    </row>
    <row r="20" spans="1:9" x14ac:dyDescent="0.3">
      <c r="A20" s="2" t="s">
        <v>682</v>
      </c>
      <c r="B20" s="2" t="s">
        <v>1277</v>
      </c>
      <c r="C20" s="2" t="s">
        <v>408</v>
      </c>
      <c r="D20" s="2" t="s">
        <v>1278</v>
      </c>
      <c r="E20" s="2"/>
      <c r="F20" s="2"/>
      <c r="G20" s="2"/>
      <c r="H20" s="2"/>
      <c r="I20" s="3">
        <f t="shared" si="0"/>
        <v>60</v>
      </c>
    </row>
    <row r="21" spans="1:9" x14ac:dyDescent="0.3">
      <c r="A21" s="2" t="s">
        <v>682</v>
      </c>
      <c r="B21" s="2" t="s">
        <v>1279</v>
      </c>
      <c r="C21" s="2" t="s">
        <v>8731</v>
      </c>
      <c r="D21" s="2" t="s">
        <v>1280</v>
      </c>
      <c r="E21" s="2" t="s">
        <v>39</v>
      </c>
      <c r="F21" s="2"/>
      <c r="G21" s="2"/>
      <c r="H21" s="2"/>
      <c r="I21" s="3">
        <f t="shared" si="0"/>
        <v>60</v>
      </c>
    </row>
    <row r="22" spans="1:9" x14ac:dyDescent="0.3">
      <c r="A22" s="2" t="s">
        <v>212</v>
      </c>
      <c r="B22" s="2" t="s">
        <v>399</v>
      </c>
      <c r="C22" s="2" t="s">
        <v>500</v>
      </c>
      <c r="D22" s="2" t="s">
        <v>1320</v>
      </c>
      <c r="E22" s="2" t="s">
        <v>39</v>
      </c>
      <c r="F22" s="2"/>
      <c r="G22" s="2"/>
      <c r="H22" s="2" t="s">
        <v>402</v>
      </c>
      <c r="I22" s="3">
        <f t="shared" si="0"/>
        <v>61</v>
      </c>
    </row>
    <row r="23" spans="1:9" x14ac:dyDescent="0.3">
      <c r="A23" s="2" t="s">
        <v>682</v>
      </c>
      <c r="B23" s="2" t="s">
        <v>1279</v>
      </c>
      <c r="C23" s="2" t="s">
        <v>9525</v>
      </c>
      <c r="D23" s="2" t="s">
        <v>1319</v>
      </c>
      <c r="E23" s="2"/>
      <c r="F23" s="2"/>
      <c r="G23" s="2"/>
      <c r="H23" s="2"/>
      <c r="I23" s="3">
        <f t="shared" si="0"/>
        <v>61</v>
      </c>
    </row>
    <row r="24" spans="1:9" x14ac:dyDescent="0.3">
      <c r="A24" s="2" t="s">
        <v>212</v>
      </c>
      <c r="B24" s="2" t="s">
        <v>399</v>
      </c>
      <c r="C24" s="2" t="s">
        <v>500</v>
      </c>
      <c r="D24" s="2" t="s">
        <v>1402</v>
      </c>
      <c r="E24" s="2" t="s">
        <v>39</v>
      </c>
      <c r="F24" s="2"/>
      <c r="G24" s="2"/>
      <c r="H24" s="2" t="s">
        <v>402</v>
      </c>
      <c r="I24" s="3">
        <f t="shared" si="0"/>
        <v>62</v>
      </c>
    </row>
    <row r="25" spans="1:9" x14ac:dyDescent="0.3">
      <c r="A25" s="2" t="s">
        <v>212</v>
      </c>
      <c r="B25" s="2" t="s">
        <v>509</v>
      </c>
      <c r="C25" s="2" t="s">
        <v>500</v>
      </c>
      <c r="D25" s="2" t="s">
        <v>1403</v>
      </c>
      <c r="E25" s="2" t="s">
        <v>39</v>
      </c>
      <c r="F25" s="2"/>
      <c r="G25" s="2"/>
      <c r="H25" s="2" t="s">
        <v>402</v>
      </c>
      <c r="I25" s="3">
        <f t="shared" si="0"/>
        <v>62</v>
      </c>
    </row>
    <row r="26" spans="1:9" x14ac:dyDescent="0.3">
      <c r="A26" s="2" t="s">
        <v>682</v>
      </c>
      <c r="B26" s="2" t="s">
        <v>1392</v>
      </c>
      <c r="C26" s="2" t="s">
        <v>408</v>
      </c>
      <c r="D26" s="2" t="s">
        <v>1393</v>
      </c>
      <c r="E26" s="2" t="s">
        <v>39</v>
      </c>
      <c r="F26" s="2"/>
      <c r="G26" s="2"/>
      <c r="H26" s="2"/>
      <c r="I26" s="3">
        <f t="shared" si="0"/>
        <v>62</v>
      </c>
    </row>
    <row r="27" spans="1:9" ht="24" x14ac:dyDescent="0.3">
      <c r="A27" s="2" t="s">
        <v>682</v>
      </c>
      <c r="B27" s="2" t="s">
        <v>1394</v>
      </c>
      <c r="C27" s="2" t="s">
        <v>8731</v>
      </c>
      <c r="D27" s="2" t="s">
        <v>1395</v>
      </c>
      <c r="E27" s="2" t="s">
        <v>39</v>
      </c>
      <c r="F27" s="2"/>
      <c r="G27" s="2"/>
      <c r="H27" s="2"/>
      <c r="I27" s="3">
        <f t="shared" si="0"/>
        <v>62</v>
      </c>
    </row>
    <row r="28" spans="1:9" x14ac:dyDescent="0.3">
      <c r="A28" s="2" t="s">
        <v>682</v>
      </c>
      <c r="B28" s="2" t="s">
        <v>1396</v>
      </c>
      <c r="C28" s="2" t="s">
        <v>9525</v>
      </c>
      <c r="D28" s="2" t="s">
        <v>1397</v>
      </c>
      <c r="E28" s="2"/>
      <c r="F28" s="2"/>
      <c r="G28" s="2"/>
      <c r="H28" s="2"/>
      <c r="I28" s="3">
        <f t="shared" si="0"/>
        <v>62</v>
      </c>
    </row>
    <row r="29" spans="1:9" x14ac:dyDescent="0.3">
      <c r="A29" s="2" t="s">
        <v>682</v>
      </c>
      <c r="B29" s="2" t="s">
        <v>1398</v>
      </c>
      <c r="C29" s="2" t="s">
        <v>8731</v>
      </c>
      <c r="D29" s="2" t="s">
        <v>1399</v>
      </c>
      <c r="E29" s="2" t="s">
        <v>39</v>
      </c>
      <c r="F29" s="2"/>
      <c r="G29" s="2"/>
      <c r="H29" s="2"/>
      <c r="I29" s="3">
        <f t="shared" si="0"/>
        <v>62</v>
      </c>
    </row>
    <row r="30" spans="1:9" x14ac:dyDescent="0.3">
      <c r="A30" s="2" t="s">
        <v>682</v>
      </c>
      <c r="B30" s="2" t="s">
        <v>1400</v>
      </c>
      <c r="C30" s="2" t="s">
        <v>9526</v>
      </c>
      <c r="D30" s="2" t="s">
        <v>1401</v>
      </c>
      <c r="E30" s="2"/>
      <c r="F30" s="2"/>
      <c r="G30" s="2"/>
      <c r="H30" s="2"/>
      <c r="I30" s="3">
        <f t="shared" si="0"/>
        <v>62</v>
      </c>
    </row>
    <row r="31" spans="1:9" x14ac:dyDescent="0.3">
      <c r="A31" s="2" t="s">
        <v>682</v>
      </c>
      <c r="B31" s="2" t="s">
        <v>1457</v>
      </c>
      <c r="C31" s="2" t="s">
        <v>8731</v>
      </c>
      <c r="D31" s="2" t="s">
        <v>1458</v>
      </c>
      <c r="E31" s="2" t="s">
        <v>39</v>
      </c>
      <c r="F31" s="2"/>
      <c r="G31" s="2"/>
      <c r="H31" s="2"/>
      <c r="I31" s="3">
        <f t="shared" si="0"/>
        <v>63</v>
      </c>
    </row>
    <row r="32" spans="1:9" x14ac:dyDescent="0.3">
      <c r="A32" s="2" t="s">
        <v>682</v>
      </c>
      <c r="B32" s="2" t="s">
        <v>1459</v>
      </c>
      <c r="C32" s="2" t="s">
        <v>8731</v>
      </c>
      <c r="D32" s="2" t="s">
        <v>1460</v>
      </c>
      <c r="E32" s="2" t="s">
        <v>39</v>
      </c>
      <c r="F32" s="2"/>
      <c r="G32" s="2"/>
      <c r="H32" s="2"/>
      <c r="I32" s="3">
        <f t="shared" si="0"/>
        <v>63</v>
      </c>
    </row>
    <row r="33" spans="1:9" x14ac:dyDescent="0.3">
      <c r="A33" s="2" t="s">
        <v>682</v>
      </c>
      <c r="B33" s="2" t="s">
        <v>1461</v>
      </c>
      <c r="C33" s="2" t="s">
        <v>8731</v>
      </c>
      <c r="D33" s="2" t="s">
        <v>1462</v>
      </c>
      <c r="E33" s="2" t="s">
        <v>39</v>
      </c>
      <c r="F33" s="2"/>
      <c r="G33" s="2"/>
      <c r="H33" s="2"/>
      <c r="I33" s="3">
        <f t="shared" si="0"/>
        <v>63</v>
      </c>
    </row>
    <row r="34" spans="1:9" x14ac:dyDescent="0.3">
      <c r="A34" s="2" t="s">
        <v>682</v>
      </c>
      <c r="B34" s="2" t="s">
        <v>1463</v>
      </c>
      <c r="C34" s="2" t="s">
        <v>8731</v>
      </c>
      <c r="D34" s="2" t="s">
        <v>1464</v>
      </c>
      <c r="E34" s="2" t="s">
        <v>39</v>
      </c>
      <c r="F34" s="2"/>
      <c r="G34" s="2"/>
      <c r="H34" s="2"/>
      <c r="I34" s="3">
        <f t="shared" si="0"/>
        <v>63</v>
      </c>
    </row>
    <row r="35" spans="1:9" ht="24" x14ac:dyDescent="0.3">
      <c r="A35" s="2" t="s">
        <v>682</v>
      </c>
      <c r="B35" s="2" t="s">
        <v>1465</v>
      </c>
      <c r="C35" s="2" t="s">
        <v>8731</v>
      </c>
      <c r="D35" s="2" t="s">
        <v>1466</v>
      </c>
      <c r="E35" s="2" t="s">
        <v>39</v>
      </c>
      <c r="F35" s="2"/>
      <c r="G35" s="2"/>
      <c r="H35" s="2"/>
      <c r="I35" s="3">
        <f t="shared" si="0"/>
        <v>63</v>
      </c>
    </row>
    <row r="36" spans="1:9" x14ac:dyDescent="0.3">
      <c r="A36" s="2" t="s">
        <v>212</v>
      </c>
      <c r="B36" s="2" t="s">
        <v>1501</v>
      </c>
      <c r="C36" s="2"/>
      <c r="D36" s="2" t="s">
        <v>1502</v>
      </c>
      <c r="E36" s="2"/>
      <c r="F36" s="2"/>
      <c r="G36" s="2"/>
      <c r="H36" s="2" t="s">
        <v>194</v>
      </c>
      <c r="I36" s="3">
        <f t="shared" si="0"/>
        <v>64</v>
      </c>
    </row>
    <row r="37" spans="1:9" ht="24" x14ac:dyDescent="0.3">
      <c r="A37" s="2" t="s">
        <v>682</v>
      </c>
      <c r="B37" s="2" t="s">
        <v>1515</v>
      </c>
      <c r="C37" s="2" t="s">
        <v>9527</v>
      </c>
      <c r="D37" s="2" t="s">
        <v>1516</v>
      </c>
      <c r="E37" s="2"/>
      <c r="F37" s="2"/>
      <c r="G37" s="2"/>
      <c r="H37" s="2"/>
      <c r="I37" s="3">
        <f t="shared" si="0"/>
        <v>64</v>
      </c>
    </row>
    <row r="38" spans="1:9" x14ac:dyDescent="0.3">
      <c r="A38" s="2" t="s">
        <v>682</v>
      </c>
      <c r="B38" s="2" t="s">
        <v>1277</v>
      </c>
      <c r="C38" s="2" t="s">
        <v>408</v>
      </c>
      <c r="D38" s="2" t="s">
        <v>1565</v>
      </c>
      <c r="E38" s="2"/>
      <c r="F38" s="2"/>
      <c r="G38" s="2"/>
      <c r="H38" s="2"/>
      <c r="I38" s="3">
        <f t="shared" si="0"/>
        <v>65</v>
      </c>
    </row>
    <row r="39" spans="1:9" x14ac:dyDescent="0.3">
      <c r="A39" s="2" t="s">
        <v>682</v>
      </c>
      <c r="B39" s="2" t="s">
        <v>1566</v>
      </c>
      <c r="C39" s="2" t="s">
        <v>8731</v>
      </c>
      <c r="D39" s="2" t="s">
        <v>1567</v>
      </c>
      <c r="E39" s="2"/>
      <c r="F39" s="2"/>
      <c r="G39" s="2"/>
      <c r="H39" s="2"/>
      <c r="I39" s="3">
        <f t="shared" si="0"/>
        <v>65</v>
      </c>
    </row>
    <row r="40" spans="1:9" ht="24" x14ac:dyDescent="0.3">
      <c r="A40" s="2" t="s">
        <v>682</v>
      </c>
      <c r="B40" s="2" t="s">
        <v>1568</v>
      </c>
      <c r="C40" s="2" t="s">
        <v>8731</v>
      </c>
      <c r="D40" s="2" t="s">
        <v>1569</v>
      </c>
      <c r="E40" s="2" t="s">
        <v>39</v>
      </c>
      <c r="F40" s="2"/>
      <c r="G40" s="2"/>
      <c r="H40" s="2"/>
      <c r="I40" s="3">
        <f t="shared" si="0"/>
        <v>65</v>
      </c>
    </row>
    <row r="41" spans="1:9" x14ac:dyDescent="0.3">
      <c r="A41" s="2" t="s">
        <v>682</v>
      </c>
      <c r="B41" s="2" t="s">
        <v>1457</v>
      </c>
      <c r="C41" s="2" t="s">
        <v>8731</v>
      </c>
      <c r="D41" s="2" t="s">
        <v>1623</v>
      </c>
      <c r="E41" s="2" t="s">
        <v>39</v>
      </c>
      <c r="F41" s="2"/>
      <c r="G41" s="2"/>
      <c r="H41" s="2"/>
      <c r="I41" s="3">
        <f t="shared" si="0"/>
        <v>66</v>
      </c>
    </row>
    <row r="42" spans="1:9" ht="24" x14ac:dyDescent="0.3">
      <c r="A42" s="2" t="s">
        <v>682</v>
      </c>
      <c r="B42" s="2" t="s">
        <v>1624</v>
      </c>
      <c r="C42" s="2" t="s">
        <v>8731</v>
      </c>
      <c r="D42" s="2" t="s">
        <v>1625</v>
      </c>
      <c r="E42" s="2" t="s">
        <v>39</v>
      </c>
      <c r="F42" s="2"/>
      <c r="G42" s="2"/>
      <c r="H42" s="2"/>
      <c r="I42" s="3">
        <f t="shared" si="0"/>
        <v>66</v>
      </c>
    </row>
    <row r="43" spans="1:9" ht="24" x14ac:dyDescent="0.3">
      <c r="A43" s="2" t="s">
        <v>682</v>
      </c>
      <c r="B43" s="2" t="s">
        <v>1626</v>
      </c>
      <c r="C43" s="2" t="s">
        <v>8731</v>
      </c>
      <c r="D43" s="2" t="s">
        <v>1627</v>
      </c>
      <c r="E43" s="2"/>
      <c r="F43" s="2"/>
      <c r="G43" s="2"/>
      <c r="H43" s="2"/>
      <c r="I43" s="3">
        <f t="shared" si="0"/>
        <v>66</v>
      </c>
    </row>
    <row r="44" spans="1:9" x14ac:dyDescent="0.3">
      <c r="A44" s="2" t="s">
        <v>212</v>
      </c>
      <c r="B44" s="2" t="s">
        <v>1671</v>
      </c>
      <c r="C44" s="2" t="s">
        <v>422</v>
      </c>
      <c r="D44" s="2" t="s">
        <v>1672</v>
      </c>
      <c r="E44" s="2" t="s">
        <v>39</v>
      </c>
      <c r="F44" s="2"/>
      <c r="G44" s="2"/>
      <c r="H44" s="2"/>
      <c r="I44" s="3">
        <f t="shared" si="0"/>
        <v>67</v>
      </c>
    </row>
    <row r="45" spans="1:9" x14ac:dyDescent="0.3">
      <c r="A45" s="2" t="s">
        <v>212</v>
      </c>
      <c r="B45" s="2" t="s">
        <v>1679</v>
      </c>
      <c r="C45" s="2" t="s">
        <v>1255</v>
      </c>
      <c r="D45" s="2" t="s">
        <v>1680</v>
      </c>
      <c r="E45" s="2" t="s">
        <v>39</v>
      </c>
      <c r="F45" s="2"/>
      <c r="G45" s="2"/>
      <c r="H45" s="2"/>
      <c r="I45" s="3">
        <f t="shared" si="0"/>
        <v>67</v>
      </c>
    </row>
    <row r="46" spans="1:9" x14ac:dyDescent="0.3">
      <c r="A46" s="2" t="s">
        <v>682</v>
      </c>
      <c r="B46" s="2" t="s">
        <v>1651</v>
      </c>
      <c r="C46" s="2" t="s">
        <v>408</v>
      </c>
      <c r="D46" s="2" t="s">
        <v>1652</v>
      </c>
      <c r="E46" s="2"/>
      <c r="F46" s="2"/>
      <c r="G46" s="2"/>
      <c r="H46" s="2"/>
      <c r="I46" s="3">
        <f t="shared" si="0"/>
        <v>67</v>
      </c>
    </row>
    <row r="47" spans="1:9" x14ac:dyDescent="0.3">
      <c r="A47" s="2" t="s">
        <v>682</v>
      </c>
      <c r="B47" s="2" t="s">
        <v>1392</v>
      </c>
      <c r="C47" s="2" t="s">
        <v>408</v>
      </c>
      <c r="D47" s="2" t="s">
        <v>1678</v>
      </c>
      <c r="E47" s="2"/>
      <c r="F47" s="2"/>
      <c r="G47" s="2"/>
      <c r="H47" s="2"/>
      <c r="I47" s="3">
        <f t="shared" si="0"/>
        <v>67</v>
      </c>
    </row>
    <row r="48" spans="1:9" x14ac:dyDescent="0.3">
      <c r="A48" s="2" t="s">
        <v>212</v>
      </c>
      <c r="B48" s="2" t="s">
        <v>1718</v>
      </c>
      <c r="C48" s="2"/>
      <c r="D48" s="2" t="s">
        <v>1719</v>
      </c>
      <c r="E48" s="2" t="s">
        <v>39</v>
      </c>
      <c r="F48" s="2"/>
      <c r="G48" s="2"/>
      <c r="H48" s="2"/>
      <c r="I48" s="3">
        <f t="shared" si="0"/>
        <v>68</v>
      </c>
    </row>
    <row r="49" spans="1:9" x14ac:dyDescent="0.3">
      <c r="A49" s="2" t="s">
        <v>212</v>
      </c>
      <c r="B49" s="2" t="s">
        <v>509</v>
      </c>
      <c r="C49" s="2" t="s">
        <v>500</v>
      </c>
      <c r="D49" s="2" t="s">
        <v>1736</v>
      </c>
      <c r="E49" s="2" t="s">
        <v>39</v>
      </c>
      <c r="F49" s="2"/>
      <c r="G49" s="2"/>
      <c r="H49" s="2" t="s">
        <v>402</v>
      </c>
      <c r="I49" s="3">
        <f t="shared" si="0"/>
        <v>68</v>
      </c>
    </row>
    <row r="50" spans="1:9" x14ac:dyDescent="0.3">
      <c r="A50" s="2" t="s">
        <v>212</v>
      </c>
      <c r="B50" s="2" t="s">
        <v>619</v>
      </c>
      <c r="C50" s="2" t="s">
        <v>500</v>
      </c>
      <c r="D50" s="2" t="s">
        <v>1797</v>
      </c>
      <c r="E50" s="2" t="s">
        <v>39</v>
      </c>
      <c r="F50" s="2"/>
      <c r="G50" s="2"/>
      <c r="H50" s="2" t="s">
        <v>402</v>
      </c>
      <c r="I50" s="3">
        <f t="shared" si="0"/>
        <v>69</v>
      </c>
    </row>
    <row r="51" spans="1:9" ht="24" x14ac:dyDescent="0.3">
      <c r="A51" s="2" t="s">
        <v>682</v>
      </c>
      <c r="B51" s="2" t="s">
        <v>1795</v>
      </c>
      <c r="C51" s="2" t="s">
        <v>8731</v>
      </c>
      <c r="D51" s="2" t="s">
        <v>1796</v>
      </c>
      <c r="E51" s="2"/>
      <c r="F51" s="2"/>
      <c r="G51" s="2"/>
      <c r="H51" s="2"/>
      <c r="I51" s="3">
        <f t="shared" si="0"/>
        <v>69</v>
      </c>
    </row>
    <row r="52" spans="1:9" x14ac:dyDescent="0.3">
      <c r="A52" s="2" t="s">
        <v>212</v>
      </c>
      <c r="B52" s="2" t="s">
        <v>1862</v>
      </c>
      <c r="C52" s="2" t="s">
        <v>1255</v>
      </c>
      <c r="D52" s="2" t="s">
        <v>1863</v>
      </c>
      <c r="E52" s="2" t="s">
        <v>39</v>
      </c>
      <c r="F52" s="2"/>
      <c r="G52" s="2"/>
      <c r="H52" s="2"/>
      <c r="I52" s="3">
        <f t="shared" si="0"/>
        <v>70</v>
      </c>
    </row>
    <row r="53" spans="1:9" x14ac:dyDescent="0.3">
      <c r="A53" s="2" t="s">
        <v>212</v>
      </c>
      <c r="B53" s="2" t="s">
        <v>1920</v>
      </c>
      <c r="C53" s="2" t="s">
        <v>1255</v>
      </c>
      <c r="D53" s="2" t="s">
        <v>1921</v>
      </c>
      <c r="E53" s="2" t="s">
        <v>39</v>
      </c>
      <c r="F53" s="2"/>
      <c r="G53" s="2"/>
      <c r="H53" s="2"/>
      <c r="I53" s="3">
        <f t="shared" si="0"/>
        <v>71</v>
      </c>
    </row>
    <row r="54" spans="1:9" x14ac:dyDescent="0.3">
      <c r="A54" s="2" t="s">
        <v>212</v>
      </c>
      <c r="B54" s="2" t="s">
        <v>1922</v>
      </c>
      <c r="C54" s="2" t="s">
        <v>500</v>
      </c>
      <c r="D54" s="2" t="s">
        <v>1923</v>
      </c>
      <c r="E54" s="2" t="s">
        <v>39</v>
      </c>
      <c r="F54" s="2"/>
      <c r="G54" s="2"/>
      <c r="H54" s="2" t="s">
        <v>402</v>
      </c>
      <c r="I54" s="3">
        <f t="shared" si="0"/>
        <v>71</v>
      </c>
    </row>
    <row r="55" spans="1:9" x14ac:dyDescent="0.3">
      <c r="A55" s="2" t="s">
        <v>682</v>
      </c>
      <c r="B55" s="2" t="s">
        <v>1914</v>
      </c>
      <c r="C55" s="2" t="s">
        <v>408</v>
      </c>
      <c r="D55" s="2" t="s">
        <v>1915</v>
      </c>
      <c r="E55" s="2"/>
      <c r="F55" s="2"/>
      <c r="G55" s="2"/>
      <c r="H55" s="2"/>
      <c r="I55" s="3">
        <f t="shared" si="0"/>
        <v>71</v>
      </c>
    </row>
    <row r="56" spans="1:9" x14ac:dyDescent="0.3">
      <c r="A56" s="2" t="s">
        <v>682</v>
      </c>
      <c r="B56" s="2" t="s">
        <v>1916</v>
      </c>
      <c r="C56" s="2" t="s">
        <v>8731</v>
      </c>
      <c r="D56" s="2" t="s">
        <v>1917</v>
      </c>
      <c r="E56" s="2"/>
      <c r="F56" s="2"/>
      <c r="G56" s="2"/>
      <c r="H56" s="2"/>
      <c r="I56" s="3">
        <f t="shared" si="0"/>
        <v>71</v>
      </c>
    </row>
    <row r="57" spans="1:9" ht="24" x14ac:dyDescent="0.3">
      <c r="A57" s="2" t="s">
        <v>682</v>
      </c>
      <c r="B57" s="2" t="s">
        <v>1918</v>
      </c>
      <c r="C57" s="2" t="s">
        <v>9528</v>
      </c>
      <c r="D57" s="2" t="s">
        <v>1919</v>
      </c>
      <c r="E57" s="2"/>
      <c r="F57" s="2"/>
      <c r="G57" s="2"/>
      <c r="H57" s="2"/>
      <c r="I57" s="3">
        <f t="shared" si="0"/>
        <v>71</v>
      </c>
    </row>
    <row r="58" spans="1:9" ht="24" x14ac:dyDescent="0.3">
      <c r="A58" s="2" t="s">
        <v>682</v>
      </c>
      <c r="B58" s="2" t="s">
        <v>1970</v>
      </c>
      <c r="C58" s="2" t="s">
        <v>8731</v>
      </c>
      <c r="D58" s="2" t="s">
        <v>1971</v>
      </c>
      <c r="E58" s="2"/>
      <c r="F58" s="2"/>
      <c r="G58" s="2"/>
      <c r="H58" s="2"/>
      <c r="I58" s="3">
        <f t="shared" si="0"/>
        <v>72</v>
      </c>
    </row>
    <row r="59" spans="1:9" ht="24" x14ac:dyDescent="0.3">
      <c r="A59" s="2" t="s">
        <v>682</v>
      </c>
      <c r="B59" s="2" t="s">
        <v>1972</v>
      </c>
      <c r="C59" s="2" t="s">
        <v>8731</v>
      </c>
      <c r="D59" s="2" t="s">
        <v>1973</v>
      </c>
      <c r="E59" s="2" t="s">
        <v>39</v>
      </c>
      <c r="F59" s="2"/>
      <c r="G59" s="2"/>
      <c r="H59" s="2"/>
      <c r="I59" s="3">
        <f t="shared" si="0"/>
        <v>72</v>
      </c>
    </row>
    <row r="60" spans="1:9" ht="24" x14ac:dyDescent="0.3">
      <c r="A60" s="2" t="s">
        <v>682</v>
      </c>
      <c r="B60" s="2" t="s">
        <v>2030</v>
      </c>
      <c r="C60" s="2" t="s">
        <v>8731</v>
      </c>
      <c r="D60" s="2" t="s">
        <v>2031</v>
      </c>
      <c r="E60" s="2"/>
      <c r="F60" s="2"/>
      <c r="G60" s="2"/>
      <c r="H60" s="2"/>
      <c r="I60" s="3">
        <f t="shared" si="0"/>
        <v>73</v>
      </c>
    </row>
    <row r="61" spans="1:9" ht="24" x14ac:dyDescent="0.3">
      <c r="A61" s="2" t="s">
        <v>682</v>
      </c>
      <c r="B61" s="2" t="s">
        <v>2032</v>
      </c>
      <c r="C61" s="2" t="s">
        <v>8731</v>
      </c>
      <c r="D61" s="2" t="s">
        <v>2033</v>
      </c>
      <c r="E61" s="2"/>
      <c r="F61" s="2"/>
      <c r="G61" s="2"/>
      <c r="H61" s="2"/>
      <c r="I61" s="3">
        <f t="shared" si="0"/>
        <v>73</v>
      </c>
    </row>
    <row r="62" spans="1:9" ht="24" x14ac:dyDescent="0.3">
      <c r="A62" s="2" t="s">
        <v>682</v>
      </c>
      <c r="B62" s="2" t="s">
        <v>2034</v>
      </c>
      <c r="C62" s="2" t="s">
        <v>8731</v>
      </c>
      <c r="D62" s="2" t="s">
        <v>2035</v>
      </c>
      <c r="E62" s="2" t="s">
        <v>39</v>
      </c>
      <c r="F62" s="2"/>
      <c r="G62" s="2"/>
      <c r="H62" s="2"/>
      <c r="I62" s="3">
        <f t="shared" si="0"/>
        <v>73</v>
      </c>
    </row>
    <row r="63" spans="1:9" x14ac:dyDescent="0.3">
      <c r="A63" s="2" t="s">
        <v>212</v>
      </c>
      <c r="B63" s="2" t="s">
        <v>399</v>
      </c>
      <c r="C63" s="2" t="s">
        <v>500</v>
      </c>
      <c r="D63" s="2" t="s">
        <v>2095</v>
      </c>
      <c r="E63" s="2" t="s">
        <v>39</v>
      </c>
      <c r="F63" s="2"/>
      <c r="G63" s="2"/>
      <c r="H63" s="2" t="s">
        <v>402</v>
      </c>
      <c r="I63" s="3">
        <f t="shared" si="0"/>
        <v>74</v>
      </c>
    </row>
    <row r="64" spans="1:9" ht="24" x14ac:dyDescent="0.3">
      <c r="A64" s="2" t="s">
        <v>682</v>
      </c>
      <c r="B64" s="2" t="s">
        <v>2093</v>
      </c>
      <c r="C64" s="2" t="s">
        <v>8731</v>
      </c>
      <c r="D64" s="2" t="s">
        <v>2094</v>
      </c>
      <c r="E64" s="2" t="s">
        <v>39</v>
      </c>
      <c r="F64" s="2"/>
      <c r="G64" s="2"/>
      <c r="H64" s="2"/>
      <c r="I64" s="3">
        <f t="shared" si="0"/>
        <v>74</v>
      </c>
    </row>
    <row r="65" spans="1:9" x14ac:dyDescent="0.3">
      <c r="A65" s="2" t="s">
        <v>212</v>
      </c>
      <c r="B65" s="2" t="s">
        <v>177</v>
      </c>
      <c r="C65" s="2" t="s">
        <v>178</v>
      </c>
      <c r="D65" s="2" t="s">
        <v>2137</v>
      </c>
      <c r="E65" s="2" t="s">
        <v>39</v>
      </c>
      <c r="F65" s="2"/>
      <c r="G65" s="2"/>
      <c r="H65" s="2"/>
      <c r="I65" s="3">
        <f t="shared" si="0"/>
        <v>75</v>
      </c>
    </row>
    <row r="66" spans="1:9" x14ac:dyDescent="0.3">
      <c r="A66" s="2" t="s">
        <v>212</v>
      </c>
      <c r="B66" s="2" t="s">
        <v>1976</v>
      </c>
      <c r="C66" s="2" t="s">
        <v>1255</v>
      </c>
      <c r="D66" s="2" t="s">
        <v>2148</v>
      </c>
      <c r="E66" s="2" t="s">
        <v>39</v>
      </c>
      <c r="F66" s="2"/>
      <c r="G66" s="2"/>
      <c r="H66" s="2"/>
      <c r="I66" s="3">
        <f t="shared" ref="I66:I129" si="1">LEN(D66)</f>
        <v>75</v>
      </c>
    </row>
    <row r="67" spans="1:9" x14ac:dyDescent="0.3">
      <c r="A67" s="2" t="s">
        <v>212</v>
      </c>
      <c r="B67" s="2" t="s">
        <v>2150</v>
      </c>
      <c r="C67" s="2" t="s">
        <v>116</v>
      </c>
      <c r="D67" s="2" t="s">
        <v>2151</v>
      </c>
      <c r="E67" s="2"/>
      <c r="F67" s="2"/>
      <c r="G67" s="2"/>
      <c r="H67" s="2"/>
      <c r="I67" s="3">
        <f t="shared" si="1"/>
        <v>75</v>
      </c>
    </row>
    <row r="68" spans="1:9" x14ac:dyDescent="0.3">
      <c r="A68" s="2" t="s">
        <v>212</v>
      </c>
      <c r="B68" s="2" t="s">
        <v>399</v>
      </c>
      <c r="C68" s="2" t="s">
        <v>500</v>
      </c>
      <c r="D68" s="2" t="s">
        <v>2164</v>
      </c>
      <c r="E68" s="2" t="s">
        <v>39</v>
      </c>
      <c r="F68" s="2"/>
      <c r="G68" s="2"/>
      <c r="H68" s="2" t="s">
        <v>402</v>
      </c>
      <c r="I68" s="3">
        <f t="shared" si="1"/>
        <v>75</v>
      </c>
    </row>
    <row r="69" spans="1:9" x14ac:dyDescent="0.3">
      <c r="A69" s="2" t="s">
        <v>212</v>
      </c>
      <c r="B69" s="2" t="s">
        <v>399</v>
      </c>
      <c r="C69" s="2" t="s">
        <v>500</v>
      </c>
      <c r="D69" s="2" t="s">
        <v>2165</v>
      </c>
      <c r="E69" s="2" t="s">
        <v>39</v>
      </c>
      <c r="F69" s="2"/>
      <c r="G69" s="2"/>
      <c r="H69" s="2" t="s">
        <v>402</v>
      </c>
      <c r="I69" s="3">
        <f t="shared" si="1"/>
        <v>75</v>
      </c>
    </row>
    <row r="70" spans="1:9" x14ac:dyDescent="0.3">
      <c r="A70" s="2" t="s">
        <v>212</v>
      </c>
      <c r="B70" s="2" t="s">
        <v>177</v>
      </c>
      <c r="C70" s="2" t="s">
        <v>691</v>
      </c>
      <c r="D70" s="2" t="s">
        <v>2166</v>
      </c>
      <c r="E70" s="2" t="s">
        <v>39</v>
      </c>
      <c r="F70" s="2"/>
      <c r="G70" s="2"/>
      <c r="H70" s="2"/>
      <c r="I70" s="3">
        <f t="shared" si="1"/>
        <v>75</v>
      </c>
    </row>
    <row r="71" spans="1:9" x14ac:dyDescent="0.3">
      <c r="A71" s="2" t="s">
        <v>212</v>
      </c>
      <c r="B71" s="2" t="s">
        <v>2197</v>
      </c>
      <c r="C71" s="2" t="s">
        <v>1255</v>
      </c>
      <c r="D71" s="2" t="s">
        <v>2198</v>
      </c>
      <c r="E71" s="2" t="s">
        <v>39</v>
      </c>
      <c r="F71" s="2"/>
      <c r="G71" s="2"/>
      <c r="H71" s="2"/>
      <c r="I71" s="3">
        <f t="shared" si="1"/>
        <v>76</v>
      </c>
    </row>
    <row r="72" spans="1:9" ht="24" x14ac:dyDescent="0.3">
      <c r="A72" s="2" t="s">
        <v>682</v>
      </c>
      <c r="B72" s="2" t="s">
        <v>2206</v>
      </c>
      <c r="C72" s="2" t="s">
        <v>8731</v>
      </c>
      <c r="D72" s="2" t="s">
        <v>2207</v>
      </c>
      <c r="E72" s="2" t="s">
        <v>39</v>
      </c>
      <c r="F72" s="2"/>
      <c r="G72" s="2"/>
      <c r="H72" s="2"/>
      <c r="I72" s="3">
        <f t="shared" si="1"/>
        <v>76</v>
      </c>
    </row>
    <row r="73" spans="1:9" ht="24" x14ac:dyDescent="0.3">
      <c r="A73" s="2" t="s">
        <v>682</v>
      </c>
      <c r="B73" s="2" t="s">
        <v>2208</v>
      </c>
      <c r="C73" s="2" t="s">
        <v>8731</v>
      </c>
      <c r="D73" s="2" t="s">
        <v>2209</v>
      </c>
      <c r="E73" s="2"/>
      <c r="F73" s="2"/>
      <c r="G73" s="2"/>
      <c r="H73" s="2"/>
      <c r="I73" s="3">
        <f t="shared" si="1"/>
        <v>76</v>
      </c>
    </row>
    <row r="74" spans="1:9" ht="24" x14ac:dyDescent="0.3">
      <c r="A74" s="2" t="s">
        <v>682</v>
      </c>
      <c r="B74" s="2" t="s">
        <v>2210</v>
      </c>
      <c r="C74" s="2" t="s">
        <v>8731</v>
      </c>
      <c r="D74" s="2" t="s">
        <v>2211</v>
      </c>
      <c r="E74" s="2" t="s">
        <v>39</v>
      </c>
      <c r="F74" s="2"/>
      <c r="G74" s="2"/>
      <c r="H74" s="2"/>
      <c r="I74" s="3">
        <f t="shared" si="1"/>
        <v>76</v>
      </c>
    </row>
    <row r="75" spans="1:9" ht="24" x14ac:dyDescent="0.3">
      <c r="A75" s="2" t="s">
        <v>682</v>
      </c>
      <c r="B75" s="2" t="s">
        <v>2239</v>
      </c>
      <c r="C75" s="2" t="s">
        <v>9526</v>
      </c>
      <c r="D75" s="2" t="s">
        <v>2240</v>
      </c>
      <c r="E75" s="2" t="s">
        <v>39</v>
      </c>
      <c r="F75" s="2"/>
      <c r="G75" s="2"/>
      <c r="H75" s="2"/>
      <c r="I75" s="3">
        <f t="shared" si="1"/>
        <v>77</v>
      </c>
    </row>
    <row r="76" spans="1:9" ht="24" x14ac:dyDescent="0.3">
      <c r="A76" s="2" t="s">
        <v>682</v>
      </c>
      <c r="B76" s="2" t="s">
        <v>2241</v>
      </c>
      <c r="C76" s="2" t="s">
        <v>8731</v>
      </c>
      <c r="D76" s="2" t="s">
        <v>2242</v>
      </c>
      <c r="E76" s="2"/>
      <c r="F76" s="2"/>
      <c r="G76" s="2"/>
      <c r="H76" s="2"/>
      <c r="I76" s="3">
        <f t="shared" si="1"/>
        <v>77</v>
      </c>
    </row>
    <row r="77" spans="1:9" ht="24" x14ac:dyDescent="0.3">
      <c r="A77" s="2" t="s">
        <v>682</v>
      </c>
      <c r="B77" s="2" t="s">
        <v>2243</v>
      </c>
      <c r="C77" s="2" t="s">
        <v>9529</v>
      </c>
      <c r="D77" s="2" t="s">
        <v>2244</v>
      </c>
      <c r="E77" s="2" t="s">
        <v>39</v>
      </c>
      <c r="F77" s="2"/>
      <c r="G77" s="2"/>
      <c r="H77" s="2"/>
      <c r="I77" s="3">
        <f t="shared" si="1"/>
        <v>77</v>
      </c>
    </row>
    <row r="78" spans="1:9" x14ac:dyDescent="0.3">
      <c r="A78" s="2" t="s">
        <v>212</v>
      </c>
      <c r="B78" s="2" t="s">
        <v>509</v>
      </c>
      <c r="C78" s="2" t="s">
        <v>500</v>
      </c>
      <c r="D78" s="2" t="s">
        <v>2303</v>
      </c>
      <c r="E78" s="2" t="s">
        <v>39</v>
      </c>
      <c r="F78" s="2"/>
      <c r="G78" s="2"/>
      <c r="H78" s="2" t="s">
        <v>402</v>
      </c>
      <c r="I78" s="3">
        <f t="shared" si="1"/>
        <v>78</v>
      </c>
    </row>
    <row r="79" spans="1:9" x14ac:dyDescent="0.3">
      <c r="A79" s="2" t="s">
        <v>682</v>
      </c>
      <c r="B79" s="2" t="s">
        <v>2301</v>
      </c>
      <c r="C79" s="2" t="s">
        <v>408</v>
      </c>
      <c r="D79" s="2" t="s">
        <v>2302</v>
      </c>
      <c r="E79" s="2"/>
      <c r="F79" s="2"/>
      <c r="G79" s="2"/>
      <c r="H79" s="2"/>
      <c r="I79" s="3">
        <f t="shared" si="1"/>
        <v>78</v>
      </c>
    </row>
    <row r="80" spans="1:9" ht="24" x14ac:dyDescent="0.3">
      <c r="A80" s="2" t="s">
        <v>212</v>
      </c>
      <c r="B80" s="2" t="s">
        <v>2316</v>
      </c>
      <c r="C80" s="2" t="s">
        <v>2317</v>
      </c>
      <c r="D80" s="2" t="s">
        <v>2318</v>
      </c>
      <c r="E80" s="2"/>
      <c r="F80" s="2"/>
      <c r="G80" s="2"/>
      <c r="H80" s="2"/>
      <c r="I80" s="3">
        <f t="shared" si="1"/>
        <v>79</v>
      </c>
    </row>
    <row r="81" spans="1:9" x14ac:dyDescent="0.3">
      <c r="A81" s="2" t="s">
        <v>212</v>
      </c>
      <c r="B81" s="2" t="s">
        <v>509</v>
      </c>
      <c r="C81" s="2" t="s">
        <v>500</v>
      </c>
      <c r="D81" s="2" t="s">
        <v>2338</v>
      </c>
      <c r="E81" s="2" t="s">
        <v>39</v>
      </c>
      <c r="F81" s="2"/>
      <c r="G81" s="2"/>
      <c r="H81" s="2" t="s">
        <v>402</v>
      </c>
      <c r="I81" s="3">
        <f t="shared" si="1"/>
        <v>79</v>
      </c>
    </row>
    <row r="82" spans="1:9" ht="24" x14ac:dyDescent="0.3">
      <c r="A82" s="2" t="s">
        <v>682</v>
      </c>
      <c r="B82" s="2" t="s">
        <v>2332</v>
      </c>
      <c r="C82" s="2" t="s">
        <v>8731</v>
      </c>
      <c r="D82" s="2" t="s">
        <v>2333</v>
      </c>
      <c r="E82" s="2"/>
      <c r="F82" s="2"/>
      <c r="G82" s="2"/>
      <c r="H82" s="2"/>
      <c r="I82" s="3">
        <f t="shared" si="1"/>
        <v>79</v>
      </c>
    </row>
    <row r="83" spans="1:9" ht="24" x14ac:dyDescent="0.3">
      <c r="A83" s="2" t="s">
        <v>682</v>
      </c>
      <c r="B83" s="2" t="s">
        <v>2334</v>
      </c>
      <c r="C83" s="2" t="s">
        <v>8731</v>
      </c>
      <c r="D83" s="2" t="s">
        <v>2335</v>
      </c>
      <c r="E83" s="2" t="s">
        <v>39</v>
      </c>
      <c r="F83" s="2"/>
      <c r="G83" s="2"/>
      <c r="H83" s="2"/>
      <c r="I83" s="3">
        <f t="shared" si="1"/>
        <v>79</v>
      </c>
    </row>
    <row r="84" spans="1:9" ht="36" x14ac:dyDescent="0.3">
      <c r="A84" s="2" t="s">
        <v>682</v>
      </c>
      <c r="B84" s="2" t="s">
        <v>2336</v>
      </c>
      <c r="C84" s="2" t="s">
        <v>9529</v>
      </c>
      <c r="D84" s="2" t="s">
        <v>2337</v>
      </c>
      <c r="E84" s="2" t="s">
        <v>39</v>
      </c>
      <c r="F84" s="2"/>
      <c r="G84" s="2"/>
      <c r="H84" s="2"/>
      <c r="I84" s="3">
        <f t="shared" si="1"/>
        <v>79</v>
      </c>
    </row>
    <row r="85" spans="1:9" x14ac:dyDescent="0.3">
      <c r="A85" s="2" t="s">
        <v>212</v>
      </c>
      <c r="B85" s="2" t="s">
        <v>2420</v>
      </c>
      <c r="C85" s="2"/>
      <c r="D85" s="2" t="s">
        <v>2421</v>
      </c>
      <c r="E85" s="2" t="s">
        <v>39</v>
      </c>
      <c r="F85" s="2"/>
      <c r="G85" s="2"/>
      <c r="H85" s="2" t="s">
        <v>646</v>
      </c>
      <c r="I85" s="3">
        <f t="shared" si="1"/>
        <v>81</v>
      </c>
    </row>
    <row r="86" spans="1:9" ht="24" x14ac:dyDescent="0.3">
      <c r="A86" s="2" t="s">
        <v>212</v>
      </c>
      <c r="B86" s="2" t="s">
        <v>2439</v>
      </c>
      <c r="C86" s="2" t="s">
        <v>500</v>
      </c>
      <c r="D86" s="2" t="s">
        <v>2440</v>
      </c>
      <c r="E86" s="2" t="s">
        <v>39</v>
      </c>
      <c r="F86" s="2"/>
      <c r="G86" s="2"/>
      <c r="H86" s="2" t="s">
        <v>402</v>
      </c>
      <c r="I86" s="3">
        <f t="shared" si="1"/>
        <v>81</v>
      </c>
    </row>
    <row r="87" spans="1:9" x14ac:dyDescent="0.3">
      <c r="A87" s="2" t="s">
        <v>212</v>
      </c>
      <c r="B87" s="2" t="s">
        <v>509</v>
      </c>
      <c r="C87" s="2" t="s">
        <v>500</v>
      </c>
      <c r="D87" s="2" t="s">
        <v>2441</v>
      </c>
      <c r="E87" s="2" t="s">
        <v>39</v>
      </c>
      <c r="F87" s="2"/>
      <c r="G87" s="2"/>
      <c r="H87" s="2" t="s">
        <v>402</v>
      </c>
      <c r="I87" s="3">
        <f t="shared" si="1"/>
        <v>81</v>
      </c>
    </row>
    <row r="88" spans="1:9" ht="24" x14ac:dyDescent="0.3">
      <c r="A88" s="2" t="s">
        <v>682</v>
      </c>
      <c r="B88" s="2" t="s">
        <v>2406</v>
      </c>
      <c r="C88" s="2" t="s">
        <v>9525</v>
      </c>
      <c r="D88" s="2" t="s">
        <v>2407</v>
      </c>
      <c r="E88" s="2"/>
      <c r="F88" s="2"/>
      <c r="G88" s="2"/>
      <c r="H88" s="2"/>
      <c r="I88" s="3">
        <f t="shared" si="1"/>
        <v>81</v>
      </c>
    </row>
    <row r="89" spans="1:9" ht="24" x14ac:dyDescent="0.3">
      <c r="A89" s="2" t="s">
        <v>682</v>
      </c>
      <c r="B89" s="2" t="s">
        <v>2431</v>
      </c>
      <c r="C89" s="2" t="s">
        <v>8731</v>
      </c>
      <c r="D89" s="2" t="s">
        <v>2432</v>
      </c>
      <c r="E89" s="2"/>
      <c r="F89" s="2"/>
      <c r="G89" s="2"/>
      <c r="H89" s="2"/>
      <c r="I89" s="3">
        <f t="shared" si="1"/>
        <v>81</v>
      </c>
    </row>
    <row r="90" spans="1:9" ht="24" x14ac:dyDescent="0.3">
      <c r="A90" s="2" t="s">
        <v>682</v>
      </c>
      <c r="B90" s="2" t="s">
        <v>2433</v>
      </c>
      <c r="C90" s="2" t="s">
        <v>8731</v>
      </c>
      <c r="D90" s="2" t="s">
        <v>2434</v>
      </c>
      <c r="E90" s="2"/>
      <c r="F90" s="2"/>
      <c r="G90" s="2"/>
      <c r="H90" s="2"/>
      <c r="I90" s="3">
        <f t="shared" si="1"/>
        <v>81</v>
      </c>
    </row>
    <row r="91" spans="1:9" ht="24" x14ac:dyDescent="0.3">
      <c r="A91" s="2" t="s">
        <v>682</v>
      </c>
      <c r="B91" s="2" t="s">
        <v>2435</v>
      </c>
      <c r="C91" s="2" t="s">
        <v>8731</v>
      </c>
      <c r="D91" s="2" t="s">
        <v>2436</v>
      </c>
      <c r="E91" s="2" t="s">
        <v>39</v>
      </c>
      <c r="F91" s="2"/>
      <c r="G91" s="2"/>
      <c r="H91" s="2"/>
      <c r="I91" s="3">
        <f t="shared" si="1"/>
        <v>81</v>
      </c>
    </row>
    <row r="92" spans="1:9" ht="24" x14ac:dyDescent="0.3">
      <c r="A92" s="2" t="s">
        <v>682</v>
      </c>
      <c r="B92" s="2" t="s">
        <v>2437</v>
      </c>
      <c r="C92" s="2" t="s">
        <v>8731</v>
      </c>
      <c r="D92" s="2" t="s">
        <v>2438</v>
      </c>
      <c r="E92" s="2" t="s">
        <v>39</v>
      </c>
      <c r="F92" s="2"/>
      <c r="G92" s="2"/>
      <c r="H92" s="2"/>
      <c r="I92" s="3">
        <f t="shared" si="1"/>
        <v>81</v>
      </c>
    </row>
    <row r="93" spans="1:9" ht="24" x14ac:dyDescent="0.3">
      <c r="A93" s="2" t="s">
        <v>682</v>
      </c>
      <c r="B93" s="2" t="s">
        <v>2503</v>
      </c>
      <c r="C93" s="2" t="s">
        <v>8731</v>
      </c>
      <c r="D93" s="2" t="s">
        <v>2504</v>
      </c>
      <c r="E93" s="2"/>
      <c r="F93" s="2"/>
      <c r="G93" s="2"/>
      <c r="H93" s="2"/>
      <c r="I93" s="3">
        <f t="shared" si="1"/>
        <v>82</v>
      </c>
    </row>
    <row r="94" spans="1:9" ht="24" x14ac:dyDescent="0.3">
      <c r="A94" s="2" t="s">
        <v>682</v>
      </c>
      <c r="B94" s="2" t="s">
        <v>2505</v>
      </c>
      <c r="C94" s="2" t="s">
        <v>8731</v>
      </c>
      <c r="D94" s="2" t="s">
        <v>2506</v>
      </c>
      <c r="E94" s="2" t="s">
        <v>39</v>
      </c>
      <c r="F94" s="2"/>
      <c r="G94" s="2"/>
      <c r="H94" s="2"/>
      <c r="I94" s="3">
        <f t="shared" si="1"/>
        <v>82</v>
      </c>
    </row>
    <row r="95" spans="1:9" ht="24" x14ac:dyDescent="0.3">
      <c r="A95" s="2" t="s">
        <v>682</v>
      </c>
      <c r="B95" s="2" t="s">
        <v>2507</v>
      </c>
      <c r="C95" s="2" t="s">
        <v>8731</v>
      </c>
      <c r="D95" s="2" t="s">
        <v>2508</v>
      </c>
      <c r="E95" s="2" t="s">
        <v>39</v>
      </c>
      <c r="F95" s="2"/>
      <c r="G95" s="2"/>
      <c r="H95" s="2"/>
      <c r="I95" s="3">
        <f t="shared" si="1"/>
        <v>82</v>
      </c>
    </row>
    <row r="96" spans="1:9" x14ac:dyDescent="0.3">
      <c r="A96" s="2" t="s">
        <v>212</v>
      </c>
      <c r="B96" s="2" t="s">
        <v>2550</v>
      </c>
      <c r="C96" s="2"/>
      <c r="D96" s="2" t="s">
        <v>2551</v>
      </c>
      <c r="E96" s="2" t="s">
        <v>39</v>
      </c>
      <c r="F96" s="2"/>
      <c r="G96" s="2"/>
      <c r="H96" s="2"/>
      <c r="I96" s="3">
        <f t="shared" si="1"/>
        <v>83</v>
      </c>
    </row>
    <row r="97" spans="1:9" x14ac:dyDescent="0.3">
      <c r="A97" s="2" t="s">
        <v>212</v>
      </c>
      <c r="B97" s="2" t="s">
        <v>2580</v>
      </c>
      <c r="C97" s="2" t="s">
        <v>1255</v>
      </c>
      <c r="D97" s="2" t="s">
        <v>2581</v>
      </c>
      <c r="E97" s="2" t="s">
        <v>39</v>
      </c>
      <c r="F97" s="2"/>
      <c r="G97" s="2"/>
      <c r="H97" s="2"/>
      <c r="I97" s="3">
        <f t="shared" si="1"/>
        <v>83</v>
      </c>
    </row>
    <row r="98" spans="1:9" ht="24" x14ac:dyDescent="0.3">
      <c r="A98" s="2" t="s">
        <v>682</v>
      </c>
      <c r="B98" s="2" t="s">
        <v>2560</v>
      </c>
      <c r="C98" s="2" t="s">
        <v>8731</v>
      </c>
      <c r="D98" s="2" t="s">
        <v>2561</v>
      </c>
      <c r="E98" s="2"/>
      <c r="F98" s="2"/>
      <c r="G98" s="2"/>
      <c r="H98" s="2"/>
      <c r="I98" s="3">
        <f t="shared" si="1"/>
        <v>83</v>
      </c>
    </row>
    <row r="99" spans="1:9" x14ac:dyDescent="0.3">
      <c r="A99" s="2" t="s">
        <v>212</v>
      </c>
      <c r="B99" s="2" t="s">
        <v>399</v>
      </c>
      <c r="C99" s="2" t="s">
        <v>500</v>
      </c>
      <c r="D99" s="2" t="s">
        <v>2679</v>
      </c>
      <c r="E99" s="2" t="s">
        <v>39</v>
      </c>
      <c r="F99" s="2"/>
      <c r="G99" s="2"/>
      <c r="H99" s="2" t="s">
        <v>402</v>
      </c>
      <c r="I99" s="3">
        <f t="shared" si="1"/>
        <v>85</v>
      </c>
    </row>
    <row r="100" spans="1:9" ht="24" x14ac:dyDescent="0.3">
      <c r="A100" s="2" t="s">
        <v>682</v>
      </c>
      <c r="B100" s="2" t="s">
        <v>2677</v>
      </c>
      <c r="C100" s="2" t="s">
        <v>8731</v>
      </c>
      <c r="D100" s="2" t="s">
        <v>2678</v>
      </c>
      <c r="E100" s="2" t="s">
        <v>39</v>
      </c>
      <c r="F100" s="2"/>
      <c r="G100" s="2"/>
      <c r="H100" s="2"/>
      <c r="I100" s="3">
        <f t="shared" si="1"/>
        <v>85</v>
      </c>
    </row>
    <row r="101" spans="1:9" x14ac:dyDescent="0.3">
      <c r="A101" s="2" t="s">
        <v>212</v>
      </c>
      <c r="B101" s="2" t="s">
        <v>177</v>
      </c>
      <c r="C101" s="2" t="s">
        <v>178</v>
      </c>
      <c r="D101" s="2" t="s">
        <v>2732</v>
      </c>
      <c r="E101" s="2" t="s">
        <v>39</v>
      </c>
      <c r="F101" s="2"/>
      <c r="G101" s="2"/>
      <c r="H101" s="2" t="s">
        <v>194</v>
      </c>
      <c r="I101" s="3">
        <f t="shared" si="1"/>
        <v>86</v>
      </c>
    </row>
    <row r="102" spans="1:9" x14ac:dyDescent="0.3">
      <c r="A102" s="2" t="s">
        <v>212</v>
      </c>
      <c r="B102" s="2" t="s">
        <v>509</v>
      </c>
      <c r="C102" s="2" t="s">
        <v>500</v>
      </c>
      <c r="D102" s="2" t="s">
        <v>2743</v>
      </c>
      <c r="E102" s="2" t="s">
        <v>39</v>
      </c>
      <c r="F102" s="2"/>
      <c r="G102" s="2"/>
      <c r="H102" s="2" t="s">
        <v>402</v>
      </c>
      <c r="I102" s="3">
        <f t="shared" si="1"/>
        <v>86</v>
      </c>
    </row>
    <row r="103" spans="1:9" ht="24" x14ac:dyDescent="0.3">
      <c r="A103" s="2" t="s">
        <v>682</v>
      </c>
      <c r="B103" s="2" t="s">
        <v>2741</v>
      </c>
      <c r="C103" s="2" t="s">
        <v>8731</v>
      </c>
      <c r="D103" s="2" t="s">
        <v>2742</v>
      </c>
      <c r="E103" s="2" t="s">
        <v>39</v>
      </c>
      <c r="F103" s="2"/>
      <c r="G103" s="2"/>
      <c r="H103" s="2"/>
      <c r="I103" s="3">
        <f t="shared" si="1"/>
        <v>86</v>
      </c>
    </row>
    <row r="104" spans="1:9" x14ac:dyDescent="0.3">
      <c r="A104" s="2" t="s">
        <v>212</v>
      </c>
      <c r="B104" s="2" t="s">
        <v>2774</v>
      </c>
      <c r="C104" s="2" t="s">
        <v>691</v>
      </c>
      <c r="D104" s="2" t="s">
        <v>2775</v>
      </c>
      <c r="E104" s="2" t="s">
        <v>39</v>
      </c>
      <c r="F104" s="2"/>
      <c r="G104" s="2"/>
      <c r="H104" s="2"/>
      <c r="I104" s="3">
        <f t="shared" si="1"/>
        <v>87</v>
      </c>
    </row>
    <row r="105" spans="1:9" x14ac:dyDescent="0.3">
      <c r="A105" s="2" t="s">
        <v>682</v>
      </c>
      <c r="B105" s="2" t="s">
        <v>2850</v>
      </c>
      <c r="C105" s="2" t="s">
        <v>408</v>
      </c>
      <c r="D105" s="2" t="s">
        <v>2851</v>
      </c>
      <c r="E105" s="2"/>
      <c r="F105" s="2"/>
      <c r="G105" s="2"/>
      <c r="H105" s="2"/>
      <c r="I105" s="3">
        <f t="shared" si="1"/>
        <v>88</v>
      </c>
    </row>
    <row r="106" spans="1:9" ht="24" x14ac:dyDescent="0.3">
      <c r="A106" s="2" t="s">
        <v>682</v>
      </c>
      <c r="B106" s="2" t="s">
        <v>2852</v>
      </c>
      <c r="C106" s="2" t="s">
        <v>8731</v>
      </c>
      <c r="D106" s="2" t="s">
        <v>2853</v>
      </c>
      <c r="E106" s="2"/>
      <c r="F106" s="2"/>
      <c r="G106" s="2"/>
      <c r="H106" s="2"/>
      <c r="I106" s="3">
        <f t="shared" si="1"/>
        <v>88</v>
      </c>
    </row>
    <row r="107" spans="1:9" ht="24" x14ac:dyDescent="0.3">
      <c r="A107" s="2" t="s">
        <v>682</v>
      </c>
      <c r="B107" s="2" t="s">
        <v>2854</v>
      </c>
      <c r="C107" s="2" t="s">
        <v>8731</v>
      </c>
      <c r="D107" s="2" t="s">
        <v>2855</v>
      </c>
      <c r="E107" s="2" t="s">
        <v>39</v>
      </c>
      <c r="F107" s="2"/>
      <c r="G107" s="2"/>
      <c r="H107" s="2"/>
      <c r="I107" s="3">
        <f t="shared" si="1"/>
        <v>88</v>
      </c>
    </row>
    <row r="108" spans="1:9" ht="24" x14ac:dyDescent="0.3">
      <c r="A108" s="2" t="s">
        <v>682</v>
      </c>
      <c r="B108" s="2" t="s">
        <v>2905</v>
      </c>
      <c r="C108" s="2" t="s">
        <v>408</v>
      </c>
      <c r="D108" s="2" t="s">
        <v>2906</v>
      </c>
      <c r="E108" s="2"/>
      <c r="F108" s="2"/>
      <c r="G108" s="2"/>
      <c r="H108" s="2"/>
      <c r="I108" s="3">
        <f t="shared" si="1"/>
        <v>89</v>
      </c>
    </row>
    <row r="109" spans="1:9" ht="24" x14ac:dyDescent="0.3">
      <c r="A109" s="2" t="s">
        <v>682</v>
      </c>
      <c r="B109" s="2" t="s">
        <v>2907</v>
      </c>
      <c r="C109" s="2" t="s">
        <v>8731</v>
      </c>
      <c r="D109" s="2" t="s">
        <v>2908</v>
      </c>
      <c r="E109" s="2"/>
      <c r="F109" s="2"/>
      <c r="G109" s="2"/>
      <c r="H109" s="2"/>
      <c r="I109" s="3">
        <f t="shared" si="1"/>
        <v>89</v>
      </c>
    </row>
    <row r="110" spans="1:9" ht="24" x14ac:dyDescent="0.3">
      <c r="A110" s="2" t="s">
        <v>682</v>
      </c>
      <c r="B110" s="2" t="s">
        <v>2909</v>
      </c>
      <c r="C110" s="2" t="s">
        <v>8731</v>
      </c>
      <c r="D110" s="2" t="s">
        <v>2910</v>
      </c>
      <c r="E110" s="2"/>
      <c r="F110" s="2"/>
      <c r="G110" s="2"/>
      <c r="H110" s="2"/>
      <c r="I110" s="3">
        <f t="shared" si="1"/>
        <v>89</v>
      </c>
    </row>
    <row r="111" spans="1:9" ht="24" x14ac:dyDescent="0.3">
      <c r="A111" s="2" t="s">
        <v>682</v>
      </c>
      <c r="B111" s="2" t="s">
        <v>2911</v>
      </c>
      <c r="C111" s="2" t="s">
        <v>8731</v>
      </c>
      <c r="D111" s="2" t="s">
        <v>2912</v>
      </c>
      <c r="E111" s="2"/>
      <c r="F111" s="2"/>
      <c r="G111" s="2"/>
      <c r="H111" s="2"/>
      <c r="I111" s="3">
        <f t="shared" si="1"/>
        <v>89</v>
      </c>
    </row>
    <row r="112" spans="1:9" ht="36" x14ac:dyDescent="0.3">
      <c r="A112" s="2" t="s">
        <v>682</v>
      </c>
      <c r="B112" s="2" t="s">
        <v>2913</v>
      </c>
      <c r="C112" s="2" t="s">
        <v>8731</v>
      </c>
      <c r="D112" s="2" t="s">
        <v>2914</v>
      </c>
      <c r="E112" s="2"/>
      <c r="F112" s="2"/>
      <c r="G112" s="2"/>
      <c r="H112" s="2"/>
      <c r="I112" s="3">
        <f t="shared" si="1"/>
        <v>89</v>
      </c>
    </row>
    <row r="113" spans="1:9" ht="24" x14ac:dyDescent="0.3">
      <c r="A113" s="2" t="s">
        <v>682</v>
      </c>
      <c r="B113" s="2" t="s">
        <v>2915</v>
      </c>
      <c r="C113" s="2" t="s">
        <v>8731</v>
      </c>
      <c r="D113" s="2" t="s">
        <v>2916</v>
      </c>
      <c r="E113" s="2"/>
      <c r="F113" s="2"/>
      <c r="G113" s="2"/>
      <c r="H113" s="2"/>
      <c r="I113" s="3">
        <f t="shared" si="1"/>
        <v>89</v>
      </c>
    </row>
    <row r="114" spans="1:9" ht="24" x14ac:dyDescent="0.3">
      <c r="A114" s="2" t="s">
        <v>682</v>
      </c>
      <c r="B114" s="2" t="s">
        <v>2917</v>
      </c>
      <c r="C114" s="2" t="s">
        <v>8731</v>
      </c>
      <c r="D114" s="2" t="s">
        <v>2918</v>
      </c>
      <c r="E114" s="2" t="s">
        <v>39</v>
      </c>
      <c r="F114" s="2"/>
      <c r="G114" s="2"/>
      <c r="H114" s="2"/>
      <c r="I114" s="3">
        <f t="shared" si="1"/>
        <v>89</v>
      </c>
    </row>
    <row r="115" spans="1:9" x14ac:dyDescent="0.3">
      <c r="A115" s="2" t="s">
        <v>212</v>
      </c>
      <c r="B115" s="2" t="s">
        <v>2941</v>
      </c>
      <c r="C115" s="2" t="s">
        <v>144</v>
      </c>
      <c r="D115" s="2" t="s">
        <v>2942</v>
      </c>
      <c r="E115" s="2" t="s">
        <v>39</v>
      </c>
      <c r="F115" s="2"/>
      <c r="G115" s="2" t="s">
        <v>1717</v>
      </c>
      <c r="H115" s="2" t="s">
        <v>1176</v>
      </c>
      <c r="I115" s="3">
        <f t="shared" si="1"/>
        <v>90</v>
      </c>
    </row>
    <row r="116" spans="1:9" ht="36" x14ac:dyDescent="0.3">
      <c r="A116" s="2" t="s">
        <v>682</v>
      </c>
      <c r="B116" s="2" t="s">
        <v>2965</v>
      </c>
      <c r="C116" s="2" t="s">
        <v>8731</v>
      </c>
      <c r="D116" s="2" t="s">
        <v>2966</v>
      </c>
      <c r="E116" s="2" t="s">
        <v>39</v>
      </c>
      <c r="F116" s="2"/>
      <c r="G116" s="2"/>
      <c r="H116" s="2"/>
      <c r="I116" s="3">
        <f t="shared" si="1"/>
        <v>90</v>
      </c>
    </row>
    <row r="117" spans="1:9" ht="24" x14ac:dyDescent="0.3">
      <c r="A117" s="2" t="s">
        <v>682</v>
      </c>
      <c r="B117" s="2" t="s">
        <v>2967</v>
      </c>
      <c r="C117" s="2" t="s">
        <v>8731</v>
      </c>
      <c r="D117" s="2" t="s">
        <v>2968</v>
      </c>
      <c r="E117" s="2" t="s">
        <v>39</v>
      </c>
      <c r="F117" s="2"/>
      <c r="G117" s="2"/>
      <c r="H117" s="2"/>
      <c r="I117" s="3">
        <f t="shared" si="1"/>
        <v>90</v>
      </c>
    </row>
    <row r="118" spans="1:9" ht="24" x14ac:dyDescent="0.3">
      <c r="A118" s="2" t="s">
        <v>682</v>
      </c>
      <c r="B118" s="2" t="s">
        <v>2969</v>
      </c>
      <c r="C118" s="2" t="s">
        <v>8731</v>
      </c>
      <c r="D118" s="2" t="s">
        <v>2970</v>
      </c>
      <c r="E118" s="2" t="s">
        <v>39</v>
      </c>
      <c r="F118" s="2"/>
      <c r="G118" s="2"/>
      <c r="H118" s="2"/>
      <c r="I118" s="3">
        <f t="shared" si="1"/>
        <v>90</v>
      </c>
    </row>
    <row r="119" spans="1:9" ht="24" x14ac:dyDescent="0.3">
      <c r="A119" s="2" t="s">
        <v>682</v>
      </c>
      <c r="B119" s="2" t="s">
        <v>2971</v>
      </c>
      <c r="C119" s="2" t="s">
        <v>9529</v>
      </c>
      <c r="D119" s="2" t="s">
        <v>2972</v>
      </c>
      <c r="E119" s="2" t="s">
        <v>39</v>
      </c>
      <c r="F119" s="2"/>
      <c r="G119" s="2"/>
      <c r="H119" s="2"/>
      <c r="I119" s="3">
        <f t="shared" si="1"/>
        <v>90</v>
      </c>
    </row>
    <row r="120" spans="1:9" x14ac:dyDescent="0.3">
      <c r="A120" s="2" t="s">
        <v>212</v>
      </c>
      <c r="B120" s="2" t="s">
        <v>3001</v>
      </c>
      <c r="C120" s="2" t="s">
        <v>332</v>
      </c>
      <c r="D120" s="2" t="s">
        <v>3002</v>
      </c>
      <c r="E120" s="2" t="s">
        <v>242</v>
      </c>
      <c r="F120" s="2"/>
      <c r="G120" s="2"/>
      <c r="H120" s="2" t="s">
        <v>1176</v>
      </c>
      <c r="I120" s="3">
        <f t="shared" si="1"/>
        <v>91</v>
      </c>
    </row>
    <row r="121" spans="1:9" x14ac:dyDescent="0.3">
      <c r="A121" s="2" t="s">
        <v>212</v>
      </c>
      <c r="B121" s="2" t="s">
        <v>3007</v>
      </c>
      <c r="C121" s="2" t="s">
        <v>491</v>
      </c>
      <c r="D121" s="2" t="s">
        <v>3008</v>
      </c>
      <c r="E121" s="2" t="s">
        <v>39</v>
      </c>
      <c r="F121" s="2"/>
      <c r="G121" s="2"/>
      <c r="H121" s="2"/>
      <c r="I121" s="3">
        <f t="shared" si="1"/>
        <v>91</v>
      </c>
    </row>
    <row r="122" spans="1:9" ht="24" x14ac:dyDescent="0.3">
      <c r="A122" s="2" t="s">
        <v>682</v>
      </c>
      <c r="B122" s="2" t="s">
        <v>3015</v>
      </c>
      <c r="C122" s="2" t="s">
        <v>8731</v>
      </c>
      <c r="D122" s="2" t="s">
        <v>3016</v>
      </c>
      <c r="E122" s="2"/>
      <c r="F122" s="2"/>
      <c r="G122" s="2"/>
      <c r="H122" s="2"/>
      <c r="I122" s="3">
        <f t="shared" si="1"/>
        <v>91</v>
      </c>
    </row>
    <row r="123" spans="1:9" x14ac:dyDescent="0.3">
      <c r="A123" s="2" t="s">
        <v>212</v>
      </c>
      <c r="B123" s="2" t="s">
        <v>509</v>
      </c>
      <c r="C123" s="2" t="s">
        <v>500</v>
      </c>
      <c r="D123" s="2" t="s">
        <v>3063</v>
      </c>
      <c r="E123" s="2" t="s">
        <v>39</v>
      </c>
      <c r="F123" s="2"/>
      <c r="G123" s="2"/>
      <c r="H123" s="2" t="s">
        <v>402</v>
      </c>
      <c r="I123" s="3">
        <f t="shared" si="1"/>
        <v>92</v>
      </c>
    </row>
    <row r="124" spans="1:9" ht="24" x14ac:dyDescent="0.3">
      <c r="A124" s="2" t="s">
        <v>212</v>
      </c>
      <c r="B124" s="2" t="s">
        <v>3064</v>
      </c>
      <c r="C124" s="2" t="s">
        <v>3065</v>
      </c>
      <c r="D124" s="2" t="s">
        <v>3066</v>
      </c>
      <c r="E124" s="2" t="s">
        <v>39</v>
      </c>
      <c r="F124" s="2"/>
      <c r="G124" s="2"/>
      <c r="H124" s="2" t="s">
        <v>216</v>
      </c>
      <c r="I124" s="3">
        <f t="shared" si="1"/>
        <v>92</v>
      </c>
    </row>
    <row r="125" spans="1:9" ht="24" x14ac:dyDescent="0.3">
      <c r="A125" s="2" t="s">
        <v>682</v>
      </c>
      <c r="B125" s="2" t="s">
        <v>3055</v>
      </c>
      <c r="C125" s="2" t="s">
        <v>8731</v>
      </c>
      <c r="D125" s="2" t="s">
        <v>3056</v>
      </c>
      <c r="E125" s="2" t="s">
        <v>39</v>
      </c>
      <c r="F125" s="2"/>
      <c r="G125" s="2"/>
      <c r="H125" s="2"/>
      <c r="I125" s="3">
        <f t="shared" si="1"/>
        <v>92</v>
      </c>
    </row>
    <row r="126" spans="1:9" ht="24" x14ac:dyDescent="0.3">
      <c r="A126" s="2" t="s">
        <v>682</v>
      </c>
      <c r="B126" s="2" t="s">
        <v>3057</v>
      </c>
      <c r="C126" s="2" t="s">
        <v>8731</v>
      </c>
      <c r="D126" s="2" t="s">
        <v>3058</v>
      </c>
      <c r="E126" s="2"/>
      <c r="F126" s="2"/>
      <c r="G126" s="2"/>
      <c r="H126" s="2"/>
      <c r="I126" s="3">
        <f t="shared" si="1"/>
        <v>92</v>
      </c>
    </row>
    <row r="127" spans="1:9" ht="24" x14ac:dyDescent="0.3">
      <c r="A127" s="2" t="s">
        <v>682</v>
      </c>
      <c r="B127" s="2" t="s">
        <v>3059</v>
      </c>
      <c r="C127" s="2" t="s">
        <v>8731</v>
      </c>
      <c r="D127" s="2" t="s">
        <v>3060</v>
      </c>
      <c r="E127" s="2" t="s">
        <v>39</v>
      </c>
      <c r="F127" s="2"/>
      <c r="G127" s="2"/>
      <c r="H127" s="2"/>
      <c r="I127" s="3">
        <f t="shared" si="1"/>
        <v>92</v>
      </c>
    </row>
    <row r="128" spans="1:9" ht="24" x14ac:dyDescent="0.3">
      <c r="A128" s="2" t="s">
        <v>682</v>
      </c>
      <c r="B128" s="2" t="s">
        <v>3061</v>
      </c>
      <c r="C128" s="2" t="s">
        <v>8731</v>
      </c>
      <c r="D128" s="2" t="s">
        <v>3062</v>
      </c>
      <c r="E128" s="2" t="s">
        <v>39</v>
      </c>
      <c r="F128" s="2"/>
      <c r="G128" s="2"/>
      <c r="H128" s="2"/>
      <c r="I128" s="3">
        <f t="shared" si="1"/>
        <v>92</v>
      </c>
    </row>
    <row r="129" spans="1:9" x14ac:dyDescent="0.3">
      <c r="A129" s="2" t="s">
        <v>212</v>
      </c>
      <c r="B129" s="2" t="s">
        <v>3089</v>
      </c>
      <c r="C129" s="2" t="s">
        <v>763</v>
      </c>
      <c r="D129" s="2" t="s">
        <v>3090</v>
      </c>
      <c r="E129" s="2" t="s">
        <v>39</v>
      </c>
      <c r="F129" s="2"/>
      <c r="G129" s="2"/>
      <c r="H129" s="2"/>
      <c r="I129" s="3">
        <f t="shared" si="1"/>
        <v>93</v>
      </c>
    </row>
    <row r="130" spans="1:9" x14ac:dyDescent="0.3">
      <c r="A130" s="2" t="s">
        <v>212</v>
      </c>
      <c r="B130" s="2" t="s">
        <v>619</v>
      </c>
      <c r="C130" s="2" t="s">
        <v>500</v>
      </c>
      <c r="D130" s="2" t="s">
        <v>3106</v>
      </c>
      <c r="E130" s="2" t="s">
        <v>39</v>
      </c>
      <c r="F130" s="2"/>
      <c r="G130" s="2"/>
      <c r="H130" s="2" t="s">
        <v>402</v>
      </c>
      <c r="I130" s="3">
        <f t="shared" ref="I130:I193" si="2">LEN(D130)</f>
        <v>93</v>
      </c>
    </row>
    <row r="131" spans="1:9" ht="24" x14ac:dyDescent="0.3">
      <c r="A131" s="2" t="s">
        <v>682</v>
      </c>
      <c r="B131" s="2" t="s">
        <v>3092</v>
      </c>
      <c r="C131" s="2" t="s">
        <v>8731</v>
      </c>
      <c r="D131" s="2" t="s">
        <v>3093</v>
      </c>
      <c r="E131" s="2" t="s">
        <v>39</v>
      </c>
      <c r="F131" s="2"/>
      <c r="G131" s="2"/>
      <c r="H131" s="2"/>
      <c r="I131" s="3">
        <f t="shared" si="2"/>
        <v>93</v>
      </c>
    </row>
    <row r="132" spans="1:9" ht="24" x14ac:dyDescent="0.3">
      <c r="A132" s="2" t="s">
        <v>682</v>
      </c>
      <c r="B132" s="2" t="s">
        <v>3094</v>
      </c>
      <c r="C132" s="2" t="s">
        <v>8731</v>
      </c>
      <c r="D132" s="2" t="s">
        <v>3095</v>
      </c>
      <c r="E132" s="2" t="s">
        <v>39</v>
      </c>
      <c r="F132" s="2"/>
      <c r="G132" s="2"/>
      <c r="H132" s="2"/>
      <c r="I132" s="3">
        <f t="shared" si="2"/>
        <v>93</v>
      </c>
    </row>
    <row r="133" spans="1:9" ht="24" x14ac:dyDescent="0.3">
      <c r="A133" s="2" t="s">
        <v>682</v>
      </c>
      <c r="B133" s="2" t="s">
        <v>3096</v>
      </c>
      <c r="C133" s="2" t="s">
        <v>8731</v>
      </c>
      <c r="D133" s="2" t="s">
        <v>3097</v>
      </c>
      <c r="E133" s="2" t="s">
        <v>39</v>
      </c>
      <c r="F133" s="2"/>
      <c r="G133" s="2"/>
      <c r="H133" s="2"/>
      <c r="I133" s="3">
        <f t="shared" si="2"/>
        <v>93</v>
      </c>
    </row>
    <row r="134" spans="1:9" ht="24" x14ac:dyDescent="0.3">
      <c r="A134" s="2" t="s">
        <v>682</v>
      </c>
      <c r="B134" s="2" t="s">
        <v>3098</v>
      </c>
      <c r="C134" s="2" t="s">
        <v>8731</v>
      </c>
      <c r="D134" s="2" t="s">
        <v>3099</v>
      </c>
      <c r="E134" s="2" t="s">
        <v>39</v>
      </c>
      <c r="F134" s="2"/>
      <c r="G134" s="2"/>
      <c r="H134" s="2"/>
      <c r="I134" s="3">
        <f t="shared" si="2"/>
        <v>93</v>
      </c>
    </row>
    <row r="135" spans="1:9" ht="24" x14ac:dyDescent="0.3">
      <c r="A135" s="2" t="s">
        <v>682</v>
      </c>
      <c r="B135" s="2" t="s">
        <v>3100</v>
      </c>
      <c r="C135" s="2" t="s">
        <v>8731</v>
      </c>
      <c r="D135" s="2" t="s">
        <v>3101</v>
      </c>
      <c r="E135" s="2" t="s">
        <v>39</v>
      </c>
      <c r="F135" s="2"/>
      <c r="G135" s="2"/>
      <c r="H135" s="2"/>
      <c r="I135" s="3">
        <f t="shared" si="2"/>
        <v>93</v>
      </c>
    </row>
    <row r="136" spans="1:9" ht="24" x14ac:dyDescent="0.3">
      <c r="A136" s="2" t="s">
        <v>682</v>
      </c>
      <c r="B136" s="2" t="s">
        <v>3102</v>
      </c>
      <c r="C136" s="2" t="s">
        <v>8731</v>
      </c>
      <c r="D136" s="2" t="s">
        <v>3103</v>
      </c>
      <c r="E136" s="2" t="s">
        <v>2891</v>
      </c>
      <c r="F136" s="2"/>
      <c r="G136" s="2"/>
      <c r="H136" s="2"/>
      <c r="I136" s="3">
        <f t="shared" si="2"/>
        <v>93</v>
      </c>
    </row>
    <row r="137" spans="1:9" ht="36" x14ac:dyDescent="0.3">
      <c r="A137" s="2" t="s">
        <v>682</v>
      </c>
      <c r="B137" s="2" t="s">
        <v>3104</v>
      </c>
      <c r="C137" s="2" t="s">
        <v>8731</v>
      </c>
      <c r="D137" s="2" t="s">
        <v>3105</v>
      </c>
      <c r="E137" s="2" t="s">
        <v>39</v>
      </c>
      <c r="F137" s="2"/>
      <c r="G137" s="2"/>
      <c r="H137" s="2"/>
      <c r="I137" s="3">
        <f t="shared" si="2"/>
        <v>93</v>
      </c>
    </row>
    <row r="138" spans="1:9" x14ac:dyDescent="0.3">
      <c r="A138" s="2" t="s">
        <v>212</v>
      </c>
      <c r="B138" s="2" t="s">
        <v>3148</v>
      </c>
      <c r="C138" s="2" t="s">
        <v>1255</v>
      </c>
      <c r="D138" s="2" t="s">
        <v>3149</v>
      </c>
      <c r="E138" s="2" t="s">
        <v>39</v>
      </c>
      <c r="F138" s="2"/>
      <c r="G138" s="2"/>
      <c r="H138" s="2" t="s">
        <v>194</v>
      </c>
      <c r="I138" s="3">
        <f t="shared" si="2"/>
        <v>94</v>
      </c>
    </row>
    <row r="139" spans="1:9" ht="24" x14ac:dyDescent="0.3">
      <c r="A139" s="2" t="s">
        <v>682</v>
      </c>
      <c r="B139" s="2" t="s">
        <v>3150</v>
      </c>
      <c r="C139" s="2" t="s">
        <v>8731</v>
      </c>
      <c r="D139" s="2" t="s">
        <v>3151</v>
      </c>
      <c r="E139" s="2" t="s">
        <v>39</v>
      </c>
      <c r="F139" s="2"/>
      <c r="G139" s="2"/>
      <c r="H139" s="2"/>
      <c r="I139" s="3">
        <f t="shared" si="2"/>
        <v>94</v>
      </c>
    </row>
    <row r="140" spans="1:9" ht="24" x14ac:dyDescent="0.3">
      <c r="A140" s="2" t="s">
        <v>682</v>
      </c>
      <c r="B140" s="2" t="s">
        <v>3152</v>
      </c>
      <c r="C140" s="2" t="s">
        <v>8731</v>
      </c>
      <c r="D140" s="2" t="s">
        <v>3153</v>
      </c>
      <c r="E140" s="2"/>
      <c r="F140" s="2"/>
      <c r="G140" s="2"/>
      <c r="H140" s="2"/>
      <c r="I140" s="3">
        <f t="shared" si="2"/>
        <v>94</v>
      </c>
    </row>
    <row r="141" spans="1:9" ht="24" x14ac:dyDescent="0.3">
      <c r="A141" s="2" t="s">
        <v>682</v>
      </c>
      <c r="B141" s="2" t="s">
        <v>3154</v>
      </c>
      <c r="C141" s="2" t="s">
        <v>8731</v>
      </c>
      <c r="D141" s="2" t="s">
        <v>3155</v>
      </c>
      <c r="E141" s="2" t="s">
        <v>39</v>
      </c>
      <c r="F141" s="2"/>
      <c r="G141" s="2"/>
      <c r="H141" s="2"/>
      <c r="I141" s="3">
        <f t="shared" si="2"/>
        <v>94</v>
      </c>
    </row>
    <row r="142" spans="1:9" ht="24" x14ac:dyDescent="0.3">
      <c r="A142" s="2" t="s">
        <v>682</v>
      </c>
      <c r="B142" s="2" t="s">
        <v>3156</v>
      </c>
      <c r="C142" s="2" t="s">
        <v>8731</v>
      </c>
      <c r="D142" s="2" t="s">
        <v>3157</v>
      </c>
      <c r="E142" s="2" t="s">
        <v>39</v>
      </c>
      <c r="F142" s="2"/>
      <c r="G142" s="2"/>
      <c r="H142" s="2"/>
      <c r="I142" s="3">
        <f t="shared" si="2"/>
        <v>94</v>
      </c>
    </row>
    <row r="143" spans="1:9" x14ac:dyDescent="0.3">
      <c r="A143" s="2" t="s">
        <v>212</v>
      </c>
      <c r="B143" s="2" t="s">
        <v>399</v>
      </c>
      <c r="C143" s="2" t="s">
        <v>500</v>
      </c>
      <c r="D143" s="2" t="s">
        <v>3193</v>
      </c>
      <c r="E143" s="2" t="s">
        <v>39</v>
      </c>
      <c r="F143" s="2"/>
      <c r="G143" s="2"/>
      <c r="H143" s="2" t="s">
        <v>402</v>
      </c>
      <c r="I143" s="3">
        <f t="shared" si="2"/>
        <v>95</v>
      </c>
    </row>
    <row r="144" spans="1:9" ht="24" x14ac:dyDescent="0.3">
      <c r="A144" s="2" t="s">
        <v>682</v>
      </c>
      <c r="B144" s="2" t="s">
        <v>3189</v>
      </c>
      <c r="C144" s="2" t="s">
        <v>8731</v>
      </c>
      <c r="D144" s="2" t="s">
        <v>3190</v>
      </c>
      <c r="E144" s="2" t="s">
        <v>39</v>
      </c>
      <c r="F144" s="2"/>
      <c r="G144" s="2"/>
      <c r="H144" s="2"/>
      <c r="I144" s="3">
        <f t="shared" si="2"/>
        <v>95</v>
      </c>
    </row>
    <row r="145" spans="1:9" ht="24" x14ac:dyDescent="0.3">
      <c r="A145" s="2" t="s">
        <v>682</v>
      </c>
      <c r="B145" s="2" t="s">
        <v>3191</v>
      </c>
      <c r="C145" s="2" t="s">
        <v>9530</v>
      </c>
      <c r="D145" s="2" t="s">
        <v>3192</v>
      </c>
      <c r="E145" s="2"/>
      <c r="F145" s="2"/>
      <c r="G145" s="2"/>
      <c r="H145" s="2"/>
      <c r="I145" s="3">
        <f t="shared" si="2"/>
        <v>95</v>
      </c>
    </row>
    <row r="146" spans="1:9" x14ac:dyDescent="0.3">
      <c r="A146" s="2" t="s">
        <v>682</v>
      </c>
      <c r="B146" s="2" t="s">
        <v>3196</v>
      </c>
      <c r="C146" s="2" t="s">
        <v>408</v>
      </c>
      <c r="D146" s="2" t="s">
        <v>3197</v>
      </c>
      <c r="E146" s="2"/>
      <c r="F146" s="2"/>
      <c r="G146" s="2"/>
      <c r="H146" s="2"/>
      <c r="I146" s="3">
        <f t="shared" si="2"/>
        <v>95</v>
      </c>
    </row>
    <row r="147" spans="1:9" x14ac:dyDescent="0.3">
      <c r="A147" s="2" t="s">
        <v>212</v>
      </c>
      <c r="B147" s="2" t="s">
        <v>399</v>
      </c>
      <c r="C147" s="2" t="s">
        <v>500</v>
      </c>
      <c r="D147" s="2" t="s">
        <v>3241</v>
      </c>
      <c r="E147" s="2" t="s">
        <v>39</v>
      </c>
      <c r="F147" s="2"/>
      <c r="G147" s="2"/>
      <c r="H147" s="2" t="s">
        <v>402</v>
      </c>
      <c r="I147" s="3">
        <f t="shared" si="2"/>
        <v>96</v>
      </c>
    </row>
    <row r="148" spans="1:9" ht="36" x14ac:dyDescent="0.3">
      <c r="A148" s="2" t="s">
        <v>682</v>
      </c>
      <c r="B148" s="2" t="s">
        <v>3239</v>
      </c>
      <c r="C148" s="2" t="s">
        <v>8731</v>
      </c>
      <c r="D148" s="2" t="s">
        <v>3240</v>
      </c>
      <c r="E148" s="2" t="s">
        <v>39</v>
      </c>
      <c r="F148" s="2"/>
      <c r="G148" s="2"/>
      <c r="H148" s="2"/>
      <c r="I148" s="3">
        <f t="shared" si="2"/>
        <v>96</v>
      </c>
    </row>
    <row r="149" spans="1:9" x14ac:dyDescent="0.3">
      <c r="A149" s="2" t="s">
        <v>212</v>
      </c>
      <c r="B149" s="2" t="s">
        <v>3284</v>
      </c>
      <c r="C149" s="2" t="s">
        <v>3285</v>
      </c>
      <c r="D149" s="2" t="s">
        <v>3286</v>
      </c>
      <c r="E149" s="2" t="s">
        <v>383</v>
      </c>
      <c r="F149" s="2"/>
      <c r="G149" s="2"/>
      <c r="H149" s="2"/>
      <c r="I149" s="3">
        <f t="shared" si="2"/>
        <v>97</v>
      </c>
    </row>
    <row r="150" spans="1:9" ht="24" x14ac:dyDescent="0.3">
      <c r="A150" s="2" t="s">
        <v>682</v>
      </c>
      <c r="B150" s="2" t="s">
        <v>3287</v>
      </c>
      <c r="C150" s="2" t="s">
        <v>8731</v>
      </c>
      <c r="D150" s="2" t="s">
        <v>3288</v>
      </c>
      <c r="E150" s="2" t="s">
        <v>39</v>
      </c>
      <c r="F150" s="2"/>
      <c r="G150" s="2"/>
      <c r="H150" s="2"/>
      <c r="I150" s="3">
        <f t="shared" si="2"/>
        <v>97</v>
      </c>
    </row>
    <row r="151" spans="1:9" ht="24" x14ac:dyDescent="0.3">
      <c r="A151" s="2" t="s">
        <v>682</v>
      </c>
      <c r="B151" s="2" t="s">
        <v>3289</v>
      </c>
      <c r="C151" s="2" t="s">
        <v>8731</v>
      </c>
      <c r="D151" s="2" t="s">
        <v>3290</v>
      </c>
      <c r="E151" s="2"/>
      <c r="F151" s="2"/>
      <c r="G151" s="2"/>
      <c r="H151" s="2"/>
      <c r="I151" s="3">
        <f t="shared" si="2"/>
        <v>97</v>
      </c>
    </row>
    <row r="152" spans="1:9" ht="24" x14ac:dyDescent="0.3">
      <c r="A152" s="2" t="s">
        <v>682</v>
      </c>
      <c r="B152" s="2" t="s">
        <v>3291</v>
      </c>
      <c r="C152" s="2" t="s">
        <v>8731</v>
      </c>
      <c r="D152" s="2" t="s">
        <v>3292</v>
      </c>
      <c r="E152" s="2"/>
      <c r="F152" s="2"/>
      <c r="G152" s="2"/>
      <c r="H152" s="2"/>
      <c r="I152" s="3">
        <f t="shared" si="2"/>
        <v>97</v>
      </c>
    </row>
    <row r="153" spans="1:9" ht="24" x14ac:dyDescent="0.3">
      <c r="A153" s="2" t="s">
        <v>682</v>
      </c>
      <c r="B153" s="2" t="s">
        <v>3326</v>
      </c>
      <c r="C153" s="2" t="s">
        <v>8731</v>
      </c>
      <c r="D153" s="2" t="s">
        <v>3327</v>
      </c>
      <c r="E153" s="2" t="s">
        <v>39</v>
      </c>
      <c r="F153" s="2"/>
      <c r="G153" s="2"/>
      <c r="H153" s="2"/>
      <c r="I153" s="3">
        <f t="shared" si="2"/>
        <v>98</v>
      </c>
    </row>
    <row r="154" spans="1:9" ht="24" x14ac:dyDescent="0.3">
      <c r="A154" s="2" t="s">
        <v>682</v>
      </c>
      <c r="B154" s="2" t="s">
        <v>3328</v>
      </c>
      <c r="C154" s="2" t="s">
        <v>8731</v>
      </c>
      <c r="D154" s="2" t="s">
        <v>3329</v>
      </c>
      <c r="E154" s="2" t="s">
        <v>39</v>
      </c>
      <c r="F154" s="2"/>
      <c r="G154" s="2"/>
      <c r="H154" s="2"/>
      <c r="I154" s="3">
        <f t="shared" si="2"/>
        <v>98</v>
      </c>
    </row>
    <row r="155" spans="1:9" ht="36" x14ac:dyDescent="0.3">
      <c r="A155" s="2" t="s">
        <v>682</v>
      </c>
      <c r="B155" s="2" t="s">
        <v>3367</v>
      </c>
      <c r="C155" s="2" t="s">
        <v>8731</v>
      </c>
      <c r="D155" s="2" t="s">
        <v>3368</v>
      </c>
      <c r="E155" s="2"/>
      <c r="F155" s="2"/>
      <c r="G155" s="2"/>
      <c r="H155" s="2"/>
      <c r="I155" s="3">
        <f t="shared" si="2"/>
        <v>99</v>
      </c>
    </row>
    <row r="156" spans="1:9" x14ac:dyDescent="0.3">
      <c r="A156" s="2" t="s">
        <v>212</v>
      </c>
      <c r="B156" s="2" t="s">
        <v>3408</v>
      </c>
      <c r="C156" s="2"/>
      <c r="D156" s="2" t="s">
        <v>3409</v>
      </c>
      <c r="E156" s="2" t="s">
        <v>39</v>
      </c>
      <c r="F156" s="2"/>
      <c r="G156" s="2"/>
      <c r="H156" s="2" t="s">
        <v>216</v>
      </c>
      <c r="I156" s="3">
        <f t="shared" si="2"/>
        <v>100</v>
      </c>
    </row>
    <row r="157" spans="1:9" x14ac:dyDescent="0.3">
      <c r="A157" s="2" t="s">
        <v>212</v>
      </c>
      <c r="B157" s="2" t="s">
        <v>399</v>
      </c>
      <c r="C157" s="2" t="s">
        <v>500</v>
      </c>
      <c r="D157" s="2" t="s">
        <v>3420</v>
      </c>
      <c r="E157" s="2" t="s">
        <v>39</v>
      </c>
      <c r="F157" s="2"/>
      <c r="G157" s="2"/>
      <c r="H157" s="2" t="s">
        <v>402</v>
      </c>
      <c r="I157" s="3">
        <f t="shared" si="2"/>
        <v>100</v>
      </c>
    </row>
    <row r="158" spans="1:9" ht="24" x14ac:dyDescent="0.3">
      <c r="A158" s="2" t="s">
        <v>682</v>
      </c>
      <c r="B158" s="2" t="s">
        <v>3418</v>
      </c>
      <c r="C158" s="2" t="s">
        <v>8731</v>
      </c>
      <c r="D158" s="2" t="s">
        <v>3419</v>
      </c>
      <c r="E158" s="2"/>
      <c r="F158" s="2"/>
      <c r="G158" s="2"/>
      <c r="H158" s="2"/>
      <c r="I158" s="3">
        <f t="shared" si="2"/>
        <v>100</v>
      </c>
    </row>
    <row r="159" spans="1:9" x14ac:dyDescent="0.3">
      <c r="A159" s="2" t="s">
        <v>212</v>
      </c>
      <c r="B159" s="2" t="s">
        <v>3462</v>
      </c>
      <c r="C159" s="2" t="s">
        <v>178</v>
      </c>
      <c r="D159" s="2" t="s">
        <v>3463</v>
      </c>
      <c r="E159" s="2" t="s">
        <v>39</v>
      </c>
      <c r="F159" s="2"/>
      <c r="G159" s="2"/>
      <c r="H159" s="2"/>
      <c r="I159" s="3">
        <f t="shared" si="2"/>
        <v>101</v>
      </c>
    </row>
    <row r="160" spans="1:9" ht="36" x14ac:dyDescent="0.3">
      <c r="A160" s="2" t="s">
        <v>682</v>
      </c>
      <c r="B160" s="2" t="s">
        <v>3460</v>
      </c>
      <c r="C160" s="2" t="s">
        <v>8731</v>
      </c>
      <c r="D160" s="2" t="s">
        <v>3461</v>
      </c>
      <c r="E160" s="2" t="s">
        <v>39</v>
      </c>
      <c r="F160" s="2"/>
      <c r="G160" s="2"/>
      <c r="H160" s="2"/>
      <c r="I160" s="3">
        <f t="shared" si="2"/>
        <v>101</v>
      </c>
    </row>
    <row r="161" spans="1:9" ht="24" x14ac:dyDescent="0.3">
      <c r="A161" s="2" t="s">
        <v>212</v>
      </c>
      <c r="B161" s="2" t="s">
        <v>3532</v>
      </c>
      <c r="C161" s="2" t="s">
        <v>422</v>
      </c>
      <c r="D161" s="2" t="s">
        <v>3533</v>
      </c>
      <c r="E161" s="2" t="s">
        <v>39</v>
      </c>
      <c r="F161" s="2"/>
      <c r="G161" s="2"/>
      <c r="H161" s="2"/>
      <c r="I161" s="3">
        <f t="shared" si="2"/>
        <v>103</v>
      </c>
    </row>
    <row r="162" spans="1:9" ht="24" x14ac:dyDescent="0.3">
      <c r="A162" s="2" t="s">
        <v>212</v>
      </c>
      <c r="B162" s="2" t="s">
        <v>509</v>
      </c>
      <c r="C162" s="2" t="s">
        <v>500</v>
      </c>
      <c r="D162" s="2" t="s">
        <v>3600</v>
      </c>
      <c r="E162" s="2" t="s">
        <v>39</v>
      </c>
      <c r="F162" s="2"/>
      <c r="G162" s="2"/>
      <c r="H162" s="2" t="s">
        <v>402</v>
      </c>
      <c r="I162" s="3">
        <f t="shared" si="2"/>
        <v>104</v>
      </c>
    </row>
    <row r="163" spans="1:9" ht="36" x14ac:dyDescent="0.3">
      <c r="A163" s="2" t="s">
        <v>682</v>
      </c>
      <c r="B163" s="2" t="s">
        <v>3596</v>
      </c>
      <c r="C163" s="2" t="s">
        <v>8731</v>
      </c>
      <c r="D163" s="2" t="s">
        <v>3597</v>
      </c>
      <c r="E163" s="2" t="s">
        <v>39</v>
      </c>
      <c r="F163" s="2"/>
      <c r="G163" s="2"/>
      <c r="H163" s="2"/>
      <c r="I163" s="3">
        <f t="shared" si="2"/>
        <v>104</v>
      </c>
    </row>
    <row r="164" spans="1:9" ht="24" x14ac:dyDescent="0.3">
      <c r="A164" s="2" t="s">
        <v>682</v>
      </c>
      <c r="B164" s="2" t="s">
        <v>3598</v>
      </c>
      <c r="C164" s="2" t="s">
        <v>8731</v>
      </c>
      <c r="D164" s="2" t="s">
        <v>3599</v>
      </c>
      <c r="E164" s="2" t="s">
        <v>39</v>
      </c>
      <c r="F164" s="2"/>
      <c r="G164" s="2"/>
      <c r="H164" s="2"/>
      <c r="I164" s="3">
        <f t="shared" si="2"/>
        <v>104</v>
      </c>
    </row>
    <row r="165" spans="1:9" ht="24" x14ac:dyDescent="0.3">
      <c r="A165" s="2" t="s">
        <v>682</v>
      </c>
      <c r="B165" s="2" t="s">
        <v>3098</v>
      </c>
      <c r="C165" s="2" t="s">
        <v>8731</v>
      </c>
      <c r="D165" s="2" t="s">
        <v>3665</v>
      </c>
      <c r="E165" s="2" t="s">
        <v>39</v>
      </c>
      <c r="F165" s="2"/>
      <c r="G165" s="2"/>
      <c r="H165" s="2"/>
      <c r="I165" s="3">
        <f t="shared" si="2"/>
        <v>106</v>
      </c>
    </row>
    <row r="166" spans="1:9" ht="24" x14ac:dyDescent="0.3">
      <c r="A166" s="2" t="s">
        <v>682</v>
      </c>
      <c r="B166" s="2" t="s">
        <v>3666</v>
      </c>
      <c r="C166" s="2" t="s">
        <v>8731</v>
      </c>
      <c r="D166" s="2" t="s">
        <v>3667</v>
      </c>
      <c r="E166" s="2" t="s">
        <v>39</v>
      </c>
      <c r="F166" s="2"/>
      <c r="G166" s="2"/>
      <c r="H166" s="2"/>
      <c r="I166" s="3">
        <f t="shared" si="2"/>
        <v>106</v>
      </c>
    </row>
    <row r="167" spans="1:9" ht="24" x14ac:dyDescent="0.3">
      <c r="A167" s="2" t="s">
        <v>682</v>
      </c>
      <c r="B167" s="2" t="s">
        <v>3724</v>
      </c>
      <c r="C167" s="2" t="s">
        <v>8731</v>
      </c>
      <c r="D167" s="2" t="s">
        <v>3725</v>
      </c>
      <c r="E167" s="2"/>
      <c r="F167" s="2"/>
      <c r="G167" s="2"/>
      <c r="H167" s="2"/>
      <c r="I167" s="3">
        <f t="shared" si="2"/>
        <v>107</v>
      </c>
    </row>
    <row r="168" spans="1:9" ht="36" x14ac:dyDescent="0.3">
      <c r="A168" s="2" t="s">
        <v>682</v>
      </c>
      <c r="B168" s="2" t="s">
        <v>3726</v>
      </c>
      <c r="C168" s="2" t="s">
        <v>8731</v>
      </c>
      <c r="D168" s="2" t="s">
        <v>3727</v>
      </c>
      <c r="E168" s="2" t="s">
        <v>39</v>
      </c>
      <c r="F168" s="2"/>
      <c r="G168" s="2"/>
      <c r="H168" s="2"/>
      <c r="I168" s="3">
        <f t="shared" si="2"/>
        <v>107</v>
      </c>
    </row>
    <row r="169" spans="1:9" ht="36" x14ac:dyDescent="0.3">
      <c r="A169" s="2" t="s">
        <v>682</v>
      </c>
      <c r="B169" s="2" t="s">
        <v>3763</v>
      </c>
      <c r="C169" s="2" t="s">
        <v>8731</v>
      </c>
      <c r="D169" s="2" t="s">
        <v>3764</v>
      </c>
      <c r="E169" s="2" t="s">
        <v>39</v>
      </c>
      <c r="F169" s="2"/>
      <c r="G169" s="2"/>
      <c r="H169" s="2"/>
      <c r="I169" s="3">
        <f t="shared" si="2"/>
        <v>108</v>
      </c>
    </row>
    <row r="170" spans="1:9" ht="36" x14ac:dyDescent="0.3">
      <c r="A170" s="2" t="s">
        <v>682</v>
      </c>
      <c r="B170" s="2" t="s">
        <v>3765</v>
      </c>
      <c r="C170" s="2" t="s">
        <v>8731</v>
      </c>
      <c r="D170" s="2" t="s">
        <v>3766</v>
      </c>
      <c r="E170" s="2"/>
      <c r="F170" s="2"/>
      <c r="G170" s="2"/>
      <c r="H170" s="2"/>
      <c r="I170" s="3">
        <f t="shared" si="2"/>
        <v>108</v>
      </c>
    </row>
    <row r="171" spans="1:9" ht="24" x14ac:dyDescent="0.3">
      <c r="A171" s="2" t="s">
        <v>682</v>
      </c>
      <c r="B171" s="2" t="s">
        <v>3767</v>
      </c>
      <c r="C171" s="2" t="s">
        <v>8731</v>
      </c>
      <c r="D171" s="2" t="s">
        <v>3768</v>
      </c>
      <c r="E171" s="2"/>
      <c r="F171" s="2"/>
      <c r="G171" s="2"/>
      <c r="H171" s="2"/>
      <c r="I171" s="3">
        <f t="shared" si="2"/>
        <v>108</v>
      </c>
    </row>
    <row r="172" spans="1:9" ht="24" x14ac:dyDescent="0.3">
      <c r="A172" s="2" t="s">
        <v>212</v>
      </c>
      <c r="B172" s="2" t="s">
        <v>3797</v>
      </c>
      <c r="C172" s="2" t="s">
        <v>544</v>
      </c>
      <c r="D172" s="2" t="s">
        <v>3798</v>
      </c>
      <c r="E172" s="2" t="s">
        <v>39</v>
      </c>
      <c r="F172" s="2"/>
      <c r="G172" s="2"/>
      <c r="H172" s="2"/>
      <c r="I172" s="3">
        <f t="shared" si="2"/>
        <v>109</v>
      </c>
    </row>
    <row r="173" spans="1:9" ht="24" x14ac:dyDescent="0.3">
      <c r="A173" s="2" t="s">
        <v>682</v>
      </c>
      <c r="B173" s="2" t="s">
        <v>3811</v>
      </c>
      <c r="C173" s="2" t="s">
        <v>408</v>
      </c>
      <c r="D173" s="2" t="s">
        <v>3812</v>
      </c>
      <c r="E173" s="2"/>
      <c r="F173" s="2"/>
      <c r="G173" s="2"/>
      <c r="H173" s="2"/>
      <c r="I173" s="3">
        <f t="shared" si="2"/>
        <v>109</v>
      </c>
    </row>
    <row r="174" spans="1:9" ht="36" x14ac:dyDescent="0.3">
      <c r="A174" s="2" t="s">
        <v>682</v>
      </c>
      <c r="B174" s="2" t="s">
        <v>3813</v>
      </c>
      <c r="C174" s="2" t="s">
        <v>8731</v>
      </c>
      <c r="D174" s="2" t="s">
        <v>3814</v>
      </c>
      <c r="E174" s="2"/>
      <c r="F174" s="2"/>
      <c r="G174" s="2"/>
      <c r="H174" s="2"/>
      <c r="I174" s="3">
        <f t="shared" si="2"/>
        <v>109</v>
      </c>
    </row>
    <row r="175" spans="1:9" ht="24" x14ac:dyDescent="0.3">
      <c r="A175" s="2" t="s">
        <v>682</v>
      </c>
      <c r="B175" s="2" t="s">
        <v>3815</v>
      </c>
      <c r="C175" s="2" t="s">
        <v>8731</v>
      </c>
      <c r="D175" s="2" t="s">
        <v>3816</v>
      </c>
      <c r="E175" s="2" t="s">
        <v>39</v>
      </c>
      <c r="F175" s="2"/>
      <c r="G175" s="2"/>
      <c r="H175" s="2"/>
      <c r="I175" s="3">
        <f t="shared" si="2"/>
        <v>109</v>
      </c>
    </row>
    <row r="176" spans="1:9" ht="24" x14ac:dyDescent="0.3">
      <c r="A176" s="2" t="s">
        <v>212</v>
      </c>
      <c r="B176" s="2" t="s">
        <v>3849</v>
      </c>
      <c r="C176" s="2" t="s">
        <v>544</v>
      </c>
      <c r="D176" s="2" t="s">
        <v>3850</v>
      </c>
      <c r="E176" s="2" t="s">
        <v>39</v>
      </c>
      <c r="F176" s="2"/>
      <c r="G176" s="2"/>
      <c r="H176" s="2"/>
      <c r="I176" s="3">
        <f t="shared" si="2"/>
        <v>110</v>
      </c>
    </row>
    <row r="177" spans="1:9" ht="24" x14ac:dyDescent="0.3">
      <c r="A177" s="2" t="s">
        <v>212</v>
      </c>
      <c r="B177" s="2" t="s">
        <v>3855</v>
      </c>
      <c r="C177" s="2" t="s">
        <v>1255</v>
      </c>
      <c r="D177" s="2" t="s">
        <v>3856</v>
      </c>
      <c r="E177" s="2" t="s">
        <v>39</v>
      </c>
      <c r="F177" s="2"/>
      <c r="G177" s="2"/>
      <c r="H177" s="2"/>
      <c r="I177" s="3">
        <f t="shared" si="2"/>
        <v>110</v>
      </c>
    </row>
    <row r="178" spans="1:9" ht="24" x14ac:dyDescent="0.3">
      <c r="A178" s="2" t="s">
        <v>682</v>
      </c>
      <c r="B178" s="2" t="s">
        <v>3851</v>
      </c>
      <c r="C178" s="2" t="s">
        <v>8731</v>
      </c>
      <c r="D178" s="2" t="s">
        <v>3852</v>
      </c>
      <c r="E178" s="2" t="s">
        <v>39</v>
      </c>
      <c r="F178" s="2"/>
      <c r="G178" s="2"/>
      <c r="H178" s="2"/>
      <c r="I178" s="3">
        <f t="shared" si="2"/>
        <v>110</v>
      </c>
    </row>
    <row r="179" spans="1:9" ht="36" x14ac:dyDescent="0.3">
      <c r="A179" s="2" t="s">
        <v>682</v>
      </c>
      <c r="B179" s="2" t="s">
        <v>3853</v>
      </c>
      <c r="C179" s="2" t="s">
        <v>8731</v>
      </c>
      <c r="D179" s="2" t="s">
        <v>3854</v>
      </c>
      <c r="E179" s="2" t="s">
        <v>39</v>
      </c>
      <c r="F179" s="2"/>
      <c r="G179" s="2"/>
      <c r="H179" s="2"/>
      <c r="I179" s="3">
        <f t="shared" si="2"/>
        <v>110</v>
      </c>
    </row>
    <row r="180" spans="1:9" ht="24" x14ac:dyDescent="0.3">
      <c r="A180" s="2" t="s">
        <v>212</v>
      </c>
      <c r="B180" s="2" t="s">
        <v>399</v>
      </c>
      <c r="C180" s="2" t="s">
        <v>500</v>
      </c>
      <c r="D180" s="2" t="s">
        <v>3885</v>
      </c>
      <c r="E180" s="2" t="s">
        <v>39</v>
      </c>
      <c r="F180" s="2"/>
      <c r="G180" s="2"/>
      <c r="H180" s="2" t="s">
        <v>402</v>
      </c>
      <c r="I180" s="3">
        <f t="shared" si="2"/>
        <v>111</v>
      </c>
    </row>
    <row r="181" spans="1:9" ht="24" x14ac:dyDescent="0.3">
      <c r="A181" s="2" t="s">
        <v>682</v>
      </c>
      <c r="B181" s="2" t="s">
        <v>3883</v>
      </c>
      <c r="C181" s="2" t="s">
        <v>8731</v>
      </c>
      <c r="D181" s="2" t="s">
        <v>3884</v>
      </c>
      <c r="E181" s="2"/>
      <c r="F181" s="2"/>
      <c r="G181" s="2"/>
      <c r="H181" s="2"/>
      <c r="I181" s="3">
        <f t="shared" si="2"/>
        <v>111</v>
      </c>
    </row>
    <row r="182" spans="1:9" ht="24" x14ac:dyDescent="0.3">
      <c r="A182" s="2" t="s">
        <v>212</v>
      </c>
      <c r="B182" s="2" t="s">
        <v>3919</v>
      </c>
      <c r="C182" s="2"/>
      <c r="D182" s="2" t="s">
        <v>3920</v>
      </c>
      <c r="E182" s="2" t="s">
        <v>39</v>
      </c>
      <c r="F182" s="2"/>
      <c r="G182" s="2"/>
      <c r="H182" s="2"/>
      <c r="I182" s="3">
        <f t="shared" si="2"/>
        <v>112</v>
      </c>
    </row>
    <row r="183" spans="1:9" ht="24" x14ac:dyDescent="0.3">
      <c r="A183" s="2" t="s">
        <v>682</v>
      </c>
      <c r="B183" s="2" t="s">
        <v>3927</v>
      </c>
      <c r="C183" s="2" t="s">
        <v>8731</v>
      </c>
      <c r="D183" s="2" t="s">
        <v>3928</v>
      </c>
      <c r="E183" s="2"/>
      <c r="F183" s="2"/>
      <c r="G183" s="2"/>
      <c r="H183" s="2" t="s">
        <v>194</v>
      </c>
      <c r="I183" s="3">
        <f t="shared" si="2"/>
        <v>112</v>
      </c>
    </row>
    <row r="184" spans="1:9" ht="24" x14ac:dyDescent="0.3">
      <c r="A184" s="2" t="s">
        <v>212</v>
      </c>
      <c r="B184" s="2" t="s">
        <v>3970</v>
      </c>
      <c r="C184" s="2" t="s">
        <v>2057</v>
      </c>
      <c r="D184" s="2" t="s">
        <v>3971</v>
      </c>
      <c r="E184" s="2" t="s">
        <v>39</v>
      </c>
      <c r="F184" s="2"/>
      <c r="G184" s="2"/>
      <c r="H184" s="2"/>
      <c r="I184" s="3">
        <f t="shared" si="2"/>
        <v>113</v>
      </c>
    </row>
    <row r="185" spans="1:9" ht="36" x14ac:dyDescent="0.3">
      <c r="A185" s="2" t="s">
        <v>682</v>
      </c>
      <c r="B185" s="2" t="s">
        <v>3974</v>
      </c>
      <c r="C185" s="2" t="s">
        <v>8731</v>
      </c>
      <c r="D185" s="2" t="s">
        <v>3975</v>
      </c>
      <c r="E185" s="2"/>
      <c r="F185" s="2"/>
      <c r="G185" s="2"/>
      <c r="H185" s="2"/>
      <c r="I185" s="3">
        <f t="shared" si="2"/>
        <v>113</v>
      </c>
    </row>
    <row r="186" spans="1:9" ht="24" x14ac:dyDescent="0.3">
      <c r="A186" s="2" t="s">
        <v>682</v>
      </c>
      <c r="B186" s="2" t="s">
        <v>4065</v>
      </c>
      <c r="C186" s="3" t="s">
        <v>408</v>
      </c>
      <c r="D186" s="2" t="s">
        <v>4066</v>
      </c>
      <c r="E186" s="2"/>
      <c r="F186" s="2"/>
      <c r="G186" s="2"/>
      <c r="H186" s="2"/>
      <c r="I186" s="3">
        <f t="shared" si="2"/>
        <v>116</v>
      </c>
    </row>
    <row r="187" spans="1:9" ht="36" x14ac:dyDescent="0.3">
      <c r="A187" s="2" t="s">
        <v>682</v>
      </c>
      <c r="B187" s="2" t="s">
        <v>4067</v>
      </c>
      <c r="C187" s="2" t="s">
        <v>8731</v>
      </c>
      <c r="D187" s="2" t="s">
        <v>4068</v>
      </c>
      <c r="E187" s="2"/>
      <c r="F187" s="2"/>
      <c r="G187" s="2"/>
      <c r="H187" s="2"/>
      <c r="I187" s="3">
        <f t="shared" si="2"/>
        <v>116</v>
      </c>
    </row>
    <row r="188" spans="1:9" ht="24" x14ac:dyDescent="0.3">
      <c r="A188" s="2" t="s">
        <v>212</v>
      </c>
      <c r="B188" s="2" t="s">
        <v>3403</v>
      </c>
      <c r="C188" s="2" t="s">
        <v>535</v>
      </c>
      <c r="D188" s="2" t="s">
        <v>4096</v>
      </c>
      <c r="E188" s="2" t="s">
        <v>39</v>
      </c>
      <c r="F188" s="2"/>
      <c r="G188" s="2"/>
      <c r="H188" s="2" t="s">
        <v>537</v>
      </c>
      <c r="I188" s="3">
        <f t="shared" si="2"/>
        <v>117</v>
      </c>
    </row>
    <row r="189" spans="1:9" ht="24" x14ac:dyDescent="0.3">
      <c r="A189" s="2" t="s">
        <v>212</v>
      </c>
      <c r="B189" s="2" t="s">
        <v>4111</v>
      </c>
      <c r="C189" s="2"/>
      <c r="D189" s="2" t="s">
        <v>4112</v>
      </c>
      <c r="E189" s="2" t="s">
        <v>39</v>
      </c>
      <c r="F189" s="2"/>
      <c r="G189" s="2"/>
      <c r="H189" s="2"/>
      <c r="I189" s="3">
        <f t="shared" si="2"/>
        <v>117</v>
      </c>
    </row>
    <row r="190" spans="1:9" ht="24" x14ac:dyDescent="0.3">
      <c r="A190" s="2" t="s">
        <v>212</v>
      </c>
      <c r="B190" s="2" t="s">
        <v>4113</v>
      </c>
      <c r="C190" s="2" t="s">
        <v>389</v>
      </c>
      <c r="D190" s="2" t="s">
        <v>4114</v>
      </c>
      <c r="E190" s="2" t="s">
        <v>39</v>
      </c>
      <c r="F190" s="2"/>
      <c r="G190" s="2"/>
      <c r="H190" s="2"/>
      <c r="I190" s="3">
        <f t="shared" si="2"/>
        <v>117</v>
      </c>
    </row>
    <row r="191" spans="1:9" ht="36" x14ac:dyDescent="0.3">
      <c r="A191" s="2" t="s">
        <v>682</v>
      </c>
      <c r="B191" s="2" t="s">
        <v>4109</v>
      </c>
      <c r="C191" s="2" t="s">
        <v>8731</v>
      </c>
      <c r="D191" s="2" t="s">
        <v>4110</v>
      </c>
      <c r="E191" s="2"/>
      <c r="F191" s="2"/>
      <c r="G191" s="2"/>
      <c r="H191" s="2"/>
      <c r="I191" s="3">
        <f t="shared" si="2"/>
        <v>117</v>
      </c>
    </row>
    <row r="192" spans="1:9" ht="24" x14ac:dyDescent="0.3">
      <c r="A192" s="2" t="s">
        <v>682</v>
      </c>
      <c r="B192" s="2" t="s">
        <v>4181</v>
      </c>
      <c r="C192" s="2" t="s">
        <v>8731</v>
      </c>
      <c r="D192" s="2" t="s">
        <v>4182</v>
      </c>
      <c r="E192" s="2" t="s">
        <v>39</v>
      </c>
      <c r="F192" s="2"/>
      <c r="G192" s="2"/>
      <c r="H192" s="2"/>
      <c r="I192" s="3">
        <f t="shared" si="2"/>
        <v>119</v>
      </c>
    </row>
    <row r="193" spans="1:9" ht="24" x14ac:dyDescent="0.3">
      <c r="A193" s="2" t="s">
        <v>212</v>
      </c>
      <c r="B193" s="2" t="s">
        <v>4215</v>
      </c>
      <c r="C193" s="2" t="s">
        <v>1255</v>
      </c>
      <c r="D193" s="2" t="s">
        <v>4216</v>
      </c>
      <c r="E193" s="2" t="s">
        <v>39</v>
      </c>
      <c r="F193" s="2"/>
      <c r="G193" s="2"/>
      <c r="H193" s="2"/>
      <c r="I193" s="3">
        <f t="shared" si="2"/>
        <v>120</v>
      </c>
    </row>
    <row r="194" spans="1:9" ht="24" x14ac:dyDescent="0.3">
      <c r="A194" s="2" t="s">
        <v>212</v>
      </c>
      <c r="B194" s="2" t="s">
        <v>4219</v>
      </c>
      <c r="C194" s="2" t="s">
        <v>1255</v>
      </c>
      <c r="D194" s="2" t="s">
        <v>4220</v>
      </c>
      <c r="E194" s="2" t="s">
        <v>39</v>
      </c>
      <c r="F194" s="2"/>
      <c r="G194" s="2"/>
      <c r="H194" s="2"/>
      <c r="I194" s="3">
        <f t="shared" ref="I194:I257" si="3">LEN(D194)</f>
        <v>120</v>
      </c>
    </row>
    <row r="195" spans="1:9" ht="24" x14ac:dyDescent="0.3">
      <c r="A195" s="2" t="s">
        <v>212</v>
      </c>
      <c r="B195" s="2" t="s">
        <v>3380</v>
      </c>
      <c r="C195" s="2" t="s">
        <v>500</v>
      </c>
      <c r="D195" s="2" t="s">
        <v>4296</v>
      </c>
      <c r="E195" s="2" t="s">
        <v>39</v>
      </c>
      <c r="F195" s="2"/>
      <c r="G195" s="2"/>
      <c r="H195" s="2" t="s">
        <v>402</v>
      </c>
      <c r="I195" s="3">
        <f t="shared" si="3"/>
        <v>122</v>
      </c>
    </row>
    <row r="196" spans="1:9" ht="24" x14ac:dyDescent="0.3">
      <c r="A196" s="2" t="s">
        <v>212</v>
      </c>
      <c r="B196" s="2" t="s">
        <v>4347</v>
      </c>
      <c r="C196" s="2" t="s">
        <v>491</v>
      </c>
      <c r="D196" s="2" t="s">
        <v>4348</v>
      </c>
      <c r="E196" s="2" t="s">
        <v>39</v>
      </c>
      <c r="F196" s="2"/>
      <c r="G196" s="2"/>
      <c r="H196" s="2"/>
      <c r="I196" s="3">
        <f t="shared" si="3"/>
        <v>124</v>
      </c>
    </row>
    <row r="197" spans="1:9" ht="24" x14ac:dyDescent="0.3">
      <c r="A197" s="2" t="s">
        <v>212</v>
      </c>
      <c r="B197" s="2" t="s">
        <v>509</v>
      </c>
      <c r="C197" s="2" t="s">
        <v>500</v>
      </c>
      <c r="D197" s="2" t="s">
        <v>4357</v>
      </c>
      <c r="E197" s="2" t="s">
        <v>39</v>
      </c>
      <c r="F197" s="2"/>
      <c r="G197" s="2"/>
      <c r="H197" s="2" t="s">
        <v>402</v>
      </c>
      <c r="I197" s="3">
        <f t="shared" si="3"/>
        <v>124</v>
      </c>
    </row>
    <row r="198" spans="1:9" ht="36" x14ac:dyDescent="0.3">
      <c r="A198" s="2" t="s">
        <v>682</v>
      </c>
      <c r="B198" s="2" t="s">
        <v>4355</v>
      </c>
      <c r="C198" s="2" t="s">
        <v>8731</v>
      </c>
      <c r="D198" s="2" t="s">
        <v>4356</v>
      </c>
      <c r="E198" s="2" t="s">
        <v>39</v>
      </c>
      <c r="F198" s="2"/>
      <c r="G198" s="2"/>
      <c r="H198" s="2"/>
      <c r="I198" s="3">
        <f t="shared" si="3"/>
        <v>124</v>
      </c>
    </row>
    <row r="199" spans="1:9" ht="24" x14ac:dyDescent="0.3">
      <c r="A199" s="2" t="s">
        <v>682</v>
      </c>
      <c r="B199" s="2" t="s">
        <v>4381</v>
      </c>
      <c r="C199" s="2" t="s">
        <v>408</v>
      </c>
      <c r="D199" s="2" t="s">
        <v>4382</v>
      </c>
      <c r="E199" s="2"/>
      <c r="F199" s="2"/>
      <c r="G199" s="2"/>
      <c r="H199" s="2"/>
      <c r="I199" s="3">
        <f t="shared" si="3"/>
        <v>125</v>
      </c>
    </row>
    <row r="200" spans="1:9" ht="24" x14ac:dyDescent="0.3">
      <c r="A200" s="2" t="s">
        <v>212</v>
      </c>
      <c r="B200" s="2" t="s">
        <v>2813</v>
      </c>
      <c r="C200" s="2" t="s">
        <v>535</v>
      </c>
      <c r="D200" s="2" t="s">
        <v>4408</v>
      </c>
      <c r="E200" s="2"/>
      <c r="F200" s="2"/>
      <c r="G200" s="2"/>
      <c r="H200" s="2" t="s">
        <v>537</v>
      </c>
      <c r="I200" s="3">
        <f t="shared" si="3"/>
        <v>126</v>
      </c>
    </row>
    <row r="201" spans="1:9" ht="36" x14ac:dyDescent="0.3">
      <c r="A201" s="2" t="s">
        <v>682</v>
      </c>
      <c r="B201" s="2" t="s">
        <v>4424</v>
      </c>
      <c r="C201" s="2" t="s">
        <v>8731</v>
      </c>
      <c r="D201" s="2" t="s">
        <v>4425</v>
      </c>
      <c r="E201" s="2" t="s">
        <v>39</v>
      </c>
      <c r="F201" s="2"/>
      <c r="G201" s="2"/>
      <c r="H201" s="2"/>
      <c r="I201" s="3">
        <f t="shared" si="3"/>
        <v>126</v>
      </c>
    </row>
    <row r="202" spans="1:9" ht="24" x14ac:dyDescent="0.3">
      <c r="A202" s="2" t="s">
        <v>212</v>
      </c>
      <c r="B202" s="2" t="s">
        <v>399</v>
      </c>
      <c r="C202" s="2" t="s">
        <v>500</v>
      </c>
      <c r="D202" s="2" t="s">
        <v>4450</v>
      </c>
      <c r="E202" s="2" t="s">
        <v>39</v>
      </c>
      <c r="F202" s="2"/>
      <c r="G202" s="2"/>
      <c r="H202" s="2" t="s">
        <v>402</v>
      </c>
      <c r="I202" s="3">
        <f t="shared" si="3"/>
        <v>127</v>
      </c>
    </row>
    <row r="203" spans="1:9" ht="24" x14ac:dyDescent="0.3">
      <c r="A203" s="2" t="s">
        <v>212</v>
      </c>
      <c r="B203" s="2" t="s">
        <v>4470</v>
      </c>
      <c r="C203" s="2"/>
      <c r="D203" s="2" t="s">
        <v>4471</v>
      </c>
      <c r="E203" s="2" t="s">
        <v>39</v>
      </c>
      <c r="F203" s="2"/>
      <c r="G203" s="2"/>
      <c r="H203" s="2"/>
      <c r="I203" s="3">
        <f t="shared" si="3"/>
        <v>128</v>
      </c>
    </row>
    <row r="204" spans="1:9" ht="24" x14ac:dyDescent="0.3">
      <c r="A204" s="2" t="s">
        <v>212</v>
      </c>
      <c r="B204" s="2" t="s">
        <v>4519</v>
      </c>
      <c r="C204" s="2" t="s">
        <v>535</v>
      </c>
      <c r="D204" s="2" t="s">
        <v>4520</v>
      </c>
      <c r="E204" s="2" t="s">
        <v>39</v>
      </c>
      <c r="F204" s="2"/>
      <c r="G204" s="2"/>
      <c r="H204" s="2" t="s">
        <v>537</v>
      </c>
      <c r="I204" s="3">
        <f t="shared" si="3"/>
        <v>129</v>
      </c>
    </row>
    <row r="205" spans="1:9" ht="24" x14ac:dyDescent="0.3">
      <c r="A205" s="2" t="s">
        <v>682</v>
      </c>
      <c r="B205" s="2" t="s">
        <v>4531</v>
      </c>
      <c r="C205" s="2" t="s">
        <v>408</v>
      </c>
      <c r="D205" s="2" t="s">
        <v>4532</v>
      </c>
      <c r="E205" s="2"/>
      <c r="F205" s="2"/>
      <c r="G205" s="2"/>
      <c r="H205" s="2"/>
      <c r="I205" s="3">
        <f t="shared" si="3"/>
        <v>129</v>
      </c>
    </row>
    <row r="206" spans="1:9" ht="24" x14ac:dyDescent="0.3">
      <c r="A206" s="2" t="s">
        <v>682</v>
      </c>
      <c r="B206" s="2" t="s">
        <v>4381</v>
      </c>
      <c r="C206" s="2" t="s">
        <v>408</v>
      </c>
      <c r="D206" s="2" t="s">
        <v>4560</v>
      </c>
      <c r="E206" s="2"/>
      <c r="F206" s="2"/>
      <c r="G206" s="2"/>
      <c r="H206" s="2"/>
      <c r="I206" s="3">
        <f t="shared" si="3"/>
        <v>130</v>
      </c>
    </row>
    <row r="207" spans="1:9" ht="24" x14ac:dyDescent="0.3">
      <c r="A207" s="2" t="s">
        <v>212</v>
      </c>
      <c r="B207" s="2" t="s">
        <v>213</v>
      </c>
      <c r="C207" s="2"/>
      <c r="D207" s="2" t="s">
        <v>4587</v>
      </c>
      <c r="E207" s="2" t="s">
        <v>39</v>
      </c>
      <c r="F207" s="2"/>
      <c r="G207" s="2"/>
      <c r="H207" s="2" t="s">
        <v>216</v>
      </c>
      <c r="I207" s="3">
        <f t="shared" si="3"/>
        <v>131</v>
      </c>
    </row>
    <row r="208" spans="1:9" ht="24" x14ac:dyDescent="0.3">
      <c r="A208" s="2" t="s">
        <v>212</v>
      </c>
      <c r="B208" s="2" t="s">
        <v>2439</v>
      </c>
      <c r="C208" s="2" t="s">
        <v>500</v>
      </c>
      <c r="D208" s="2" t="s">
        <v>4615</v>
      </c>
      <c r="E208" s="2" t="s">
        <v>39</v>
      </c>
      <c r="F208" s="2"/>
      <c r="G208" s="2"/>
      <c r="H208" s="2" t="s">
        <v>402</v>
      </c>
      <c r="I208" s="3">
        <f t="shared" si="3"/>
        <v>132</v>
      </c>
    </row>
    <row r="209" spans="1:9" ht="24" x14ac:dyDescent="0.3">
      <c r="A209" s="2" t="s">
        <v>212</v>
      </c>
      <c r="B209" s="2" t="s">
        <v>3689</v>
      </c>
      <c r="C209" s="2" t="s">
        <v>535</v>
      </c>
      <c r="D209" s="2" t="s">
        <v>4642</v>
      </c>
      <c r="E209" s="2" t="s">
        <v>39</v>
      </c>
      <c r="F209" s="2"/>
      <c r="G209" s="2"/>
      <c r="H209" s="2" t="s">
        <v>537</v>
      </c>
      <c r="I209" s="3">
        <f t="shared" si="3"/>
        <v>133</v>
      </c>
    </row>
    <row r="210" spans="1:9" ht="24" x14ac:dyDescent="0.3">
      <c r="A210" s="2" t="s">
        <v>212</v>
      </c>
      <c r="B210" s="2" t="s">
        <v>4661</v>
      </c>
      <c r="C210" s="2" t="s">
        <v>1255</v>
      </c>
      <c r="D210" s="2" t="s">
        <v>4662</v>
      </c>
      <c r="E210" s="2" t="s">
        <v>39</v>
      </c>
      <c r="F210" s="2"/>
      <c r="G210" s="2"/>
      <c r="H210" s="2"/>
      <c r="I210" s="3">
        <f t="shared" si="3"/>
        <v>134</v>
      </c>
    </row>
    <row r="211" spans="1:9" ht="24" x14ac:dyDescent="0.3">
      <c r="A211" s="2" t="s">
        <v>212</v>
      </c>
      <c r="B211" s="2" t="s">
        <v>4668</v>
      </c>
      <c r="C211" s="2" t="s">
        <v>535</v>
      </c>
      <c r="D211" s="2" t="s">
        <v>4669</v>
      </c>
      <c r="E211" s="2" t="s">
        <v>39</v>
      </c>
      <c r="F211" s="2"/>
      <c r="G211" s="2"/>
      <c r="H211" s="2" t="s">
        <v>537</v>
      </c>
      <c r="I211" s="3">
        <f t="shared" si="3"/>
        <v>134</v>
      </c>
    </row>
    <row r="212" spans="1:9" ht="24" x14ac:dyDescent="0.3">
      <c r="A212" s="2" t="s">
        <v>212</v>
      </c>
      <c r="B212" s="2" t="s">
        <v>213</v>
      </c>
      <c r="C212" s="2"/>
      <c r="D212" s="2" t="s">
        <v>4672</v>
      </c>
      <c r="E212" s="2" t="s">
        <v>39</v>
      </c>
      <c r="F212" s="2"/>
      <c r="G212" s="2"/>
      <c r="H212" s="2" t="s">
        <v>216</v>
      </c>
      <c r="I212" s="3">
        <f t="shared" si="3"/>
        <v>134</v>
      </c>
    </row>
    <row r="213" spans="1:9" ht="24" x14ac:dyDescent="0.3">
      <c r="A213" s="2" t="s">
        <v>682</v>
      </c>
      <c r="B213" s="2" t="s">
        <v>4666</v>
      </c>
      <c r="C213" s="2" t="s">
        <v>408</v>
      </c>
      <c r="D213" s="2" t="s">
        <v>4667</v>
      </c>
      <c r="E213" s="2"/>
      <c r="F213" s="2"/>
      <c r="G213" s="2"/>
      <c r="H213" s="2"/>
      <c r="I213" s="3">
        <f t="shared" si="3"/>
        <v>134</v>
      </c>
    </row>
    <row r="214" spans="1:9" ht="24" x14ac:dyDescent="0.3">
      <c r="A214" s="2" t="s">
        <v>212</v>
      </c>
      <c r="B214" s="2" t="s">
        <v>4698</v>
      </c>
      <c r="C214" s="2" t="s">
        <v>535</v>
      </c>
      <c r="D214" s="2" t="s">
        <v>4699</v>
      </c>
      <c r="E214" s="2" t="s">
        <v>39</v>
      </c>
      <c r="F214" s="2"/>
      <c r="G214" s="2"/>
      <c r="H214" s="2" t="s">
        <v>537</v>
      </c>
      <c r="I214" s="3">
        <f t="shared" si="3"/>
        <v>135</v>
      </c>
    </row>
    <row r="215" spans="1:9" ht="24" x14ac:dyDescent="0.3">
      <c r="A215" s="2" t="s">
        <v>212</v>
      </c>
      <c r="B215" s="2" t="s">
        <v>4700</v>
      </c>
      <c r="C215" s="2" t="s">
        <v>4701</v>
      </c>
      <c r="D215" s="2" t="s">
        <v>4702</v>
      </c>
      <c r="E215" s="2" t="s">
        <v>39</v>
      </c>
      <c r="F215" s="2"/>
      <c r="G215" s="2"/>
      <c r="H215" s="2"/>
      <c r="I215" s="3">
        <f t="shared" si="3"/>
        <v>135</v>
      </c>
    </row>
    <row r="216" spans="1:9" ht="24" x14ac:dyDescent="0.3">
      <c r="A216" s="2" t="s">
        <v>212</v>
      </c>
      <c r="B216" s="2" t="s">
        <v>4722</v>
      </c>
      <c r="C216" s="2" t="s">
        <v>1354</v>
      </c>
      <c r="D216" s="2" t="s">
        <v>4723</v>
      </c>
      <c r="E216" s="2" t="s">
        <v>39</v>
      </c>
      <c r="F216" s="2"/>
      <c r="G216" s="2"/>
      <c r="H216" s="2" t="s">
        <v>194</v>
      </c>
      <c r="I216" s="3">
        <f t="shared" si="3"/>
        <v>136</v>
      </c>
    </row>
    <row r="217" spans="1:9" ht="36" x14ac:dyDescent="0.3">
      <c r="A217" s="2" t="s">
        <v>682</v>
      </c>
      <c r="B217" s="2" t="s">
        <v>4750</v>
      </c>
      <c r="C217" s="2" t="s">
        <v>8731</v>
      </c>
      <c r="D217" s="2" t="s">
        <v>4751</v>
      </c>
      <c r="E217" s="2"/>
      <c r="F217" s="2"/>
      <c r="G217" s="2"/>
      <c r="H217" s="2"/>
      <c r="I217" s="3">
        <f t="shared" si="3"/>
        <v>137</v>
      </c>
    </row>
    <row r="218" spans="1:9" ht="36" x14ac:dyDescent="0.3">
      <c r="A218" s="2" t="s">
        <v>682</v>
      </c>
      <c r="B218" s="2" t="s">
        <v>4787</v>
      </c>
      <c r="C218" s="2" t="s">
        <v>8731</v>
      </c>
      <c r="D218" s="2" t="s">
        <v>4788</v>
      </c>
      <c r="E218" s="2" t="s">
        <v>39</v>
      </c>
      <c r="F218" s="2"/>
      <c r="G218" s="2"/>
      <c r="H218" s="2"/>
      <c r="I218" s="3">
        <f t="shared" si="3"/>
        <v>138</v>
      </c>
    </row>
    <row r="219" spans="1:9" ht="24" x14ac:dyDescent="0.3">
      <c r="A219" s="2" t="s">
        <v>212</v>
      </c>
      <c r="B219" s="2" t="s">
        <v>4822</v>
      </c>
      <c r="C219" s="2" t="s">
        <v>116</v>
      </c>
      <c r="D219" s="2" t="s">
        <v>4823</v>
      </c>
      <c r="E219" s="2" t="s">
        <v>39</v>
      </c>
      <c r="F219" s="2"/>
      <c r="G219" s="2"/>
      <c r="H219" s="2"/>
      <c r="I219" s="3">
        <f t="shared" si="3"/>
        <v>139</v>
      </c>
    </row>
    <row r="220" spans="1:9" ht="24" x14ac:dyDescent="0.3">
      <c r="A220" s="2" t="s">
        <v>212</v>
      </c>
      <c r="B220" s="2" t="s">
        <v>4850</v>
      </c>
      <c r="C220" s="2" t="s">
        <v>116</v>
      </c>
      <c r="D220" s="2" t="s">
        <v>4851</v>
      </c>
      <c r="E220" s="2" t="s">
        <v>39</v>
      </c>
      <c r="F220" s="2"/>
      <c r="G220" s="2"/>
      <c r="H220" s="2"/>
      <c r="I220" s="3">
        <f t="shared" si="3"/>
        <v>140</v>
      </c>
    </row>
    <row r="221" spans="1:9" ht="24" x14ac:dyDescent="0.3">
      <c r="A221" s="2" t="s">
        <v>682</v>
      </c>
      <c r="B221" s="2" t="s">
        <v>4381</v>
      </c>
      <c r="C221" s="2" t="s">
        <v>408</v>
      </c>
      <c r="D221" s="2" t="s">
        <v>4856</v>
      </c>
      <c r="E221" s="2"/>
      <c r="F221" s="2"/>
      <c r="G221" s="2"/>
      <c r="H221" s="2"/>
      <c r="I221" s="3">
        <f t="shared" si="3"/>
        <v>140</v>
      </c>
    </row>
    <row r="222" spans="1:9" ht="24" x14ac:dyDescent="0.3">
      <c r="A222" s="2" t="s">
        <v>212</v>
      </c>
      <c r="B222" s="2" t="s">
        <v>4901</v>
      </c>
      <c r="C222" s="2" t="s">
        <v>4902</v>
      </c>
      <c r="D222" s="2" t="s">
        <v>4903</v>
      </c>
      <c r="E222" s="2" t="s">
        <v>39</v>
      </c>
      <c r="F222" s="2"/>
      <c r="G222" s="2"/>
      <c r="H222" s="2"/>
      <c r="I222" s="3">
        <f t="shared" si="3"/>
        <v>141</v>
      </c>
    </row>
    <row r="223" spans="1:9" ht="24" x14ac:dyDescent="0.3">
      <c r="A223" s="2" t="s">
        <v>212</v>
      </c>
      <c r="B223" s="2" t="s">
        <v>4970</v>
      </c>
      <c r="C223" s="2" t="s">
        <v>500</v>
      </c>
      <c r="D223" s="2" t="s">
        <v>4971</v>
      </c>
      <c r="E223" s="2" t="s">
        <v>39</v>
      </c>
      <c r="F223" s="2"/>
      <c r="G223" s="2"/>
      <c r="H223" s="2"/>
      <c r="I223" s="3">
        <f t="shared" si="3"/>
        <v>143</v>
      </c>
    </row>
    <row r="224" spans="1:9" ht="24" x14ac:dyDescent="0.3">
      <c r="A224" s="2" t="s">
        <v>212</v>
      </c>
      <c r="B224" s="2" t="s">
        <v>4996</v>
      </c>
      <c r="C224" s="2" t="s">
        <v>500</v>
      </c>
      <c r="D224" s="2" t="s">
        <v>4997</v>
      </c>
      <c r="E224" s="2" t="s">
        <v>39</v>
      </c>
      <c r="F224" s="2"/>
      <c r="G224" s="2"/>
      <c r="H224" s="2" t="s">
        <v>402</v>
      </c>
      <c r="I224" s="3">
        <f t="shared" si="3"/>
        <v>144</v>
      </c>
    </row>
    <row r="225" spans="1:9" ht="36" x14ac:dyDescent="0.3">
      <c r="A225" s="2" t="s">
        <v>682</v>
      </c>
      <c r="B225" s="2" t="s">
        <v>4994</v>
      </c>
      <c r="C225" s="2" t="s">
        <v>8731</v>
      </c>
      <c r="D225" s="2" t="s">
        <v>4995</v>
      </c>
      <c r="E225" s="2"/>
      <c r="F225" s="2"/>
      <c r="G225" s="2"/>
      <c r="H225" s="2"/>
      <c r="I225" s="3">
        <f t="shared" si="3"/>
        <v>144</v>
      </c>
    </row>
    <row r="226" spans="1:9" ht="24" x14ac:dyDescent="0.3">
      <c r="A226" s="2" t="s">
        <v>212</v>
      </c>
      <c r="B226" s="2" t="s">
        <v>5012</v>
      </c>
      <c r="C226" s="2" t="s">
        <v>301</v>
      </c>
      <c r="D226" s="2" t="s">
        <v>5013</v>
      </c>
      <c r="E226" s="2" t="s">
        <v>39</v>
      </c>
      <c r="F226" s="2"/>
      <c r="G226" s="2"/>
      <c r="H226" s="2" t="s">
        <v>194</v>
      </c>
      <c r="I226" s="3">
        <f t="shared" si="3"/>
        <v>145</v>
      </c>
    </row>
    <row r="227" spans="1:9" ht="24" x14ac:dyDescent="0.3">
      <c r="A227" s="2" t="s">
        <v>212</v>
      </c>
      <c r="B227" s="2" t="s">
        <v>5028</v>
      </c>
      <c r="C227" s="2" t="s">
        <v>2057</v>
      </c>
      <c r="D227" s="2" t="s">
        <v>5029</v>
      </c>
      <c r="E227" s="2" t="s">
        <v>39</v>
      </c>
      <c r="F227" s="2"/>
      <c r="G227" s="2"/>
      <c r="H227" s="2"/>
      <c r="I227" s="3">
        <f t="shared" si="3"/>
        <v>145</v>
      </c>
    </row>
    <row r="228" spans="1:9" ht="24" x14ac:dyDescent="0.3">
      <c r="A228" s="2" t="s">
        <v>212</v>
      </c>
      <c r="B228" s="2" t="s">
        <v>5034</v>
      </c>
      <c r="C228" s="2" t="s">
        <v>178</v>
      </c>
      <c r="D228" s="2" t="s">
        <v>5035</v>
      </c>
      <c r="E228" s="2" t="s">
        <v>39</v>
      </c>
      <c r="F228" s="2"/>
      <c r="G228" s="2"/>
      <c r="H228" s="2"/>
      <c r="I228" s="3">
        <f t="shared" si="3"/>
        <v>145</v>
      </c>
    </row>
    <row r="229" spans="1:9" ht="24" x14ac:dyDescent="0.3">
      <c r="A229" s="2" t="s">
        <v>212</v>
      </c>
      <c r="B229" s="2" t="s">
        <v>5059</v>
      </c>
      <c r="C229" s="2" t="s">
        <v>1255</v>
      </c>
      <c r="D229" s="2" t="s">
        <v>5060</v>
      </c>
      <c r="E229" s="2" t="s">
        <v>39</v>
      </c>
      <c r="F229" s="2"/>
      <c r="G229" s="2"/>
      <c r="H229" s="2"/>
      <c r="I229" s="3">
        <f t="shared" si="3"/>
        <v>146</v>
      </c>
    </row>
    <row r="230" spans="1:9" ht="24" x14ac:dyDescent="0.3">
      <c r="A230" s="2" t="s">
        <v>682</v>
      </c>
      <c r="B230" s="2" t="s">
        <v>1463</v>
      </c>
      <c r="C230" s="2" t="s">
        <v>8731</v>
      </c>
      <c r="D230" s="2" t="s">
        <v>8732</v>
      </c>
      <c r="E230" s="2"/>
      <c r="F230" s="2"/>
      <c r="G230" s="2"/>
      <c r="H230" s="2"/>
      <c r="I230" s="3">
        <f t="shared" si="3"/>
        <v>147</v>
      </c>
    </row>
    <row r="231" spans="1:9" ht="24" x14ac:dyDescent="0.3">
      <c r="A231" s="2" t="s">
        <v>212</v>
      </c>
      <c r="B231" s="2" t="s">
        <v>5118</v>
      </c>
      <c r="C231" s="2" t="s">
        <v>5119</v>
      </c>
      <c r="D231" s="2" t="s">
        <v>5120</v>
      </c>
      <c r="E231" s="2" t="s">
        <v>39</v>
      </c>
      <c r="F231" s="2"/>
      <c r="G231" s="2"/>
      <c r="H231" s="2"/>
      <c r="I231" s="3">
        <f t="shared" si="3"/>
        <v>148</v>
      </c>
    </row>
    <row r="232" spans="1:9" ht="24" x14ac:dyDescent="0.3">
      <c r="A232" s="2" t="s">
        <v>212</v>
      </c>
      <c r="B232" s="2" t="s">
        <v>213</v>
      </c>
      <c r="C232" s="2" t="s">
        <v>113</v>
      </c>
      <c r="D232" s="2" t="s">
        <v>5122</v>
      </c>
      <c r="E232" s="2" t="s">
        <v>5123</v>
      </c>
      <c r="F232" s="2"/>
      <c r="G232" s="2"/>
      <c r="H232" s="2" t="s">
        <v>216</v>
      </c>
      <c r="I232" s="3">
        <f t="shared" si="3"/>
        <v>148</v>
      </c>
    </row>
    <row r="233" spans="1:9" ht="24" x14ac:dyDescent="0.3">
      <c r="A233" s="2" t="s">
        <v>212</v>
      </c>
      <c r="B233" s="2" t="s">
        <v>1718</v>
      </c>
      <c r="C233" s="2" t="s">
        <v>5236</v>
      </c>
      <c r="D233" s="2" t="s">
        <v>5237</v>
      </c>
      <c r="E233" s="2" t="s">
        <v>39</v>
      </c>
      <c r="F233" s="2"/>
      <c r="G233" s="2"/>
      <c r="H233" s="2"/>
      <c r="I233" s="3">
        <f t="shared" si="3"/>
        <v>152</v>
      </c>
    </row>
    <row r="234" spans="1:9" ht="24" x14ac:dyDescent="0.3">
      <c r="A234" s="2" t="s">
        <v>212</v>
      </c>
      <c r="B234" s="2" t="s">
        <v>1489</v>
      </c>
      <c r="C234" s="2" t="s">
        <v>5286</v>
      </c>
      <c r="D234" s="2" t="s">
        <v>5287</v>
      </c>
      <c r="E234" s="2" t="s">
        <v>39</v>
      </c>
      <c r="F234" s="2"/>
      <c r="G234" s="2"/>
      <c r="H234" s="2"/>
      <c r="I234" s="3">
        <f t="shared" si="3"/>
        <v>154</v>
      </c>
    </row>
    <row r="235" spans="1:9" ht="24" x14ac:dyDescent="0.3">
      <c r="A235" s="2" t="s">
        <v>212</v>
      </c>
      <c r="B235" s="2" t="s">
        <v>5314</v>
      </c>
      <c r="C235" s="2"/>
      <c r="D235" s="2" t="s">
        <v>5315</v>
      </c>
      <c r="E235" s="2" t="s">
        <v>39</v>
      </c>
      <c r="F235" s="2"/>
      <c r="G235" s="2"/>
      <c r="H235" s="2"/>
      <c r="I235" s="3">
        <f t="shared" si="3"/>
        <v>155</v>
      </c>
    </row>
    <row r="236" spans="1:9" ht="24" x14ac:dyDescent="0.3">
      <c r="A236" s="2" t="s">
        <v>212</v>
      </c>
      <c r="B236" s="2" t="s">
        <v>5419</v>
      </c>
      <c r="C236" s="2" t="s">
        <v>332</v>
      </c>
      <c r="D236" s="2" t="s">
        <v>5420</v>
      </c>
      <c r="E236" s="2" t="s">
        <v>383</v>
      </c>
      <c r="F236" s="2"/>
      <c r="G236" s="2"/>
      <c r="H236" s="2"/>
      <c r="I236" s="3">
        <f t="shared" si="3"/>
        <v>160</v>
      </c>
    </row>
    <row r="237" spans="1:9" ht="24" x14ac:dyDescent="0.3">
      <c r="A237" s="2" t="s">
        <v>212</v>
      </c>
      <c r="B237" s="2" t="s">
        <v>177</v>
      </c>
      <c r="C237" s="2" t="s">
        <v>178</v>
      </c>
      <c r="D237" s="2" t="s">
        <v>5421</v>
      </c>
      <c r="E237" s="2" t="s">
        <v>39</v>
      </c>
      <c r="F237" s="2"/>
      <c r="G237" s="2"/>
      <c r="H237" s="2"/>
      <c r="I237" s="3">
        <f t="shared" si="3"/>
        <v>160</v>
      </c>
    </row>
    <row r="238" spans="1:9" ht="24" x14ac:dyDescent="0.3">
      <c r="A238" s="2" t="s">
        <v>212</v>
      </c>
      <c r="B238" s="2" t="s">
        <v>5472</v>
      </c>
      <c r="C238" s="2"/>
      <c r="D238" s="2" t="s">
        <v>9070</v>
      </c>
      <c r="E238" s="2" t="s">
        <v>39</v>
      </c>
      <c r="F238" s="2" t="s">
        <v>3082</v>
      </c>
      <c r="G238" s="2" t="s">
        <v>1717</v>
      </c>
      <c r="H238" s="2" t="s">
        <v>216</v>
      </c>
      <c r="I238" s="3">
        <f t="shared" si="3"/>
        <v>161</v>
      </c>
    </row>
    <row r="239" spans="1:9" ht="24" x14ac:dyDescent="0.3">
      <c r="A239" s="2" t="s">
        <v>212</v>
      </c>
      <c r="B239" s="2" t="s">
        <v>5473</v>
      </c>
      <c r="C239" s="2" t="s">
        <v>50</v>
      </c>
      <c r="D239" s="2" t="s">
        <v>9071</v>
      </c>
      <c r="E239" s="2" t="s">
        <v>39</v>
      </c>
      <c r="F239" s="2" t="s">
        <v>1778</v>
      </c>
      <c r="G239" s="2" t="s">
        <v>1717</v>
      </c>
      <c r="H239" s="2"/>
      <c r="I239" s="3">
        <f t="shared" si="3"/>
        <v>161</v>
      </c>
    </row>
    <row r="240" spans="1:9" ht="24" x14ac:dyDescent="0.3">
      <c r="A240" s="2" t="s">
        <v>212</v>
      </c>
      <c r="B240" s="2" t="s">
        <v>5476</v>
      </c>
      <c r="C240" s="2"/>
      <c r="D240" s="2" t="s">
        <v>9072</v>
      </c>
      <c r="E240" s="2" t="s">
        <v>39</v>
      </c>
      <c r="F240" s="2" t="s">
        <v>2281</v>
      </c>
      <c r="G240" s="2" t="s">
        <v>1717</v>
      </c>
      <c r="H240" s="2"/>
      <c r="I240" s="3">
        <f t="shared" si="3"/>
        <v>161</v>
      </c>
    </row>
    <row r="241" spans="1:9" ht="24" x14ac:dyDescent="0.3">
      <c r="A241" s="2" t="s">
        <v>212</v>
      </c>
      <c r="B241" s="2" t="s">
        <v>5501</v>
      </c>
      <c r="C241" s="2" t="s">
        <v>446</v>
      </c>
      <c r="D241" s="2" t="s">
        <v>5502</v>
      </c>
      <c r="E241" s="2" t="s">
        <v>39</v>
      </c>
      <c r="F241" s="2"/>
      <c r="G241" s="2"/>
      <c r="H241" s="2"/>
      <c r="I241" s="3">
        <f t="shared" si="3"/>
        <v>164</v>
      </c>
    </row>
    <row r="242" spans="1:9" ht="24" x14ac:dyDescent="0.3">
      <c r="A242" s="2" t="s">
        <v>212</v>
      </c>
      <c r="B242" s="2" t="s">
        <v>5538</v>
      </c>
      <c r="C242" s="2" t="s">
        <v>116</v>
      </c>
      <c r="D242" s="2" t="s">
        <v>5539</v>
      </c>
      <c r="E242" s="2" t="s">
        <v>39</v>
      </c>
      <c r="F242" s="2"/>
      <c r="G242" s="2"/>
      <c r="H242" s="2"/>
      <c r="I242" s="3">
        <f t="shared" si="3"/>
        <v>166</v>
      </c>
    </row>
    <row r="243" spans="1:9" ht="24" x14ac:dyDescent="0.3">
      <c r="A243" s="2" t="s">
        <v>212</v>
      </c>
      <c r="B243" s="2" t="s">
        <v>5542</v>
      </c>
      <c r="C243" s="2" t="s">
        <v>590</v>
      </c>
      <c r="D243" s="2" t="s">
        <v>5543</v>
      </c>
      <c r="E243" s="2" t="s">
        <v>39</v>
      </c>
      <c r="F243" s="2"/>
      <c r="G243" s="2"/>
      <c r="H243" s="2"/>
      <c r="I243" s="3">
        <f t="shared" si="3"/>
        <v>166</v>
      </c>
    </row>
    <row r="244" spans="1:9" ht="24" x14ac:dyDescent="0.3">
      <c r="A244" s="2" t="s">
        <v>212</v>
      </c>
      <c r="B244" s="2" t="s">
        <v>5544</v>
      </c>
      <c r="C244" s="2" t="s">
        <v>1354</v>
      </c>
      <c r="D244" s="2" t="s">
        <v>5545</v>
      </c>
      <c r="E244" s="2" t="s">
        <v>39</v>
      </c>
      <c r="F244" s="2"/>
      <c r="G244" s="2"/>
      <c r="H244" s="2" t="s">
        <v>194</v>
      </c>
      <c r="I244" s="3">
        <f t="shared" si="3"/>
        <v>166</v>
      </c>
    </row>
    <row r="245" spans="1:9" ht="24" x14ac:dyDescent="0.3">
      <c r="A245" s="2" t="s">
        <v>682</v>
      </c>
      <c r="B245" s="2" t="s">
        <v>5546</v>
      </c>
      <c r="C245" s="2" t="s">
        <v>408</v>
      </c>
      <c r="D245" s="2" t="s">
        <v>5547</v>
      </c>
      <c r="E245" s="2"/>
      <c r="F245" s="2"/>
      <c r="G245" s="2"/>
      <c r="H245" s="2"/>
      <c r="I245" s="3">
        <f t="shared" si="3"/>
        <v>166</v>
      </c>
    </row>
    <row r="246" spans="1:9" ht="24" x14ac:dyDescent="0.3">
      <c r="A246" s="2" t="s">
        <v>212</v>
      </c>
      <c r="B246" s="2" t="s">
        <v>213</v>
      </c>
      <c r="C246" s="2"/>
      <c r="D246" s="2" t="s">
        <v>5556</v>
      </c>
      <c r="E246" s="2" t="s">
        <v>39</v>
      </c>
      <c r="F246" s="2"/>
      <c r="G246" s="2"/>
      <c r="H246" s="2" t="s">
        <v>216</v>
      </c>
      <c r="I246" s="3">
        <f t="shared" si="3"/>
        <v>167</v>
      </c>
    </row>
    <row r="247" spans="1:9" ht="24" x14ac:dyDescent="0.3">
      <c r="A247" s="2" t="s">
        <v>212</v>
      </c>
      <c r="B247" s="2" t="s">
        <v>5557</v>
      </c>
      <c r="C247" s="2" t="s">
        <v>389</v>
      </c>
      <c r="D247" s="2" t="s">
        <v>5558</v>
      </c>
      <c r="E247" s="2" t="s">
        <v>39</v>
      </c>
      <c r="F247" s="2"/>
      <c r="G247" s="2"/>
      <c r="H247" s="2"/>
      <c r="I247" s="3">
        <f t="shared" si="3"/>
        <v>167</v>
      </c>
    </row>
    <row r="248" spans="1:9" ht="24" x14ac:dyDescent="0.3">
      <c r="A248" s="2" t="s">
        <v>212</v>
      </c>
      <c r="B248" s="2" t="s">
        <v>5586</v>
      </c>
      <c r="C248" s="2"/>
      <c r="D248" s="2" t="s">
        <v>5587</v>
      </c>
      <c r="E248" s="2" t="s">
        <v>39</v>
      </c>
      <c r="F248" s="2"/>
      <c r="G248" s="2"/>
      <c r="H248" s="2" t="s">
        <v>194</v>
      </c>
      <c r="I248" s="3">
        <f t="shared" si="3"/>
        <v>168</v>
      </c>
    </row>
    <row r="249" spans="1:9" ht="24" x14ac:dyDescent="0.3">
      <c r="A249" s="2" t="s">
        <v>212</v>
      </c>
      <c r="B249" s="2" t="s">
        <v>5598</v>
      </c>
      <c r="C249" s="3" t="s">
        <v>446</v>
      </c>
      <c r="D249" s="2" t="s">
        <v>5599</v>
      </c>
      <c r="E249" s="2" t="s">
        <v>39</v>
      </c>
      <c r="F249" s="2"/>
      <c r="G249" s="2"/>
      <c r="H249" s="2"/>
      <c r="I249" s="3">
        <f t="shared" si="3"/>
        <v>169</v>
      </c>
    </row>
    <row r="250" spans="1:9" ht="24" x14ac:dyDescent="0.3">
      <c r="A250" s="2" t="s">
        <v>212</v>
      </c>
      <c r="B250" s="2" t="s">
        <v>5611</v>
      </c>
      <c r="C250" s="2" t="s">
        <v>5612</v>
      </c>
      <c r="D250" s="2" t="s">
        <v>5613</v>
      </c>
      <c r="E250" s="2" t="s">
        <v>39</v>
      </c>
      <c r="F250" s="2"/>
      <c r="G250" s="2"/>
      <c r="H250" s="2"/>
      <c r="I250" s="3">
        <f t="shared" si="3"/>
        <v>170</v>
      </c>
    </row>
    <row r="251" spans="1:9" ht="24" x14ac:dyDescent="0.3">
      <c r="A251" s="2" t="s">
        <v>212</v>
      </c>
      <c r="B251" s="2" t="s">
        <v>2637</v>
      </c>
      <c r="C251" s="2"/>
      <c r="D251" s="2" t="s">
        <v>9073</v>
      </c>
      <c r="E251" s="2" t="s">
        <v>2524</v>
      </c>
      <c r="F251" s="2" t="s">
        <v>1778</v>
      </c>
      <c r="G251" s="2" t="s">
        <v>1717</v>
      </c>
      <c r="H251" s="2"/>
      <c r="I251" s="3">
        <f t="shared" si="3"/>
        <v>170</v>
      </c>
    </row>
    <row r="252" spans="1:9" ht="24" x14ac:dyDescent="0.3">
      <c r="A252" s="2" t="s">
        <v>212</v>
      </c>
      <c r="B252" s="2" t="s">
        <v>5672</v>
      </c>
      <c r="C252" s="2" t="s">
        <v>181</v>
      </c>
      <c r="D252" s="2" t="s">
        <v>9074</v>
      </c>
      <c r="E252" s="2" t="s">
        <v>39</v>
      </c>
      <c r="F252" s="2" t="s">
        <v>3082</v>
      </c>
      <c r="G252" s="2" t="s">
        <v>1717</v>
      </c>
      <c r="H252" s="2"/>
      <c r="I252" s="3">
        <f t="shared" si="3"/>
        <v>171</v>
      </c>
    </row>
    <row r="253" spans="1:9" ht="24" x14ac:dyDescent="0.3">
      <c r="A253" s="2" t="s">
        <v>212</v>
      </c>
      <c r="B253" s="2" t="s">
        <v>5649</v>
      </c>
      <c r="C253" s="2"/>
      <c r="D253" s="2" t="s">
        <v>5650</v>
      </c>
      <c r="E253" s="2"/>
      <c r="F253" s="2"/>
      <c r="G253" s="2"/>
      <c r="H253" s="2"/>
      <c r="I253" s="3">
        <f t="shared" si="3"/>
        <v>172</v>
      </c>
    </row>
    <row r="254" spans="1:9" ht="24" x14ac:dyDescent="0.3">
      <c r="A254" s="2" t="s">
        <v>212</v>
      </c>
      <c r="B254" s="2" t="s">
        <v>5655</v>
      </c>
      <c r="C254" s="2" t="s">
        <v>535</v>
      </c>
      <c r="D254" s="2" t="s">
        <v>5656</v>
      </c>
      <c r="E254" s="2" t="s">
        <v>39</v>
      </c>
      <c r="F254" s="2"/>
      <c r="G254" s="2"/>
      <c r="H254" s="2"/>
      <c r="I254" s="3">
        <f t="shared" si="3"/>
        <v>172</v>
      </c>
    </row>
    <row r="255" spans="1:9" ht="24" x14ac:dyDescent="0.3">
      <c r="A255" s="2" t="s">
        <v>212</v>
      </c>
      <c r="B255" s="2" t="s">
        <v>5666</v>
      </c>
      <c r="C255" s="2" t="s">
        <v>446</v>
      </c>
      <c r="D255" s="2" t="s">
        <v>5667</v>
      </c>
      <c r="E255" s="2" t="s">
        <v>39</v>
      </c>
      <c r="F255" s="2"/>
      <c r="G255" s="2"/>
      <c r="H255" s="2"/>
      <c r="I255" s="3">
        <f t="shared" si="3"/>
        <v>173</v>
      </c>
    </row>
    <row r="256" spans="1:9" ht="24" x14ac:dyDescent="0.3">
      <c r="A256" s="2" t="s">
        <v>212</v>
      </c>
      <c r="B256" s="2" t="s">
        <v>5679</v>
      </c>
      <c r="C256" s="2" t="s">
        <v>332</v>
      </c>
      <c r="D256" s="2" t="s">
        <v>5680</v>
      </c>
      <c r="E256" s="2" t="s">
        <v>39</v>
      </c>
      <c r="F256" s="2"/>
      <c r="G256" s="2"/>
      <c r="H256" s="2"/>
      <c r="I256" s="3">
        <f t="shared" si="3"/>
        <v>174</v>
      </c>
    </row>
    <row r="257" spans="1:9" ht="24" x14ac:dyDescent="0.3">
      <c r="A257" s="2" t="s">
        <v>212</v>
      </c>
      <c r="B257" s="2" t="s">
        <v>5681</v>
      </c>
      <c r="C257" s="2" t="s">
        <v>1255</v>
      </c>
      <c r="D257" s="2" t="s">
        <v>5682</v>
      </c>
      <c r="E257" s="2" t="s">
        <v>39</v>
      </c>
      <c r="F257" s="2"/>
      <c r="G257" s="2"/>
      <c r="H257" s="2"/>
      <c r="I257" s="3">
        <f t="shared" si="3"/>
        <v>174</v>
      </c>
    </row>
    <row r="258" spans="1:9" ht="24" x14ac:dyDescent="0.3">
      <c r="A258" s="2" t="s">
        <v>212</v>
      </c>
      <c r="B258" s="2" t="s">
        <v>5683</v>
      </c>
      <c r="C258" s="2" t="s">
        <v>1255</v>
      </c>
      <c r="D258" s="2" t="s">
        <v>5684</v>
      </c>
      <c r="E258" s="2" t="s">
        <v>39</v>
      </c>
      <c r="F258" s="2"/>
      <c r="G258" s="2"/>
      <c r="H258" s="2"/>
      <c r="I258" s="3">
        <f t="shared" ref="I258:I321" si="4">LEN(D258)</f>
        <v>174</v>
      </c>
    </row>
    <row r="259" spans="1:9" ht="24" x14ac:dyDescent="0.3">
      <c r="A259" s="2" t="s">
        <v>212</v>
      </c>
      <c r="B259" s="2" t="s">
        <v>5703</v>
      </c>
      <c r="C259" s="2" t="s">
        <v>70</v>
      </c>
      <c r="D259" s="2" t="s">
        <v>5704</v>
      </c>
      <c r="E259" s="2" t="s">
        <v>39</v>
      </c>
      <c r="F259" s="2"/>
      <c r="G259" s="2"/>
      <c r="H259" s="2" t="s">
        <v>216</v>
      </c>
      <c r="I259" s="3">
        <f t="shared" si="4"/>
        <v>175</v>
      </c>
    </row>
    <row r="260" spans="1:9" ht="24" x14ac:dyDescent="0.3">
      <c r="A260" s="2" t="s">
        <v>212</v>
      </c>
      <c r="B260" s="2" t="s">
        <v>1922</v>
      </c>
      <c r="C260" s="2" t="s">
        <v>5728</v>
      </c>
      <c r="D260" s="2" t="s">
        <v>5729</v>
      </c>
      <c r="E260" s="2" t="s">
        <v>39</v>
      </c>
      <c r="F260" s="2"/>
      <c r="G260" s="2"/>
      <c r="H260" s="2" t="s">
        <v>194</v>
      </c>
      <c r="I260" s="3">
        <f t="shared" si="4"/>
        <v>176</v>
      </c>
    </row>
    <row r="261" spans="1:9" ht="24" x14ac:dyDescent="0.3">
      <c r="A261" s="2" t="s">
        <v>212</v>
      </c>
      <c r="B261" s="2" t="s">
        <v>5666</v>
      </c>
      <c r="C261" s="2" t="s">
        <v>446</v>
      </c>
      <c r="D261" s="2" t="s">
        <v>5743</v>
      </c>
      <c r="E261" s="2" t="s">
        <v>39</v>
      </c>
      <c r="F261" s="2"/>
      <c r="G261" s="2"/>
      <c r="H261" s="2"/>
      <c r="I261" s="3">
        <f t="shared" si="4"/>
        <v>177</v>
      </c>
    </row>
    <row r="262" spans="1:9" ht="24" x14ac:dyDescent="0.3">
      <c r="A262" s="2" t="s">
        <v>212</v>
      </c>
      <c r="B262" s="2" t="s">
        <v>5744</v>
      </c>
      <c r="C262" s="2" t="s">
        <v>422</v>
      </c>
      <c r="D262" s="2" t="s">
        <v>5745</v>
      </c>
      <c r="E262" s="2" t="s">
        <v>39</v>
      </c>
      <c r="F262" s="2"/>
      <c r="G262" s="2"/>
      <c r="H262" s="2"/>
      <c r="I262" s="3">
        <f t="shared" si="4"/>
        <v>177</v>
      </c>
    </row>
    <row r="263" spans="1:9" ht="24" x14ac:dyDescent="0.3">
      <c r="A263" s="2" t="s">
        <v>212</v>
      </c>
      <c r="B263" s="2" t="s">
        <v>5771</v>
      </c>
      <c r="C263" s="2" t="s">
        <v>1255</v>
      </c>
      <c r="D263" s="2" t="s">
        <v>5772</v>
      </c>
      <c r="E263" s="2" t="s">
        <v>39</v>
      </c>
      <c r="F263" s="2"/>
      <c r="G263" s="2"/>
      <c r="H263" s="2"/>
      <c r="I263" s="3">
        <f t="shared" si="4"/>
        <v>178</v>
      </c>
    </row>
    <row r="264" spans="1:9" ht="24" x14ac:dyDescent="0.3">
      <c r="A264" s="2" t="s">
        <v>212</v>
      </c>
      <c r="B264" s="2" t="s">
        <v>5798</v>
      </c>
      <c r="C264" s="2" t="s">
        <v>1255</v>
      </c>
      <c r="D264" s="2" t="s">
        <v>5799</v>
      </c>
      <c r="E264" s="2" t="s">
        <v>39</v>
      </c>
      <c r="F264" s="2"/>
      <c r="G264" s="2"/>
      <c r="H264" s="2"/>
      <c r="I264" s="3">
        <f t="shared" si="4"/>
        <v>179</v>
      </c>
    </row>
    <row r="265" spans="1:9" ht="24" x14ac:dyDescent="0.3">
      <c r="A265" s="2" t="s">
        <v>212</v>
      </c>
      <c r="B265" s="2" t="s">
        <v>1638</v>
      </c>
      <c r="C265" s="2"/>
      <c r="D265" s="2" t="s">
        <v>9075</v>
      </c>
      <c r="E265" s="2" t="s">
        <v>2136</v>
      </c>
      <c r="F265" s="2" t="s">
        <v>350</v>
      </c>
      <c r="G265" s="2" t="s">
        <v>350</v>
      </c>
      <c r="H265" s="2" t="s">
        <v>1176</v>
      </c>
      <c r="I265" s="3">
        <f t="shared" si="4"/>
        <v>179</v>
      </c>
    </row>
    <row r="266" spans="1:9" ht="24" x14ac:dyDescent="0.3">
      <c r="A266" s="2" t="s">
        <v>212</v>
      </c>
      <c r="B266" s="2" t="s">
        <v>5841</v>
      </c>
      <c r="C266" s="2" t="s">
        <v>253</v>
      </c>
      <c r="D266" s="2" t="s">
        <v>5842</v>
      </c>
      <c r="E266" s="2" t="s">
        <v>2709</v>
      </c>
      <c r="F266" s="2"/>
      <c r="G266" s="2"/>
      <c r="H266" s="2" t="s">
        <v>646</v>
      </c>
      <c r="I266" s="3">
        <f t="shared" si="4"/>
        <v>181</v>
      </c>
    </row>
    <row r="267" spans="1:9" ht="24" x14ac:dyDescent="0.3">
      <c r="A267" s="2" t="s">
        <v>212</v>
      </c>
      <c r="B267" s="2" t="s">
        <v>5843</v>
      </c>
      <c r="C267" s="2" t="s">
        <v>1647</v>
      </c>
      <c r="D267" s="2" t="s">
        <v>5844</v>
      </c>
      <c r="E267" s="2" t="s">
        <v>39</v>
      </c>
      <c r="F267" s="2"/>
      <c r="G267" s="2"/>
      <c r="H267" s="2" t="s">
        <v>1644</v>
      </c>
      <c r="I267" s="3">
        <f t="shared" si="4"/>
        <v>181</v>
      </c>
    </row>
    <row r="268" spans="1:9" ht="24" x14ac:dyDescent="0.3">
      <c r="A268" s="2" t="s">
        <v>212</v>
      </c>
      <c r="B268" s="2" t="s">
        <v>213</v>
      </c>
      <c r="C268" s="2" t="s">
        <v>5845</v>
      </c>
      <c r="D268" s="2" t="s">
        <v>5846</v>
      </c>
      <c r="E268" s="2" t="s">
        <v>39</v>
      </c>
      <c r="F268" s="2"/>
      <c r="G268" s="2"/>
      <c r="H268" s="2" t="s">
        <v>216</v>
      </c>
      <c r="I268" s="3">
        <f t="shared" si="4"/>
        <v>181</v>
      </c>
    </row>
    <row r="269" spans="1:9" ht="24" x14ac:dyDescent="0.3">
      <c r="A269" s="2" t="s">
        <v>212</v>
      </c>
      <c r="B269" s="2" t="s">
        <v>5870</v>
      </c>
      <c r="C269" s="2" t="s">
        <v>446</v>
      </c>
      <c r="D269" s="2" t="s">
        <v>5871</v>
      </c>
      <c r="E269" s="2" t="s">
        <v>39</v>
      </c>
      <c r="F269" s="2"/>
      <c r="G269" s="2"/>
      <c r="H269" s="2"/>
      <c r="I269" s="3">
        <f t="shared" si="4"/>
        <v>182</v>
      </c>
    </row>
    <row r="270" spans="1:9" ht="24" x14ac:dyDescent="0.3">
      <c r="A270" s="2" t="s">
        <v>212</v>
      </c>
      <c r="B270" s="2" t="s">
        <v>213</v>
      </c>
      <c r="C270" s="2"/>
      <c r="D270" s="2" t="s">
        <v>5889</v>
      </c>
      <c r="E270" s="2" t="s">
        <v>39</v>
      </c>
      <c r="F270" s="2"/>
      <c r="G270" s="2"/>
      <c r="H270" s="2" t="s">
        <v>216</v>
      </c>
      <c r="I270" s="3">
        <f t="shared" si="4"/>
        <v>183</v>
      </c>
    </row>
    <row r="271" spans="1:9" ht="24" x14ac:dyDescent="0.3">
      <c r="A271" s="2" t="s">
        <v>212</v>
      </c>
      <c r="B271" s="2" t="s">
        <v>5892</v>
      </c>
      <c r="C271" s="2" t="s">
        <v>1772</v>
      </c>
      <c r="D271" s="2" t="s">
        <v>5893</v>
      </c>
      <c r="E271" s="2" t="s">
        <v>39</v>
      </c>
      <c r="F271" s="2"/>
      <c r="G271" s="2"/>
      <c r="H271" s="2"/>
      <c r="I271" s="3">
        <f t="shared" si="4"/>
        <v>183</v>
      </c>
    </row>
    <row r="272" spans="1:9" ht="24" x14ac:dyDescent="0.3">
      <c r="A272" s="2" t="s">
        <v>212</v>
      </c>
      <c r="B272" s="2" t="s">
        <v>5908</v>
      </c>
      <c r="C272" s="2" t="s">
        <v>98</v>
      </c>
      <c r="D272" s="2" t="s">
        <v>5909</v>
      </c>
      <c r="E272" s="2" t="s">
        <v>39</v>
      </c>
      <c r="F272" s="2"/>
      <c r="G272" s="2"/>
      <c r="H272" s="2"/>
      <c r="I272" s="3">
        <f t="shared" si="4"/>
        <v>184</v>
      </c>
    </row>
    <row r="273" spans="1:9" ht="24" x14ac:dyDescent="0.3">
      <c r="A273" s="2" t="s">
        <v>212</v>
      </c>
      <c r="B273" s="2" t="s">
        <v>5666</v>
      </c>
      <c r="C273" s="2" t="s">
        <v>5927</v>
      </c>
      <c r="D273" s="2" t="s">
        <v>5928</v>
      </c>
      <c r="E273" s="2" t="s">
        <v>39</v>
      </c>
      <c r="F273" s="2"/>
      <c r="G273" s="2"/>
      <c r="H273" s="2"/>
      <c r="I273" s="3">
        <f t="shared" si="4"/>
        <v>185</v>
      </c>
    </row>
    <row r="274" spans="1:9" ht="24" x14ac:dyDescent="0.3">
      <c r="A274" s="2" t="s">
        <v>212</v>
      </c>
      <c r="B274" s="2" t="s">
        <v>5936</v>
      </c>
      <c r="C274" s="2" t="s">
        <v>535</v>
      </c>
      <c r="D274" s="2" t="s">
        <v>5937</v>
      </c>
      <c r="E274" s="2" t="s">
        <v>39</v>
      </c>
      <c r="F274" s="2"/>
      <c r="G274" s="2"/>
      <c r="H274" s="2" t="s">
        <v>537</v>
      </c>
      <c r="I274" s="3">
        <f t="shared" si="4"/>
        <v>186</v>
      </c>
    </row>
    <row r="275" spans="1:9" ht="24" x14ac:dyDescent="0.3">
      <c r="A275" s="2" t="s">
        <v>212</v>
      </c>
      <c r="B275" s="2" t="s">
        <v>5970</v>
      </c>
      <c r="C275" s="2" t="s">
        <v>3713</v>
      </c>
      <c r="D275" s="2" t="s">
        <v>5971</v>
      </c>
      <c r="E275" s="2" t="s">
        <v>39</v>
      </c>
      <c r="F275" s="2"/>
      <c r="G275" s="2"/>
      <c r="H275" s="2"/>
      <c r="I275" s="3">
        <f t="shared" si="4"/>
        <v>188</v>
      </c>
    </row>
    <row r="276" spans="1:9" ht="24" x14ac:dyDescent="0.3">
      <c r="A276" s="2" t="s">
        <v>212</v>
      </c>
      <c r="B276" s="2" t="s">
        <v>5974</v>
      </c>
      <c r="C276" s="2"/>
      <c r="D276" s="2" t="s">
        <v>5975</v>
      </c>
      <c r="E276" s="2" t="s">
        <v>39</v>
      </c>
      <c r="F276" s="2"/>
      <c r="G276" s="2"/>
      <c r="H276" s="2"/>
      <c r="I276" s="3">
        <f t="shared" si="4"/>
        <v>189</v>
      </c>
    </row>
    <row r="277" spans="1:9" ht="24" x14ac:dyDescent="0.3">
      <c r="A277" s="2" t="s">
        <v>212</v>
      </c>
      <c r="B277" s="2" t="s">
        <v>5976</v>
      </c>
      <c r="C277" s="2" t="s">
        <v>98</v>
      </c>
      <c r="D277" s="2" t="s">
        <v>5977</v>
      </c>
      <c r="E277" s="2" t="s">
        <v>211</v>
      </c>
      <c r="F277" s="2"/>
      <c r="G277" s="2"/>
      <c r="H277" s="2"/>
      <c r="I277" s="3">
        <f t="shared" si="4"/>
        <v>189</v>
      </c>
    </row>
    <row r="278" spans="1:9" ht="24" x14ac:dyDescent="0.3">
      <c r="A278" s="2" t="s">
        <v>212</v>
      </c>
      <c r="B278" s="2" t="s">
        <v>586</v>
      </c>
      <c r="C278" s="2" t="s">
        <v>6000</v>
      </c>
      <c r="D278" s="2" t="s">
        <v>6001</v>
      </c>
      <c r="E278" s="2" t="s">
        <v>39</v>
      </c>
      <c r="F278" s="2"/>
      <c r="G278" s="2"/>
      <c r="H278" s="2" t="s">
        <v>646</v>
      </c>
      <c r="I278" s="3">
        <f t="shared" si="4"/>
        <v>190</v>
      </c>
    </row>
    <row r="279" spans="1:9" ht="24" x14ac:dyDescent="0.3">
      <c r="A279" s="2" t="s">
        <v>212</v>
      </c>
      <c r="B279" s="2" t="s">
        <v>6012</v>
      </c>
      <c r="C279" s="2"/>
      <c r="D279" s="2" t="s">
        <v>6013</v>
      </c>
      <c r="E279" s="2" t="s">
        <v>39</v>
      </c>
      <c r="F279" s="2"/>
      <c r="G279" s="2"/>
      <c r="H279" s="2" t="s">
        <v>194</v>
      </c>
      <c r="I279" s="3">
        <f t="shared" si="4"/>
        <v>191</v>
      </c>
    </row>
    <row r="280" spans="1:9" ht="24" x14ac:dyDescent="0.3">
      <c r="A280" s="2" t="s">
        <v>212</v>
      </c>
      <c r="B280" s="2" t="s">
        <v>6059</v>
      </c>
      <c r="C280" s="2" t="s">
        <v>500</v>
      </c>
      <c r="D280" s="2" t="s">
        <v>6060</v>
      </c>
      <c r="E280" s="2" t="s">
        <v>39</v>
      </c>
      <c r="F280" s="2"/>
      <c r="G280" s="2"/>
      <c r="H280" s="2" t="s">
        <v>402</v>
      </c>
      <c r="I280" s="3">
        <f t="shared" si="4"/>
        <v>194</v>
      </c>
    </row>
    <row r="281" spans="1:9" ht="24" x14ac:dyDescent="0.3">
      <c r="A281" s="2" t="s">
        <v>212</v>
      </c>
      <c r="B281" s="2" t="s">
        <v>6065</v>
      </c>
      <c r="C281" s="2" t="s">
        <v>332</v>
      </c>
      <c r="D281" s="2" t="s">
        <v>6066</v>
      </c>
      <c r="E281" s="2" t="s">
        <v>39</v>
      </c>
      <c r="F281" s="2"/>
      <c r="G281" s="2"/>
      <c r="H281" s="2"/>
      <c r="I281" s="3">
        <f t="shared" si="4"/>
        <v>195</v>
      </c>
    </row>
    <row r="282" spans="1:9" ht="24" x14ac:dyDescent="0.3">
      <c r="A282" s="2" t="s">
        <v>212</v>
      </c>
      <c r="B282" s="2" t="s">
        <v>6067</v>
      </c>
      <c r="C282" s="2"/>
      <c r="D282" s="2" t="s">
        <v>6068</v>
      </c>
      <c r="E282" s="2" t="s">
        <v>39</v>
      </c>
      <c r="F282" s="2"/>
      <c r="G282" s="2"/>
      <c r="H282" s="2" t="s">
        <v>194</v>
      </c>
      <c r="I282" s="3">
        <f t="shared" si="4"/>
        <v>195</v>
      </c>
    </row>
    <row r="283" spans="1:9" ht="24" x14ac:dyDescent="0.3">
      <c r="A283" s="2" t="s">
        <v>212</v>
      </c>
      <c r="B283" s="2" t="s">
        <v>6167</v>
      </c>
      <c r="C283" s="2" t="s">
        <v>201</v>
      </c>
      <c r="D283" s="2" t="s">
        <v>9076</v>
      </c>
      <c r="E283" s="2" t="s">
        <v>39</v>
      </c>
      <c r="F283" s="2" t="s">
        <v>1778</v>
      </c>
      <c r="G283" s="2" t="s">
        <v>1717</v>
      </c>
      <c r="H283" s="2" t="s">
        <v>194</v>
      </c>
      <c r="I283" s="3">
        <f t="shared" si="4"/>
        <v>200</v>
      </c>
    </row>
    <row r="284" spans="1:9" ht="24" x14ac:dyDescent="0.3">
      <c r="A284" s="2" t="s">
        <v>212</v>
      </c>
      <c r="B284" s="2" t="s">
        <v>6182</v>
      </c>
      <c r="C284" s="2"/>
      <c r="D284" s="2" t="s">
        <v>9077</v>
      </c>
      <c r="E284" s="2" t="s">
        <v>39</v>
      </c>
      <c r="F284" s="2" t="s">
        <v>3082</v>
      </c>
      <c r="G284" s="2" t="s">
        <v>4507</v>
      </c>
      <c r="H284" s="2"/>
      <c r="I284" s="3">
        <f t="shared" si="4"/>
        <v>201</v>
      </c>
    </row>
    <row r="285" spans="1:9" ht="36" x14ac:dyDescent="0.3">
      <c r="A285" s="2" t="s">
        <v>212</v>
      </c>
      <c r="B285" s="2" t="s">
        <v>6177</v>
      </c>
      <c r="C285" s="2" t="s">
        <v>1647</v>
      </c>
      <c r="D285" s="2" t="s">
        <v>6178</v>
      </c>
      <c r="E285" s="2" t="s">
        <v>39</v>
      </c>
      <c r="F285" s="2"/>
      <c r="G285" s="2"/>
      <c r="H285" s="2" t="s">
        <v>1644</v>
      </c>
      <c r="I285" s="3">
        <f t="shared" si="4"/>
        <v>203</v>
      </c>
    </row>
    <row r="286" spans="1:9" ht="36" x14ac:dyDescent="0.3">
      <c r="A286" s="2" t="s">
        <v>212</v>
      </c>
      <c r="B286" s="2" t="s">
        <v>6180</v>
      </c>
      <c r="C286" s="2" t="s">
        <v>480</v>
      </c>
      <c r="D286" s="2" t="s">
        <v>6181</v>
      </c>
      <c r="E286" s="2" t="s">
        <v>39</v>
      </c>
      <c r="F286" s="2"/>
      <c r="G286" s="2"/>
      <c r="H286" s="2"/>
      <c r="I286" s="3">
        <f t="shared" si="4"/>
        <v>203</v>
      </c>
    </row>
    <row r="287" spans="1:9" ht="36" x14ac:dyDescent="0.3">
      <c r="A287" s="2" t="s">
        <v>212</v>
      </c>
      <c r="B287" s="2" t="s">
        <v>6214</v>
      </c>
      <c r="C287" s="2" t="s">
        <v>6215</v>
      </c>
      <c r="D287" s="2" t="s">
        <v>9078</v>
      </c>
      <c r="E287" s="2" t="s">
        <v>3545</v>
      </c>
      <c r="F287" s="2" t="s">
        <v>4117</v>
      </c>
      <c r="G287" s="2" t="s">
        <v>350</v>
      </c>
      <c r="H287" s="2"/>
      <c r="I287" s="3">
        <f t="shared" si="4"/>
        <v>203</v>
      </c>
    </row>
    <row r="288" spans="1:9" ht="24" x14ac:dyDescent="0.3">
      <c r="A288" s="2" t="s">
        <v>212</v>
      </c>
      <c r="B288" s="2" t="s">
        <v>6228</v>
      </c>
      <c r="C288" s="2" t="s">
        <v>45</v>
      </c>
      <c r="D288" s="2" t="s">
        <v>9079</v>
      </c>
      <c r="E288" s="2" t="s">
        <v>39</v>
      </c>
      <c r="F288" s="2" t="s">
        <v>1778</v>
      </c>
      <c r="G288" s="2" t="s">
        <v>1717</v>
      </c>
      <c r="H288" s="2"/>
      <c r="I288" s="3">
        <f t="shared" si="4"/>
        <v>204</v>
      </c>
    </row>
    <row r="289" spans="1:9" ht="36" x14ac:dyDescent="0.3">
      <c r="A289" s="2" t="s">
        <v>212</v>
      </c>
      <c r="B289" s="2" t="s">
        <v>6229</v>
      </c>
      <c r="C289" s="2" t="s">
        <v>6230</v>
      </c>
      <c r="D289" s="2" t="s">
        <v>9080</v>
      </c>
      <c r="E289" s="2" t="s">
        <v>39</v>
      </c>
      <c r="F289" s="2" t="s">
        <v>1778</v>
      </c>
      <c r="G289" s="2" t="s">
        <v>1717</v>
      </c>
      <c r="H289" s="2"/>
      <c r="I289" s="3">
        <f t="shared" si="4"/>
        <v>204</v>
      </c>
    </row>
    <row r="290" spans="1:9" ht="24" x14ac:dyDescent="0.3">
      <c r="A290" s="2" t="s">
        <v>212</v>
      </c>
      <c r="B290" s="2" t="s">
        <v>6212</v>
      </c>
      <c r="C290" s="2"/>
      <c r="D290" s="2" t="s">
        <v>6213</v>
      </c>
      <c r="E290" s="2" t="s">
        <v>39</v>
      </c>
      <c r="F290" s="2"/>
      <c r="G290" s="2"/>
      <c r="H290" s="2" t="s">
        <v>646</v>
      </c>
      <c r="I290" s="3">
        <f t="shared" si="4"/>
        <v>205</v>
      </c>
    </row>
    <row r="291" spans="1:9" ht="24" x14ac:dyDescent="0.3">
      <c r="A291" s="2" t="s">
        <v>212</v>
      </c>
      <c r="B291" s="2" t="s">
        <v>3395</v>
      </c>
      <c r="C291" s="2"/>
      <c r="D291" s="2" t="s">
        <v>6211</v>
      </c>
      <c r="E291" s="2" t="s">
        <v>383</v>
      </c>
      <c r="F291" s="2"/>
      <c r="G291" s="2"/>
      <c r="H291" s="2"/>
      <c r="I291" s="3">
        <f t="shared" si="4"/>
        <v>206</v>
      </c>
    </row>
    <row r="292" spans="1:9" ht="36" x14ac:dyDescent="0.3">
      <c r="A292" s="2" t="s">
        <v>212</v>
      </c>
      <c r="B292" s="2" t="s">
        <v>6261</v>
      </c>
      <c r="C292" s="2" t="s">
        <v>160</v>
      </c>
      <c r="D292" s="2" t="s">
        <v>9081</v>
      </c>
      <c r="E292" s="2" t="s">
        <v>2136</v>
      </c>
      <c r="F292" s="2" t="s">
        <v>4117</v>
      </c>
      <c r="G292" s="2" t="s">
        <v>1717</v>
      </c>
      <c r="H292" s="2"/>
      <c r="I292" s="3">
        <f t="shared" si="4"/>
        <v>206</v>
      </c>
    </row>
    <row r="293" spans="1:9" ht="24" x14ac:dyDescent="0.3">
      <c r="A293" s="2" t="s">
        <v>212</v>
      </c>
      <c r="B293" s="2" t="s">
        <v>6239</v>
      </c>
      <c r="C293" s="2" t="s">
        <v>332</v>
      </c>
      <c r="D293" s="2" t="s">
        <v>6240</v>
      </c>
      <c r="E293" s="2" t="s">
        <v>383</v>
      </c>
      <c r="F293" s="2"/>
      <c r="G293" s="2"/>
      <c r="H293" s="2"/>
      <c r="I293" s="3">
        <f t="shared" si="4"/>
        <v>207</v>
      </c>
    </row>
    <row r="294" spans="1:9" ht="36" x14ac:dyDescent="0.3">
      <c r="A294" s="2" t="s">
        <v>212</v>
      </c>
      <c r="B294" s="2" t="s">
        <v>6259</v>
      </c>
      <c r="C294" s="2" t="s">
        <v>491</v>
      </c>
      <c r="D294" s="2" t="s">
        <v>6260</v>
      </c>
      <c r="E294" s="2" t="s">
        <v>39</v>
      </c>
      <c r="F294" s="2"/>
      <c r="G294" s="2"/>
      <c r="H294" s="2"/>
      <c r="I294" s="3">
        <f t="shared" si="4"/>
        <v>208</v>
      </c>
    </row>
    <row r="295" spans="1:9" ht="24" x14ac:dyDescent="0.3">
      <c r="A295" s="2" t="s">
        <v>212</v>
      </c>
      <c r="B295" s="2" t="s">
        <v>1489</v>
      </c>
      <c r="C295" s="2" t="s">
        <v>1255</v>
      </c>
      <c r="D295" s="2" t="s">
        <v>6262</v>
      </c>
      <c r="E295" s="2" t="s">
        <v>39</v>
      </c>
      <c r="F295" s="2"/>
      <c r="G295" s="2"/>
      <c r="H295" s="2"/>
      <c r="I295" s="3">
        <f t="shared" si="4"/>
        <v>208</v>
      </c>
    </row>
    <row r="296" spans="1:9" ht="36" x14ac:dyDescent="0.3">
      <c r="A296" s="2" t="s">
        <v>212</v>
      </c>
      <c r="B296" s="2" t="s">
        <v>6275</v>
      </c>
      <c r="C296" s="2" t="s">
        <v>1255</v>
      </c>
      <c r="D296" s="2" t="s">
        <v>6276</v>
      </c>
      <c r="E296" s="2" t="s">
        <v>39</v>
      </c>
      <c r="F296" s="2"/>
      <c r="G296" s="2"/>
      <c r="H296" s="2"/>
      <c r="I296" s="3">
        <f t="shared" si="4"/>
        <v>209</v>
      </c>
    </row>
    <row r="297" spans="1:9" ht="36" x14ac:dyDescent="0.3">
      <c r="A297" s="2" t="s">
        <v>212</v>
      </c>
      <c r="B297" s="2" t="s">
        <v>6286</v>
      </c>
      <c r="C297" s="2"/>
      <c r="D297" s="2" t="s">
        <v>6287</v>
      </c>
      <c r="E297" s="2" t="s">
        <v>39</v>
      </c>
      <c r="F297" s="2"/>
      <c r="G297" s="2"/>
      <c r="H297" s="2"/>
      <c r="I297" s="3">
        <f t="shared" si="4"/>
        <v>210</v>
      </c>
    </row>
    <row r="298" spans="1:9" ht="36" x14ac:dyDescent="0.3">
      <c r="A298" s="2" t="s">
        <v>212</v>
      </c>
      <c r="B298" s="2" t="s">
        <v>6319</v>
      </c>
      <c r="C298" s="2" t="s">
        <v>6320</v>
      </c>
      <c r="D298" s="2" t="s">
        <v>9082</v>
      </c>
      <c r="E298" s="2" t="s">
        <v>39</v>
      </c>
      <c r="F298" s="2" t="s">
        <v>2281</v>
      </c>
      <c r="G298" s="2" t="s">
        <v>1717</v>
      </c>
      <c r="H298" s="2"/>
      <c r="I298" s="3">
        <f t="shared" si="4"/>
        <v>210</v>
      </c>
    </row>
    <row r="299" spans="1:9" ht="36" x14ac:dyDescent="0.3">
      <c r="A299" s="2" t="s">
        <v>212</v>
      </c>
      <c r="B299" s="2" t="s">
        <v>6305</v>
      </c>
      <c r="C299" s="2"/>
      <c r="D299" s="2" t="s">
        <v>6306</v>
      </c>
      <c r="E299" s="2" t="s">
        <v>3936</v>
      </c>
      <c r="F299" s="2"/>
      <c r="G299" s="2"/>
      <c r="H299" s="2"/>
      <c r="I299" s="3">
        <f t="shared" si="4"/>
        <v>211</v>
      </c>
    </row>
    <row r="300" spans="1:9" ht="24" x14ac:dyDescent="0.3">
      <c r="A300" s="2" t="s">
        <v>682</v>
      </c>
      <c r="B300" s="2" t="s">
        <v>6307</v>
      </c>
      <c r="C300" s="2" t="s">
        <v>408</v>
      </c>
      <c r="D300" s="2" t="s">
        <v>6308</v>
      </c>
      <c r="E300" s="2"/>
      <c r="F300" s="2"/>
      <c r="G300" s="2"/>
      <c r="H300" s="2"/>
      <c r="I300" s="3">
        <f t="shared" si="4"/>
        <v>211</v>
      </c>
    </row>
    <row r="301" spans="1:9" ht="36" x14ac:dyDescent="0.3">
      <c r="A301" s="2" t="s">
        <v>212</v>
      </c>
      <c r="B301" s="2" t="s">
        <v>6317</v>
      </c>
      <c r="C301" s="2" t="s">
        <v>807</v>
      </c>
      <c r="D301" s="2" t="s">
        <v>6318</v>
      </c>
      <c r="E301" s="2" t="s">
        <v>39</v>
      </c>
      <c r="F301" s="2"/>
      <c r="G301" s="2"/>
      <c r="H301" s="2"/>
      <c r="I301" s="3">
        <f t="shared" si="4"/>
        <v>212</v>
      </c>
    </row>
    <row r="302" spans="1:9" ht="36" x14ac:dyDescent="0.3">
      <c r="A302" s="2" t="s">
        <v>212</v>
      </c>
      <c r="B302" s="2" t="s">
        <v>6327</v>
      </c>
      <c r="C302" s="2" t="s">
        <v>535</v>
      </c>
      <c r="D302" s="2" t="s">
        <v>6328</v>
      </c>
      <c r="E302" s="2" t="s">
        <v>39</v>
      </c>
      <c r="F302" s="2"/>
      <c r="G302" s="2"/>
      <c r="H302" s="2" t="s">
        <v>537</v>
      </c>
      <c r="I302" s="3">
        <f t="shared" si="4"/>
        <v>213</v>
      </c>
    </row>
    <row r="303" spans="1:9" ht="36" x14ac:dyDescent="0.3">
      <c r="A303" s="2" t="s">
        <v>212</v>
      </c>
      <c r="B303" s="2" t="s">
        <v>1148</v>
      </c>
      <c r="C303" s="2"/>
      <c r="D303" s="2" t="s">
        <v>6329</v>
      </c>
      <c r="E303" s="2" t="s">
        <v>39</v>
      </c>
      <c r="F303" s="2"/>
      <c r="G303" s="2"/>
      <c r="H303" s="2"/>
      <c r="I303" s="3">
        <f t="shared" si="4"/>
        <v>213</v>
      </c>
    </row>
    <row r="304" spans="1:9" ht="36" x14ac:dyDescent="0.3">
      <c r="A304" s="2" t="s">
        <v>212</v>
      </c>
      <c r="B304" s="2" t="s">
        <v>6346</v>
      </c>
      <c r="C304" s="2" t="s">
        <v>535</v>
      </c>
      <c r="D304" s="2" t="s">
        <v>6347</v>
      </c>
      <c r="E304" s="2" t="s">
        <v>39</v>
      </c>
      <c r="F304" s="2"/>
      <c r="G304" s="2"/>
      <c r="H304" s="2" t="s">
        <v>537</v>
      </c>
      <c r="I304" s="3">
        <f t="shared" si="4"/>
        <v>215</v>
      </c>
    </row>
    <row r="305" spans="1:9" ht="36" x14ac:dyDescent="0.3">
      <c r="A305" s="2" t="s">
        <v>212</v>
      </c>
      <c r="B305" s="2" t="s">
        <v>6372</v>
      </c>
      <c r="C305" s="2" t="s">
        <v>50</v>
      </c>
      <c r="D305" s="2" t="s">
        <v>9083</v>
      </c>
      <c r="E305" s="2" t="s">
        <v>2136</v>
      </c>
      <c r="F305" s="2" t="s">
        <v>1778</v>
      </c>
      <c r="G305" s="2" t="s">
        <v>1717</v>
      </c>
      <c r="H305" s="2"/>
      <c r="I305" s="3">
        <f t="shared" si="4"/>
        <v>215</v>
      </c>
    </row>
    <row r="306" spans="1:9" ht="36" x14ac:dyDescent="0.3">
      <c r="A306" s="2" t="s">
        <v>212</v>
      </c>
      <c r="B306" s="2" t="s">
        <v>6373</v>
      </c>
      <c r="C306" s="2" t="s">
        <v>6374</v>
      </c>
      <c r="D306" s="2" t="s">
        <v>6375</v>
      </c>
      <c r="E306" s="2" t="s">
        <v>39</v>
      </c>
      <c r="F306" s="2"/>
      <c r="G306" s="2"/>
      <c r="H306" s="2"/>
      <c r="I306" s="3">
        <f t="shared" si="4"/>
        <v>217</v>
      </c>
    </row>
    <row r="307" spans="1:9" ht="36" x14ac:dyDescent="0.3">
      <c r="A307" s="2" t="s">
        <v>212</v>
      </c>
      <c r="B307" s="2" t="s">
        <v>6401</v>
      </c>
      <c r="C307" s="2" t="s">
        <v>6402</v>
      </c>
      <c r="D307" s="2" t="s">
        <v>9084</v>
      </c>
      <c r="E307" s="2" t="s">
        <v>39</v>
      </c>
      <c r="F307" s="2" t="s">
        <v>1778</v>
      </c>
      <c r="G307" s="2" t="s">
        <v>1717</v>
      </c>
      <c r="H307" s="2"/>
      <c r="I307" s="3">
        <f t="shared" si="4"/>
        <v>217</v>
      </c>
    </row>
    <row r="308" spans="1:9" ht="36" x14ac:dyDescent="0.3">
      <c r="A308" s="2" t="s">
        <v>212</v>
      </c>
      <c r="B308" s="2" t="s">
        <v>586</v>
      </c>
      <c r="C308" s="2" t="s">
        <v>6000</v>
      </c>
      <c r="D308" s="2" t="s">
        <v>6388</v>
      </c>
      <c r="E308" s="2"/>
      <c r="F308" s="2"/>
      <c r="G308" s="2"/>
      <c r="H308" s="2"/>
      <c r="I308" s="3">
        <f t="shared" si="4"/>
        <v>218</v>
      </c>
    </row>
    <row r="309" spans="1:9" ht="36" x14ac:dyDescent="0.3">
      <c r="A309" s="2" t="s">
        <v>212</v>
      </c>
      <c r="B309" s="2" t="s">
        <v>6424</v>
      </c>
      <c r="C309" s="2"/>
      <c r="D309" s="2" t="s">
        <v>9085</v>
      </c>
      <c r="E309" s="2" t="s">
        <v>2693</v>
      </c>
      <c r="F309" s="2" t="s">
        <v>1778</v>
      </c>
      <c r="G309" s="2" t="s">
        <v>1717</v>
      </c>
      <c r="H309" s="2"/>
      <c r="I309" s="3">
        <f t="shared" si="4"/>
        <v>218</v>
      </c>
    </row>
    <row r="310" spans="1:9" ht="36" x14ac:dyDescent="0.3">
      <c r="A310" s="2" t="s">
        <v>212</v>
      </c>
      <c r="B310" s="2" t="s">
        <v>6474</v>
      </c>
      <c r="C310" s="2" t="s">
        <v>446</v>
      </c>
      <c r="D310" s="2" t="s">
        <v>6475</v>
      </c>
      <c r="E310" s="2"/>
      <c r="F310" s="2"/>
      <c r="G310" s="2"/>
      <c r="H310" s="2"/>
      <c r="I310" s="3">
        <f t="shared" si="4"/>
        <v>225</v>
      </c>
    </row>
    <row r="311" spans="1:9" ht="36" x14ac:dyDescent="0.3">
      <c r="A311" s="2" t="s">
        <v>212</v>
      </c>
      <c r="B311" s="2" t="s">
        <v>6504</v>
      </c>
      <c r="C311" s="2" t="s">
        <v>301</v>
      </c>
      <c r="D311" s="2" t="s">
        <v>9086</v>
      </c>
      <c r="E311" s="2" t="s">
        <v>39</v>
      </c>
      <c r="F311" s="2" t="s">
        <v>350</v>
      </c>
      <c r="G311" s="2" t="s">
        <v>350</v>
      </c>
      <c r="H311" s="2" t="s">
        <v>216</v>
      </c>
      <c r="I311" s="3">
        <f t="shared" si="4"/>
        <v>225</v>
      </c>
    </row>
    <row r="312" spans="1:9" ht="36" x14ac:dyDescent="0.3">
      <c r="A312" s="2" t="s">
        <v>212</v>
      </c>
      <c r="B312" s="2" t="s">
        <v>6505</v>
      </c>
      <c r="C312" s="2" t="s">
        <v>2730</v>
      </c>
      <c r="D312" s="2" t="s">
        <v>9087</v>
      </c>
      <c r="E312" s="2" t="s">
        <v>3251</v>
      </c>
      <c r="F312" s="2" t="s">
        <v>350</v>
      </c>
      <c r="G312" s="2" t="s">
        <v>1717</v>
      </c>
      <c r="H312" s="2"/>
      <c r="I312" s="3">
        <f t="shared" si="4"/>
        <v>225</v>
      </c>
    </row>
    <row r="313" spans="1:9" ht="36" x14ac:dyDescent="0.3">
      <c r="A313" s="2" t="s">
        <v>212</v>
      </c>
      <c r="B313" s="2" t="s">
        <v>6527</v>
      </c>
      <c r="C313" s="2"/>
      <c r="D313" s="2" t="s">
        <v>9088</v>
      </c>
      <c r="E313" s="2" t="s">
        <v>2568</v>
      </c>
      <c r="F313" s="2" t="s">
        <v>4117</v>
      </c>
      <c r="G313" s="2" t="s">
        <v>350</v>
      </c>
      <c r="H313" s="2"/>
      <c r="I313" s="3">
        <f t="shared" si="4"/>
        <v>227</v>
      </c>
    </row>
    <row r="314" spans="1:9" ht="36" x14ac:dyDescent="0.3">
      <c r="A314" s="2" t="s">
        <v>212</v>
      </c>
      <c r="B314" s="2" t="s">
        <v>6513</v>
      </c>
      <c r="C314" s="2" t="s">
        <v>1255</v>
      </c>
      <c r="D314" s="2" t="s">
        <v>6514</v>
      </c>
      <c r="E314" s="2" t="s">
        <v>39</v>
      </c>
      <c r="F314" s="2"/>
      <c r="G314" s="2"/>
      <c r="H314" s="2"/>
      <c r="I314" s="3">
        <f t="shared" si="4"/>
        <v>228</v>
      </c>
    </row>
    <row r="315" spans="1:9" ht="36" x14ac:dyDescent="0.3">
      <c r="A315" s="2" t="s">
        <v>212</v>
      </c>
      <c r="B315" s="2" t="s">
        <v>6528</v>
      </c>
      <c r="C315" s="2" t="s">
        <v>1255</v>
      </c>
      <c r="D315" s="2" t="s">
        <v>6529</v>
      </c>
      <c r="E315" s="2" t="s">
        <v>39</v>
      </c>
      <c r="F315" s="2"/>
      <c r="G315" s="2"/>
      <c r="H315" s="2"/>
      <c r="I315" s="3">
        <f t="shared" si="4"/>
        <v>229</v>
      </c>
    </row>
    <row r="316" spans="1:9" ht="36" x14ac:dyDescent="0.3">
      <c r="A316" s="2" t="s">
        <v>212</v>
      </c>
      <c r="B316" s="2" t="s">
        <v>1928</v>
      </c>
      <c r="C316" s="2" t="s">
        <v>178</v>
      </c>
      <c r="D316" s="2" t="s">
        <v>6540</v>
      </c>
      <c r="E316" s="2" t="s">
        <v>39</v>
      </c>
      <c r="F316" s="2"/>
      <c r="G316" s="2"/>
      <c r="H316" s="2"/>
      <c r="I316" s="3">
        <f t="shared" si="4"/>
        <v>230</v>
      </c>
    </row>
    <row r="317" spans="1:9" ht="36" x14ac:dyDescent="0.3">
      <c r="A317" s="2" t="s">
        <v>212</v>
      </c>
      <c r="B317" s="2" t="s">
        <v>6580</v>
      </c>
      <c r="C317" s="2"/>
      <c r="D317" s="2" t="s">
        <v>6581</v>
      </c>
      <c r="E317" s="2" t="s">
        <v>39</v>
      </c>
      <c r="F317" s="2"/>
      <c r="G317" s="2"/>
      <c r="H317" s="2"/>
      <c r="I317" s="3">
        <f t="shared" si="4"/>
        <v>234</v>
      </c>
    </row>
    <row r="318" spans="1:9" ht="36" x14ac:dyDescent="0.3">
      <c r="A318" s="2" t="s">
        <v>212</v>
      </c>
      <c r="B318" s="2" t="s">
        <v>6593</v>
      </c>
      <c r="C318" s="2" t="s">
        <v>98</v>
      </c>
      <c r="D318" s="2" t="s">
        <v>6594</v>
      </c>
      <c r="E318" s="2" t="s">
        <v>39</v>
      </c>
      <c r="F318" s="2"/>
      <c r="G318" s="2"/>
      <c r="H318" s="2"/>
      <c r="I318" s="3">
        <f t="shared" si="4"/>
        <v>236</v>
      </c>
    </row>
    <row r="319" spans="1:9" ht="36" x14ac:dyDescent="0.3">
      <c r="A319" s="2" t="s">
        <v>212</v>
      </c>
      <c r="B319" s="2" t="s">
        <v>6637</v>
      </c>
      <c r="C319" s="2"/>
      <c r="D319" s="2" t="s">
        <v>9089</v>
      </c>
      <c r="E319" s="2" t="s">
        <v>39</v>
      </c>
      <c r="F319" s="2" t="s">
        <v>3082</v>
      </c>
      <c r="G319" s="2" t="s">
        <v>1717</v>
      </c>
      <c r="H319" s="2" t="s">
        <v>1176</v>
      </c>
      <c r="I319" s="3">
        <f t="shared" si="4"/>
        <v>237</v>
      </c>
    </row>
    <row r="320" spans="1:9" ht="36" x14ac:dyDescent="0.3">
      <c r="A320" s="2" t="s">
        <v>212</v>
      </c>
      <c r="B320" s="2" t="s">
        <v>6640</v>
      </c>
      <c r="C320" s="2" t="s">
        <v>229</v>
      </c>
      <c r="D320" s="2" t="s">
        <v>9090</v>
      </c>
      <c r="E320" s="2" t="s">
        <v>39</v>
      </c>
      <c r="F320" s="2" t="s">
        <v>4841</v>
      </c>
      <c r="G320" s="2" t="s">
        <v>1717</v>
      </c>
      <c r="H320" s="2"/>
      <c r="I320" s="3">
        <f t="shared" si="4"/>
        <v>237</v>
      </c>
    </row>
    <row r="321" spans="1:9" ht="36" x14ac:dyDescent="0.3">
      <c r="A321" s="2" t="s">
        <v>212</v>
      </c>
      <c r="B321" s="2" t="s">
        <v>6644</v>
      </c>
      <c r="C321" s="2"/>
      <c r="D321" s="2" t="s">
        <v>9091</v>
      </c>
      <c r="E321" s="2" t="s">
        <v>3671</v>
      </c>
      <c r="F321" s="2" t="s">
        <v>1778</v>
      </c>
      <c r="G321" s="2" t="s">
        <v>1717</v>
      </c>
      <c r="H321" s="2"/>
      <c r="I321" s="3">
        <f t="shared" si="4"/>
        <v>237</v>
      </c>
    </row>
    <row r="322" spans="1:9" ht="36" x14ac:dyDescent="0.3">
      <c r="A322" s="2" t="s">
        <v>212</v>
      </c>
      <c r="B322" s="2" t="s">
        <v>6631</v>
      </c>
      <c r="C322" s="2" t="s">
        <v>389</v>
      </c>
      <c r="D322" s="2" t="s">
        <v>6632</v>
      </c>
      <c r="E322" s="2" t="s">
        <v>39</v>
      </c>
      <c r="F322" s="2"/>
      <c r="G322" s="2"/>
      <c r="H322" s="2"/>
      <c r="I322" s="3">
        <f t="shared" ref="I322:I385" si="5">LEN(D322)</f>
        <v>238</v>
      </c>
    </row>
    <row r="323" spans="1:9" ht="36" x14ac:dyDescent="0.3">
      <c r="A323" s="2" t="s">
        <v>212</v>
      </c>
      <c r="B323" s="2" t="s">
        <v>6641</v>
      </c>
      <c r="C323" s="2" t="s">
        <v>1255</v>
      </c>
      <c r="D323" s="2" t="s">
        <v>6642</v>
      </c>
      <c r="E323" s="2" t="s">
        <v>39</v>
      </c>
      <c r="F323" s="2"/>
      <c r="G323" s="2"/>
      <c r="H323" s="2"/>
      <c r="I323" s="3">
        <f t="shared" si="5"/>
        <v>239</v>
      </c>
    </row>
    <row r="324" spans="1:9" ht="36" x14ac:dyDescent="0.3">
      <c r="A324" s="2" t="s">
        <v>212</v>
      </c>
      <c r="B324" s="2" t="s">
        <v>6667</v>
      </c>
      <c r="C324" s="2" t="s">
        <v>1255</v>
      </c>
      <c r="D324" s="2" t="s">
        <v>9092</v>
      </c>
      <c r="E324" s="2" t="s">
        <v>39</v>
      </c>
      <c r="F324" s="2" t="s">
        <v>350</v>
      </c>
      <c r="G324" s="2" t="s">
        <v>1717</v>
      </c>
      <c r="H324" s="2" t="s">
        <v>646</v>
      </c>
      <c r="I324" s="3">
        <f t="shared" si="5"/>
        <v>239</v>
      </c>
    </row>
    <row r="325" spans="1:9" ht="36" x14ac:dyDescent="0.3">
      <c r="A325" s="2" t="s">
        <v>212</v>
      </c>
      <c r="B325" s="2" t="s">
        <v>6688</v>
      </c>
      <c r="C325" s="2"/>
      <c r="D325" s="2" t="s">
        <v>9093</v>
      </c>
      <c r="E325" s="2" t="s">
        <v>39</v>
      </c>
      <c r="F325" s="2" t="s">
        <v>2281</v>
      </c>
      <c r="G325" s="2" t="s">
        <v>1717</v>
      </c>
      <c r="H325" s="2" t="s">
        <v>194</v>
      </c>
      <c r="I325" s="3">
        <f t="shared" si="5"/>
        <v>243</v>
      </c>
    </row>
    <row r="326" spans="1:9" ht="36" x14ac:dyDescent="0.3">
      <c r="A326" s="2" t="s">
        <v>212</v>
      </c>
      <c r="B326" s="2" t="s">
        <v>6682</v>
      </c>
      <c r="C326" s="2" t="s">
        <v>446</v>
      </c>
      <c r="D326" s="2" t="s">
        <v>6683</v>
      </c>
      <c r="E326" s="2" t="s">
        <v>39</v>
      </c>
      <c r="F326" s="2"/>
      <c r="G326" s="2"/>
      <c r="H326" s="2"/>
      <c r="I326" s="3">
        <f t="shared" si="5"/>
        <v>244</v>
      </c>
    </row>
    <row r="327" spans="1:9" ht="36" x14ac:dyDescent="0.3">
      <c r="A327" s="2" t="s">
        <v>212</v>
      </c>
      <c r="B327" s="2" t="s">
        <v>6691</v>
      </c>
      <c r="C327" s="2" t="s">
        <v>332</v>
      </c>
      <c r="D327" s="2" t="s">
        <v>6692</v>
      </c>
      <c r="E327" s="2" t="s">
        <v>6415</v>
      </c>
      <c r="F327" s="2"/>
      <c r="G327" s="2"/>
      <c r="H327" s="2"/>
      <c r="I327" s="3">
        <f t="shared" si="5"/>
        <v>245</v>
      </c>
    </row>
    <row r="328" spans="1:9" ht="36" x14ac:dyDescent="0.3">
      <c r="A328" s="2" t="s">
        <v>212</v>
      </c>
      <c r="B328" s="2" t="s">
        <v>6695</v>
      </c>
      <c r="C328" s="2"/>
      <c r="D328" s="2" t="s">
        <v>6696</v>
      </c>
      <c r="E328" s="2" t="s">
        <v>39</v>
      </c>
      <c r="F328" s="2"/>
      <c r="G328" s="2"/>
      <c r="H328" s="2"/>
      <c r="I328" s="3">
        <f t="shared" si="5"/>
        <v>245</v>
      </c>
    </row>
    <row r="329" spans="1:9" ht="36" x14ac:dyDescent="0.3">
      <c r="A329" s="2" t="s">
        <v>212</v>
      </c>
      <c r="B329" s="2" t="s">
        <v>6738</v>
      </c>
      <c r="C329" s="2" t="s">
        <v>6739</v>
      </c>
      <c r="D329" s="2" t="s">
        <v>9094</v>
      </c>
      <c r="E329" s="2" t="s">
        <v>39</v>
      </c>
      <c r="F329" s="2" t="s">
        <v>1778</v>
      </c>
      <c r="G329" s="2" t="s">
        <v>1717</v>
      </c>
      <c r="H329" s="2"/>
      <c r="I329" s="3">
        <f t="shared" si="5"/>
        <v>248</v>
      </c>
    </row>
    <row r="330" spans="1:9" ht="36" x14ac:dyDescent="0.3">
      <c r="A330" s="2" t="s">
        <v>212</v>
      </c>
      <c r="B330" s="2" t="s">
        <v>5666</v>
      </c>
      <c r="C330" s="2" t="s">
        <v>5927</v>
      </c>
      <c r="D330" s="2" t="s">
        <v>6728</v>
      </c>
      <c r="E330" s="2" t="s">
        <v>39</v>
      </c>
      <c r="F330" s="2"/>
      <c r="G330" s="2"/>
      <c r="H330" s="2"/>
      <c r="I330" s="3">
        <f t="shared" si="5"/>
        <v>250</v>
      </c>
    </row>
    <row r="331" spans="1:9" ht="36" x14ac:dyDescent="0.3">
      <c r="A331" s="2" t="s">
        <v>212</v>
      </c>
      <c r="B331" s="2" t="s">
        <v>6730</v>
      </c>
      <c r="C331" s="2" t="s">
        <v>422</v>
      </c>
      <c r="D331" s="2" t="s">
        <v>6731</v>
      </c>
      <c r="E331" s="2" t="s">
        <v>39</v>
      </c>
      <c r="F331" s="2"/>
      <c r="G331" s="2"/>
      <c r="H331" s="2" t="s">
        <v>646</v>
      </c>
      <c r="I331" s="3">
        <f t="shared" si="5"/>
        <v>250</v>
      </c>
    </row>
    <row r="332" spans="1:9" ht="36" x14ac:dyDescent="0.3">
      <c r="A332" s="2" t="s">
        <v>212</v>
      </c>
      <c r="B332" s="2" t="s">
        <v>6732</v>
      </c>
      <c r="C332" s="2"/>
      <c r="D332" s="2" t="s">
        <v>6733</v>
      </c>
      <c r="E332" s="2" t="s">
        <v>39</v>
      </c>
      <c r="F332" s="2"/>
      <c r="G332" s="2"/>
      <c r="H332" s="2"/>
      <c r="I332" s="3">
        <f t="shared" si="5"/>
        <v>250</v>
      </c>
    </row>
    <row r="333" spans="1:9" ht="36" x14ac:dyDescent="0.3">
      <c r="A333" s="2" t="s">
        <v>212</v>
      </c>
      <c r="B333" s="2" t="s">
        <v>6746</v>
      </c>
      <c r="C333" s="2"/>
      <c r="D333" s="2" t="s">
        <v>6747</v>
      </c>
      <c r="E333" s="2" t="s">
        <v>39</v>
      </c>
      <c r="F333" s="2"/>
      <c r="G333" s="2"/>
      <c r="H333" s="2" t="s">
        <v>1176</v>
      </c>
      <c r="I333" s="3">
        <f t="shared" si="5"/>
        <v>251</v>
      </c>
    </row>
    <row r="334" spans="1:9" ht="36" x14ac:dyDescent="0.3">
      <c r="A334" s="2" t="s">
        <v>212</v>
      </c>
      <c r="B334" s="2" t="s">
        <v>6748</v>
      </c>
      <c r="C334" s="2" t="s">
        <v>6749</v>
      </c>
      <c r="D334" s="2" t="s">
        <v>6750</v>
      </c>
      <c r="E334" s="2" t="s">
        <v>2693</v>
      </c>
      <c r="F334" s="2"/>
      <c r="G334" s="2"/>
      <c r="H334" s="2" t="s">
        <v>537</v>
      </c>
      <c r="I334" s="3">
        <f t="shared" si="5"/>
        <v>251</v>
      </c>
    </row>
    <row r="335" spans="1:9" ht="36" x14ac:dyDescent="0.3">
      <c r="A335" s="2" t="s">
        <v>212</v>
      </c>
      <c r="B335" s="2" t="s">
        <v>6757</v>
      </c>
      <c r="C335" s="2" t="s">
        <v>6758</v>
      </c>
      <c r="D335" s="2" t="s">
        <v>6759</v>
      </c>
      <c r="E335" s="2" t="s">
        <v>39</v>
      </c>
      <c r="F335" s="2"/>
      <c r="G335" s="2"/>
      <c r="H335" s="2"/>
      <c r="I335" s="3">
        <f t="shared" si="5"/>
        <v>251</v>
      </c>
    </row>
    <row r="336" spans="1:9" ht="36" x14ac:dyDescent="0.3">
      <c r="A336" s="2" t="s">
        <v>212</v>
      </c>
      <c r="B336" s="2" t="s">
        <v>6779</v>
      </c>
      <c r="C336" s="2" t="s">
        <v>57</v>
      </c>
      <c r="D336" s="2" t="s">
        <v>9095</v>
      </c>
      <c r="E336" s="2" t="s">
        <v>2709</v>
      </c>
      <c r="F336" s="2" t="s">
        <v>4117</v>
      </c>
      <c r="G336" s="2" t="s">
        <v>1717</v>
      </c>
      <c r="H336" s="2"/>
      <c r="I336" s="3">
        <f t="shared" si="5"/>
        <v>251</v>
      </c>
    </row>
    <row r="337" spans="1:9" ht="36" x14ac:dyDescent="0.3">
      <c r="A337" s="2" t="s">
        <v>212</v>
      </c>
      <c r="B337" s="2" t="s">
        <v>213</v>
      </c>
      <c r="C337" s="2"/>
      <c r="D337" s="2" t="s">
        <v>9096</v>
      </c>
      <c r="E337" s="2" t="s">
        <v>39</v>
      </c>
      <c r="F337" s="2" t="s">
        <v>1778</v>
      </c>
      <c r="G337" s="2" t="s">
        <v>1717</v>
      </c>
      <c r="H337" s="2" t="s">
        <v>216</v>
      </c>
      <c r="I337" s="3">
        <f t="shared" si="5"/>
        <v>251</v>
      </c>
    </row>
    <row r="338" spans="1:9" ht="36" x14ac:dyDescent="0.3">
      <c r="A338" s="2" t="s">
        <v>212</v>
      </c>
      <c r="B338" s="2" t="s">
        <v>6792</v>
      </c>
      <c r="C338" s="2"/>
      <c r="D338" s="2" t="s">
        <v>9097</v>
      </c>
      <c r="E338" s="2" t="s">
        <v>39</v>
      </c>
      <c r="F338" s="2" t="s">
        <v>3082</v>
      </c>
      <c r="G338" s="2" t="s">
        <v>1717</v>
      </c>
      <c r="H338" s="2"/>
      <c r="I338" s="3">
        <f t="shared" si="5"/>
        <v>252</v>
      </c>
    </row>
    <row r="339" spans="1:9" ht="36" x14ac:dyDescent="0.3">
      <c r="A339" s="2" t="s">
        <v>212</v>
      </c>
      <c r="B339" s="2" t="s">
        <v>6777</v>
      </c>
      <c r="C339" s="2" t="s">
        <v>535</v>
      </c>
      <c r="D339" s="2" t="s">
        <v>6778</v>
      </c>
      <c r="E339" s="2" t="s">
        <v>39</v>
      </c>
      <c r="F339" s="2"/>
      <c r="G339" s="2"/>
      <c r="H339" s="2" t="s">
        <v>537</v>
      </c>
      <c r="I339" s="3">
        <f t="shared" si="5"/>
        <v>253</v>
      </c>
    </row>
    <row r="340" spans="1:9" ht="36" x14ac:dyDescent="0.3">
      <c r="A340" s="2" t="s">
        <v>212</v>
      </c>
      <c r="B340" s="2" t="s">
        <v>6786</v>
      </c>
      <c r="C340" s="2" t="s">
        <v>6787</v>
      </c>
      <c r="D340" s="2" t="s">
        <v>8704</v>
      </c>
      <c r="E340" s="2" t="s">
        <v>5790</v>
      </c>
      <c r="F340" s="2"/>
      <c r="G340" s="2"/>
      <c r="H340" s="2"/>
      <c r="I340" s="3">
        <f t="shared" si="5"/>
        <v>254</v>
      </c>
    </row>
    <row r="341" spans="1:9" ht="36" x14ac:dyDescent="0.3">
      <c r="A341" s="2" t="s">
        <v>212</v>
      </c>
      <c r="B341" s="2" t="s">
        <v>6819</v>
      </c>
      <c r="C341" s="2" t="s">
        <v>110</v>
      </c>
      <c r="D341" s="2" t="s">
        <v>9098</v>
      </c>
      <c r="E341" s="2" t="s">
        <v>39</v>
      </c>
      <c r="F341" s="2" t="s">
        <v>2281</v>
      </c>
      <c r="G341" s="2" t="s">
        <v>1717</v>
      </c>
      <c r="H341" s="2"/>
      <c r="I341" s="3">
        <f t="shared" si="5"/>
        <v>254</v>
      </c>
    </row>
    <row r="342" spans="1:9" ht="36" x14ac:dyDescent="0.3">
      <c r="A342" s="2" t="s">
        <v>212</v>
      </c>
      <c r="B342" s="2" t="s">
        <v>6798</v>
      </c>
      <c r="C342" s="2" t="s">
        <v>535</v>
      </c>
      <c r="D342" s="2" t="s">
        <v>6799</v>
      </c>
      <c r="E342" s="2" t="s">
        <v>39</v>
      </c>
      <c r="F342" s="2"/>
      <c r="G342" s="2"/>
      <c r="H342" s="2" t="s">
        <v>537</v>
      </c>
      <c r="I342" s="3">
        <f t="shared" si="5"/>
        <v>255</v>
      </c>
    </row>
    <row r="343" spans="1:9" ht="36" x14ac:dyDescent="0.3">
      <c r="A343" s="2" t="s">
        <v>212</v>
      </c>
      <c r="B343" s="2" t="s">
        <v>6825</v>
      </c>
      <c r="C343" s="2"/>
      <c r="D343" s="2" t="s">
        <v>6826</v>
      </c>
      <c r="E343" s="2" t="s">
        <v>39</v>
      </c>
      <c r="F343" s="2"/>
      <c r="G343" s="2"/>
      <c r="H343" s="2" t="s">
        <v>646</v>
      </c>
      <c r="I343" s="3">
        <f t="shared" si="5"/>
        <v>256</v>
      </c>
    </row>
    <row r="344" spans="1:9" ht="36" x14ac:dyDescent="0.3">
      <c r="A344" s="2" t="s">
        <v>212</v>
      </c>
      <c r="B344" s="2" t="s">
        <v>6840</v>
      </c>
      <c r="C344" s="2" t="s">
        <v>535</v>
      </c>
      <c r="D344" s="2" t="s">
        <v>6841</v>
      </c>
      <c r="E344" s="2" t="s">
        <v>39</v>
      </c>
      <c r="F344" s="2"/>
      <c r="G344" s="2"/>
      <c r="H344" s="2" t="s">
        <v>537</v>
      </c>
      <c r="I344" s="3">
        <f t="shared" si="5"/>
        <v>257</v>
      </c>
    </row>
    <row r="345" spans="1:9" ht="36" x14ac:dyDescent="0.3">
      <c r="A345" s="2" t="s">
        <v>212</v>
      </c>
      <c r="B345" s="2" t="s">
        <v>6840</v>
      </c>
      <c r="C345" s="2" t="s">
        <v>535</v>
      </c>
      <c r="D345" s="2" t="s">
        <v>6842</v>
      </c>
      <c r="E345" s="2" t="s">
        <v>39</v>
      </c>
      <c r="F345" s="2"/>
      <c r="G345" s="2"/>
      <c r="H345" s="2" t="s">
        <v>537</v>
      </c>
      <c r="I345" s="3">
        <f t="shared" si="5"/>
        <v>257</v>
      </c>
    </row>
    <row r="346" spans="1:9" ht="36" x14ac:dyDescent="0.3">
      <c r="A346" s="2" t="s">
        <v>212</v>
      </c>
      <c r="B346" s="2" t="s">
        <v>6868</v>
      </c>
      <c r="C346" s="2" t="s">
        <v>275</v>
      </c>
      <c r="D346" s="2" t="s">
        <v>9099</v>
      </c>
      <c r="E346" s="2" t="s">
        <v>3936</v>
      </c>
      <c r="F346" s="2" t="s">
        <v>1778</v>
      </c>
      <c r="G346" s="2" t="s">
        <v>1717</v>
      </c>
      <c r="H346" s="2" t="s">
        <v>194</v>
      </c>
      <c r="I346" s="3">
        <f t="shared" si="5"/>
        <v>258</v>
      </c>
    </row>
    <row r="347" spans="1:9" ht="36" x14ac:dyDescent="0.3">
      <c r="A347" s="2" t="s">
        <v>212</v>
      </c>
      <c r="B347" s="2" t="s">
        <v>6875</v>
      </c>
      <c r="C347" s="2" t="s">
        <v>35</v>
      </c>
      <c r="D347" s="2" t="s">
        <v>9100</v>
      </c>
      <c r="E347" s="2" t="s">
        <v>39</v>
      </c>
      <c r="F347" s="2" t="s">
        <v>3082</v>
      </c>
      <c r="G347" s="2" t="s">
        <v>1717</v>
      </c>
      <c r="H347" s="2" t="s">
        <v>216</v>
      </c>
      <c r="I347" s="3">
        <f t="shared" si="5"/>
        <v>259</v>
      </c>
    </row>
    <row r="348" spans="1:9" ht="36" x14ac:dyDescent="0.3">
      <c r="A348" s="2" t="s">
        <v>212</v>
      </c>
      <c r="B348" s="2" t="s">
        <v>5892</v>
      </c>
      <c r="C348" s="2" t="s">
        <v>6869</v>
      </c>
      <c r="D348" s="2" t="s">
        <v>6870</v>
      </c>
      <c r="E348" s="2" t="s">
        <v>39</v>
      </c>
      <c r="F348" s="2"/>
      <c r="G348" s="2"/>
      <c r="H348" s="2"/>
      <c r="I348" s="3">
        <f t="shared" si="5"/>
        <v>260</v>
      </c>
    </row>
    <row r="349" spans="1:9" ht="36" x14ac:dyDescent="0.3">
      <c r="A349" s="2" t="s">
        <v>212</v>
      </c>
      <c r="B349" s="2" t="s">
        <v>6372</v>
      </c>
      <c r="C349" s="2" t="s">
        <v>6893</v>
      </c>
      <c r="D349" s="2" t="s">
        <v>9101</v>
      </c>
      <c r="E349" s="2" t="s">
        <v>2136</v>
      </c>
      <c r="F349" s="2" t="s">
        <v>350</v>
      </c>
      <c r="G349" s="2" t="s">
        <v>350</v>
      </c>
      <c r="H349" s="2"/>
      <c r="I349" s="3">
        <f t="shared" si="5"/>
        <v>260</v>
      </c>
    </row>
    <row r="350" spans="1:9" ht="36" x14ac:dyDescent="0.3">
      <c r="A350" s="2" t="s">
        <v>212</v>
      </c>
      <c r="B350" s="2" t="s">
        <v>6792</v>
      </c>
      <c r="C350" s="2"/>
      <c r="D350" s="2" t="s">
        <v>9102</v>
      </c>
      <c r="E350" s="2" t="s">
        <v>39</v>
      </c>
      <c r="F350" s="2" t="s">
        <v>3082</v>
      </c>
      <c r="G350" s="2" t="s">
        <v>1717</v>
      </c>
      <c r="H350" s="2"/>
      <c r="I350" s="3">
        <f t="shared" si="5"/>
        <v>260</v>
      </c>
    </row>
    <row r="351" spans="1:9" ht="36" x14ac:dyDescent="0.3">
      <c r="A351" s="2" t="s">
        <v>212</v>
      </c>
      <c r="B351" s="2" t="s">
        <v>6878</v>
      </c>
      <c r="C351" s="2" t="s">
        <v>491</v>
      </c>
      <c r="D351" s="2" t="s">
        <v>6879</v>
      </c>
      <c r="E351" s="2" t="s">
        <v>39</v>
      </c>
      <c r="F351" s="2"/>
      <c r="G351" s="2"/>
      <c r="H351" s="2"/>
      <c r="I351" s="3">
        <f t="shared" si="5"/>
        <v>261</v>
      </c>
    </row>
    <row r="352" spans="1:9" ht="36" x14ac:dyDescent="0.3">
      <c r="A352" s="2" t="s">
        <v>212</v>
      </c>
      <c r="B352" s="2" t="s">
        <v>6908</v>
      </c>
      <c r="C352" s="2" t="s">
        <v>84</v>
      </c>
      <c r="D352" s="2" t="s">
        <v>9103</v>
      </c>
      <c r="E352" s="2" t="s">
        <v>2693</v>
      </c>
      <c r="F352" s="2" t="s">
        <v>1778</v>
      </c>
      <c r="G352" s="2" t="s">
        <v>1717</v>
      </c>
      <c r="H352" s="2" t="s">
        <v>86</v>
      </c>
      <c r="I352" s="3">
        <f t="shared" si="5"/>
        <v>261</v>
      </c>
    </row>
    <row r="353" spans="1:9" ht="36" x14ac:dyDescent="0.3">
      <c r="A353" s="2" t="s">
        <v>212</v>
      </c>
      <c r="B353" s="2" t="s">
        <v>6891</v>
      </c>
      <c r="C353" s="2" t="s">
        <v>535</v>
      </c>
      <c r="D353" s="2" t="s">
        <v>6892</v>
      </c>
      <c r="E353" s="2" t="s">
        <v>39</v>
      </c>
      <c r="F353" s="2"/>
      <c r="G353" s="2"/>
      <c r="H353" s="2" t="s">
        <v>537</v>
      </c>
      <c r="I353" s="3">
        <f t="shared" si="5"/>
        <v>262</v>
      </c>
    </row>
    <row r="354" spans="1:9" ht="36" x14ac:dyDescent="0.3">
      <c r="A354" s="2" t="s">
        <v>212</v>
      </c>
      <c r="B354" s="2" t="s">
        <v>6921</v>
      </c>
      <c r="C354" s="2"/>
      <c r="D354" s="2" t="s">
        <v>9104</v>
      </c>
      <c r="E354" s="2" t="s">
        <v>616</v>
      </c>
      <c r="F354" s="2" t="s">
        <v>2281</v>
      </c>
      <c r="G354" s="2" t="s">
        <v>1717</v>
      </c>
      <c r="H354" s="2"/>
      <c r="I354" s="3">
        <f t="shared" si="5"/>
        <v>262</v>
      </c>
    </row>
    <row r="355" spans="1:9" ht="36" x14ac:dyDescent="0.3">
      <c r="A355" s="2" t="s">
        <v>212</v>
      </c>
      <c r="B355" s="2" t="s">
        <v>6947</v>
      </c>
      <c r="C355" s="2" t="s">
        <v>6948</v>
      </c>
      <c r="D355" s="2" t="s">
        <v>9105</v>
      </c>
      <c r="E355" s="2" t="s">
        <v>5938</v>
      </c>
      <c r="F355" s="2" t="s">
        <v>350</v>
      </c>
      <c r="G355" s="2" t="s">
        <v>350</v>
      </c>
      <c r="H355" s="2"/>
      <c r="I355" s="3">
        <f t="shared" si="5"/>
        <v>264</v>
      </c>
    </row>
    <row r="356" spans="1:9" ht="36" x14ac:dyDescent="0.3">
      <c r="A356" s="2" t="s">
        <v>212</v>
      </c>
      <c r="B356" s="2" t="s">
        <v>6930</v>
      </c>
      <c r="C356" s="2"/>
      <c r="D356" s="2" t="s">
        <v>6931</v>
      </c>
      <c r="E356" s="2"/>
      <c r="F356" s="2"/>
      <c r="G356" s="2"/>
      <c r="H356" s="2"/>
      <c r="I356" s="3">
        <f t="shared" si="5"/>
        <v>265</v>
      </c>
    </row>
    <row r="357" spans="1:9" ht="36" x14ac:dyDescent="0.3">
      <c r="A357" s="2" t="s">
        <v>212</v>
      </c>
      <c r="B357" s="2" t="s">
        <v>6963</v>
      </c>
      <c r="C357" s="2" t="s">
        <v>113</v>
      </c>
      <c r="D357" s="2" t="s">
        <v>9106</v>
      </c>
      <c r="E357" s="2" t="s">
        <v>2136</v>
      </c>
      <c r="F357" s="2" t="s">
        <v>4117</v>
      </c>
      <c r="G357" s="2" t="s">
        <v>350</v>
      </c>
      <c r="H357" s="2"/>
      <c r="I357" s="3">
        <f t="shared" si="5"/>
        <v>266</v>
      </c>
    </row>
    <row r="358" spans="1:9" ht="36" x14ac:dyDescent="0.3">
      <c r="A358" s="2" t="s">
        <v>212</v>
      </c>
      <c r="B358" s="2" t="s">
        <v>6951</v>
      </c>
      <c r="C358" s="2" t="s">
        <v>144</v>
      </c>
      <c r="D358" s="2" t="s">
        <v>6952</v>
      </c>
      <c r="E358" s="2" t="s">
        <v>39</v>
      </c>
      <c r="F358" s="2"/>
      <c r="G358" s="2"/>
      <c r="H358" s="2"/>
      <c r="I358" s="3">
        <f t="shared" si="5"/>
        <v>267</v>
      </c>
    </row>
    <row r="359" spans="1:9" ht="36" x14ac:dyDescent="0.3">
      <c r="A359" s="2" t="s">
        <v>212</v>
      </c>
      <c r="B359" s="2" t="s">
        <v>6978</v>
      </c>
      <c r="C359" s="2"/>
      <c r="D359" s="2" t="s">
        <v>9107</v>
      </c>
      <c r="E359" s="2" t="s">
        <v>6979</v>
      </c>
      <c r="F359" s="2" t="s">
        <v>4117</v>
      </c>
      <c r="G359" s="2" t="s">
        <v>1717</v>
      </c>
      <c r="H359" s="2"/>
      <c r="I359" s="3">
        <f t="shared" si="5"/>
        <v>268</v>
      </c>
    </row>
    <row r="360" spans="1:9" ht="36" x14ac:dyDescent="0.3">
      <c r="A360" s="2" t="s">
        <v>212</v>
      </c>
      <c r="B360" s="2" t="s">
        <v>6840</v>
      </c>
      <c r="C360" s="2" t="s">
        <v>535</v>
      </c>
      <c r="D360" s="2" t="s">
        <v>6971</v>
      </c>
      <c r="E360" s="2" t="s">
        <v>39</v>
      </c>
      <c r="F360" s="2"/>
      <c r="G360" s="2"/>
      <c r="H360" s="2" t="s">
        <v>537</v>
      </c>
      <c r="I360" s="3">
        <f t="shared" si="5"/>
        <v>269</v>
      </c>
    </row>
    <row r="361" spans="1:9" ht="36" x14ac:dyDescent="0.3">
      <c r="A361" s="2" t="s">
        <v>212</v>
      </c>
      <c r="B361" s="2" t="s">
        <v>6980</v>
      </c>
      <c r="C361" s="2" t="s">
        <v>1255</v>
      </c>
      <c r="D361" s="2" t="s">
        <v>6981</v>
      </c>
      <c r="E361" s="2" t="s">
        <v>39</v>
      </c>
      <c r="F361" s="2"/>
      <c r="G361" s="2"/>
      <c r="H361" s="2"/>
      <c r="I361" s="3">
        <f t="shared" si="5"/>
        <v>270</v>
      </c>
    </row>
    <row r="362" spans="1:9" ht="36" x14ac:dyDescent="0.3">
      <c r="A362" s="2" t="s">
        <v>212</v>
      </c>
      <c r="B362" s="2" t="s">
        <v>6993</v>
      </c>
      <c r="C362" s="2" t="s">
        <v>389</v>
      </c>
      <c r="D362" s="2" t="s">
        <v>6994</v>
      </c>
      <c r="E362" s="2" t="s">
        <v>39</v>
      </c>
      <c r="F362" s="2"/>
      <c r="G362" s="2"/>
      <c r="H362" s="2"/>
      <c r="I362" s="3">
        <f t="shared" si="5"/>
        <v>271</v>
      </c>
    </row>
    <row r="363" spans="1:9" ht="36" x14ac:dyDescent="0.3">
      <c r="A363" s="2" t="s">
        <v>212</v>
      </c>
      <c r="B363" s="2" t="s">
        <v>7005</v>
      </c>
      <c r="C363" s="2" t="s">
        <v>7006</v>
      </c>
      <c r="D363" s="2" t="s">
        <v>9108</v>
      </c>
      <c r="E363" s="2" t="s">
        <v>39</v>
      </c>
      <c r="F363" s="2" t="s">
        <v>1778</v>
      </c>
      <c r="G363" s="2" t="s">
        <v>1717</v>
      </c>
      <c r="H363" s="2"/>
      <c r="I363" s="3">
        <f t="shared" si="5"/>
        <v>271</v>
      </c>
    </row>
    <row r="364" spans="1:9" ht="36" x14ac:dyDescent="0.3">
      <c r="A364" s="2" t="s">
        <v>212</v>
      </c>
      <c r="B364" s="2" t="s">
        <v>7015</v>
      </c>
      <c r="C364" s="2" t="s">
        <v>2057</v>
      </c>
      <c r="D364" s="2" t="s">
        <v>9109</v>
      </c>
      <c r="E364" s="2" t="s">
        <v>39</v>
      </c>
      <c r="F364" s="2" t="s">
        <v>4117</v>
      </c>
      <c r="G364" s="2" t="s">
        <v>1717</v>
      </c>
      <c r="H364" s="2"/>
      <c r="I364" s="3">
        <f t="shared" si="5"/>
        <v>272</v>
      </c>
    </row>
    <row r="365" spans="1:9" ht="36" x14ac:dyDescent="0.3">
      <c r="A365" s="2" t="s">
        <v>212</v>
      </c>
      <c r="B365" s="2" t="s">
        <v>213</v>
      </c>
      <c r="C365" s="2"/>
      <c r="D365" s="2" t="s">
        <v>9110</v>
      </c>
      <c r="E365" s="2" t="s">
        <v>3251</v>
      </c>
      <c r="F365" s="2" t="s">
        <v>4117</v>
      </c>
      <c r="G365" s="2" t="s">
        <v>1717</v>
      </c>
      <c r="H365" s="2" t="s">
        <v>216</v>
      </c>
      <c r="I365" s="3">
        <f t="shared" si="5"/>
        <v>274</v>
      </c>
    </row>
    <row r="366" spans="1:9" ht="36" x14ac:dyDescent="0.3">
      <c r="A366" s="2" t="s">
        <v>212</v>
      </c>
      <c r="B366" s="2" t="s">
        <v>7028</v>
      </c>
      <c r="C366" s="2"/>
      <c r="D366" s="2" t="s">
        <v>7029</v>
      </c>
      <c r="E366" s="2" t="s">
        <v>39</v>
      </c>
      <c r="F366" s="2"/>
      <c r="G366" s="2"/>
      <c r="H366" s="2"/>
      <c r="I366" s="3">
        <f t="shared" si="5"/>
        <v>276</v>
      </c>
    </row>
    <row r="367" spans="1:9" ht="36" x14ac:dyDescent="0.3">
      <c r="A367" s="2" t="s">
        <v>212</v>
      </c>
      <c r="B367" s="2" t="s">
        <v>213</v>
      </c>
      <c r="C367" s="2"/>
      <c r="D367" s="2" t="s">
        <v>9111</v>
      </c>
      <c r="E367" s="2" t="s">
        <v>3251</v>
      </c>
      <c r="F367" s="2" t="s">
        <v>4117</v>
      </c>
      <c r="G367" s="2" t="s">
        <v>1717</v>
      </c>
      <c r="H367" s="2" t="s">
        <v>216</v>
      </c>
      <c r="I367" s="3">
        <f t="shared" si="5"/>
        <v>278</v>
      </c>
    </row>
    <row r="368" spans="1:9" ht="36" x14ac:dyDescent="0.3">
      <c r="A368" s="2" t="s">
        <v>212</v>
      </c>
      <c r="B368" s="2" t="s">
        <v>7053</v>
      </c>
      <c r="C368" s="2"/>
      <c r="D368" s="2" t="s">
        <v>9112</v>
      </c>
      <c r="E368" s="2" t="s">
        <v>2121</v>
      </c>
      <c r="F368" s="2" t="s">
        <v>4117</v>
      </c>
      <c r="G368" s="2" t="s">
        <v>1717</v>
      </c>
      <c r="H368" s="2"/>
      <c r="I368" s="3">
        <f t="shared" si="5"/>
        <v>278</v>
      </c>
    </row>
    <row r="369" spans="1:9" ht="36" x14ac:dyDescent="0.3">
      <c r="A369" s="2" t="s">
        <v>212</v>
      </c>
      <c r="B369" s="2" t="s">
        <v>7066</v>
      </c>
      <c r="C369" s="2" t="s">
        <v>95</v>
      </c>
      <c r="D369" s="2" t="s">
        <v>9113</v>
      </c>
      <c r="E369" s="2" t="s">
        <v>6316</v>
      </c>
      <c r="F369" s="2" t="s">
        <v>4117</v>
      </c>
      <c r="G369" s="2" t="s">
        <v>1717</v>
      </c>
      <c r="H369" s="2"/>
      <c r="I369" s="3">
        <f t="shared" si="5"/>
        <v>280</v>
      </c>
    </row>
    <row r="370" spans="1:9" ht="36" x14ac:dyDescent="0.3">
      <c r="A370" s="2" t="s">
        <v>212</v>
      </c>
      <c r="B370" s="2" t="s">
        <v>213</v>
      </c>
      <c r="C370" s="2" t="s">
        <v>2057</v>
      </c>
      <c r="D370" s="2" t="s">
        <v>7060</v>
      </c>
      <c r="E370" s="2" t="s">
        <v>39</v>
      </c>
      <c r="F370" s="2"/>
      <c r="G370" s="2"/>
      <c r="H370" s="2" t="s">
        <v>194</v>
      </c>
      <c r="I370" s="3">
        <f t="shared" si="5"/>
        <v>281</v>
      </c>
    </row>
    <row r="371" spans="1:9" ht="36" x14ac:dyDescent="0.3">
      <c r="A371" s="2" t="s">
        <v>212</v>
      </c>
      <c r="B371" s="2" t="s">
        <v>5189</v>
      </c>
      <c r="C371" s="2" t="s">
        <v>422</v>
      </c>
      <c r="D371" s="2" t="s">
        <v>7063</v>
      </c>
      <c r="E371" s="2" t="s">
        <v>39</v>
      </c>
      <c r="F371" s="2"/>
      <c r="G371" s="2"/>
      <c r="H371" s="2"/>
      <c r="I371" s="3">
        <f t="shared" si="5"/>
        <v>281</v>
      </c>
    </row>
    <row r="372" spans="1:9" ht="36" x14ac:dyDescent="0.3">
      <c r="A372" s="2" t="s">
        <v>212</v>
      </c>
      <c r="B372" s="2" t="s">
        <v>6840</v>
      </c>
      <c r="C372" s="2" t="s">
        <v>535</v>
      </c>
      <c r="D372" s="2" t="s">
        <v>7082</v>
      </c>
      <c r="E372" s="2" t="s">
        <v>39</v>
      </c>
      <c r="F372" s="2"/>
      <c r="G372" s="2"/>
      <c r="H372" s="2" t="s">
        <v>537</v>
      </c>
      <c r="I372" s="3">
        <f t="shared" si="5"/>
        <v>284</v>
      </c>
    </row>
    <row r="373" spans="1:9" ht="36" x14ac:dyDescent="0.3">
      <c r="A373" s="2" t="s">
        <v>212</v>
      </c>
      <c r="B373" s="2" t="s">
        <v>7094</v>
      </c>
      <c r="C373" s="2" t="s">
        <v>389</v>
      </c>
      <c r="D373" s="2" t="s">
        <v>9114</v>
      </c>
      <c r="E373" s="2" t="s">
        <v>39</v>
      </c>
      <c r="F373" s="2" t="s">
        <v>2281</v>
      </c>
      <c r="G373" s="2" t="s">
        <v>1717</v>
      </c>
      <c r="H373" s="2" t="s">
        <v>1176</v>
      </c>
      <c r="I373" s="3">
        <f t="shared" si="5"/>
        <v>284</v>
      </c>
    </row>
    <row r="374" spans="1:9" ht="36" x14ac:dyDescent="0.3">
      <c r="A374" s="2" t="s">
        <v>212</v>
      </c>
      <c r="B374" s="2" t="s">
        <v>7085</v>
      </c>
      <c r="C374" s="2" t="s">
        <v>1255</v>
      </c>
      <c r="D374" s="2" t="s">
        <v>7086</v>
      </c>
      <c r="E374" s="2" t="s">
        <v>39</v>
      </c>
      <c r="F374" s="2"/>
      <c r="G374" s="2"/>
      <c r="H374" s="2"/>
      <c r="I374" s="3">
        <f t="shared" si="5"/>
        <v>285</v>
      </c>
    </row>
    <row r="375" spans="1:9" ht="36" x14ac:dyDescent="0.3">
      <c r="A375" s="2" t="s">
        <v>212</v>
      </c>
      <c r="B375" s="2" t="s">
        <v>957</v>
      </c>
      <c r="C375" s="2" t="s">
        <v>958</v>
      </c>
      <c r="D375" s="2" t="s">
        <v>7095</v>
      </c>
      <c r="E375" s="2" t="s">
        <v>2136</v>
      </c>
      <c r="F375" s="2"/>
      <c r="G375" s="2"/>
      <c r="H375" s="2"/>
      <c r="I375" s="3">
        <f t="shared" si="5"/>
        <v>286</v>
      </c>
    </row>
    <row r="376" spans="1:9" ht="36" x14ac:dyDescent="0.3">
      <c r="A376" s="2" t="s">
        <v>212</v>
      </c>
      <c r="B376" s="2" t="s">
        <v>7109</v>
      </c>
      <c r="C376" s="2"/>
      <c r="D376" s="2" t="s">
        <v>7110</v>
      </c>
      <c r="E376" s="2" t="s">
        <v>39</v>
      </c>
      <c r="F376" s="2"/>
      <c r="G376" s="2"/>
      <c r="H376" s="2"/>
      <c r="I376" s="3">
        <f t="shared" si="5"/>
        <v>288</v>
      </c>
    </row>
    <row r="377" spans="1:9" ht="36" x14ac:dyDescent="0.3">
      <c r="A377" s="2" t="s">
        <v>212</v>
      </c>
      <c r="B377" s="2" t="s">
        <v>5995</v>
      </c>
      <c r="C377" s="2" t="s">
        <v>544</v>
      </c>
      <c r="D377" s="2" t="s">
        <v>7115</v>
      </c>
      <c r="E377" s="2" t="s">
        <v>39</v>
      </c>
      <c r="F377" s="2"/>
      <c r="G377" s="2"/>
      <c r="H377" s="2"/>
      <c r="I377" s="3">
        <f t="shared" si="5"/>
        <v>289</v>
      </c>
    </row>
    <row r="378" spans="1:9" ht="36" x14ac:dyDescent="0.3">
      <c r="A378" s="2" t="s">
        <v>212</v>
      </c>
      <c r="B378" s="2" t="s">
        <v>5248</v>
      </c>
      <c r="C378" s="2"/>
      <c r="D378" s="2" t="s">
        <v>7116</v>
      </c>
      <c r="E378" s="2" t="s">
        <v>39</v>
      </c>
      <c r="F378" s="2"/>
      <c r="G378" s="2"/>
      <c r="H378" s="2"/>
      <c r="I378" s="3">
        <f t="shared" si="5"/>
        <v>289</v>
      </c>
    </row>
    <row r="379" spans="1:9" ht="36" x14ac:dyDescent="0.3">
      <c r="A379" s="2" t="s">
        <v>212</v>
      </c>
      <c r="B379" s="2" t="s">
        <v>7133</v>
      </c>
      <c r="C379" s="2" t="s">
        <v>500</v>
      </c>
      <c r="D379" s="2" t="s">
        <v>9115</v>
      </c>
      <c r="E379" s="2" t="s">
        <v>556</v>
      </c>
      <c r="F379" s="2" t="s">
        <v>4117</v>
      </c>
      <c r="G379" s="2" t="s">
        <v>350</v>
      </c>
      <c r="H379" s="2" t="s">
        <v>402</v>
      </c>
      <c r="I379" s="3">
        <f t="shared" si="5"/>
        <v>289</v>
      </c>
    </row>
    <row r="380" spans="1:9" ht="36" x14ac:dyDescent="0.3">
      <c r="A380" s="2" t="s">
        <v>212</v>
      </c>
      <c r="B380" s="2" t="s">
        <v>7117</v>
      </c>
      <c r="C380" s="2" t="s">
        <v>535</v>
      </c>
      <c r="D380" s="2" t="s">
        <v>7118</v>
      </c>
      <c r="E380" s="2" t="s">
        <v>39</v>
      </c>
      <c r="F380" s="2"/>
      <c r="G380" s="2"/>
      <c r="H380" s="2" t="s">
        <v>537</v>
      </c>
      <c r="I380" s="3">
        <f t="shared" si="5"/>
        <v>290</v>
      </c>
    </row>
    <row r="381" spans="1:9" ht="36" x14ac:dyDescent="0.3">
      <c r="A381" s="2" t="s">
        <v>212</v>
      </c>
      <c r="B381" s="2" t="s">
        <v>7138</v>
      </c>
      <c r="C381" s="2" t="s">
        <v>160</v>
      </c>
      <c r="D381" s="2" t="s">
        <v>9116</v>
      </c>
      <c r="E381" s="2" t="s">
        <v>3671</v>
      </c>
      <c r="F381" s="2" t="s">
        <v>350</v>
      </c>
      <c r="G381" s="2" t="s">
        <v>1717</v>
      </c>
      <c r="H381" s="2"/>
      <c r="I381" s="3">
        <f t="shared" si="5"/>
        <v>290</v>
      </c>
    </row>
    <row r="382" spans="1:9" ht="36" x14ac:dyDescent="0.3">
      <c r="A382" s="2" t="s">
        <v>212</v>
      </c>
      <c r="B382" s="2" t="s">
        <v>213</v>
      </c>
      <c r="C382" s="2"/>
      <c r="D382" s="2" t="s">
        <v>8705</v>
      </c>
      <c r="E382" s="2" t="s">
        <v>7132</v>
      </c>
      <c r="F382" s="2"/>
      <c r="G382" s="2"/>
      <c r="H382" s="2" t="s">
        <v>216</v>
      </c>
      <c r="I382" s="3">
        <f t="shared" si="5"/>
        <v>291</v>
      </c>
    </row>
    <row r="383" spans="1:9" ht="36" x14ac:dyDescent="0.3">
      <c r="A383" s="2" t="s">
        <v>212</v>
      </c>
      <c r="B383" s="2" t="s">
        <v>7012</v>
      </c>
      <c r="C383" s="2" t="s">
        <v>7150</v>
      </c>
      <c r="D383" s="2" t="s">
        <v>9117</v>
      </c>
      <c r="E383" s="2" t="s">
        <v>2136</v>
      </c>
      <c r="F383" s="2" t="s">
        <v>4117</v>
      </c>
      <c r="G383" s="2" t="s">
        <v>1717</v>
      </c>
      <c r="H383" s="2"/>
      <c r="I383" s="3">
        <f t="shared" si="5"/>
        <v>291</v>
      </c>
    </row>
    <row r="384" spans="1:9" ht="36" x14ac:dyDescent="0.3">
      <c r="A384" s="2" t="s">
        <v>212</v>
      </c>
      <c r="B384" s="2" t="s">
        <v>7146</v>
      </c>
      <c r="C384" s="2" t="s">
        <v>332</v>
      </c>
      <c r="D384" s="2" t="s">
        <v>8706</v>
      </c>
      <c r="E384" s="2" t="s">
        <v>2136</v>
      </c>
      <c r="F384" s="2"/>
      <c r="G384" s="2"/>
      <c r="H384" s="2" t="s">
        <v>1176</v>
      </c>
      <c r="I384" s="3">
        <f t="shared" si="5"/>
        <v>293</v>
      </c>
    </row>
    <row r="385" spans="1:9" ht="36" x14ac:dyDescent="0.3">
      <c r="A385" s="2" t="s">
        <v>212</v>
      </c>
      <c r="B385" s="2" t="s">
        <v>7148</v>
      </c>
      <c r="C385" s="2" t="s">
        <v>1255</v>
      </c>
      <c r="D385" s="2" t="s">
        <v>7149</v>
      </c>
      <c r="E385" s="2" t="s">
        <v>39</v>
      </c>
      <c r="F385" s="2"/>
      <c r="G385" s="2"/>
      <c r="H385" s="2"/>
      <c r="I385" s="3">
        <f t="shared" si="5"/>
        <v>293</v>
      </c>
    </row>
    <row r="386" spans="1:9" ht="36" x14ac:dyDescent="0.3">
      <c r="A386" s="2" t="s">
        <v>212</v>
      </c>
      <c r="B386" s="2" t="s">
        <v>7178</v>
      </c>
      <c r="C386" s="2" t="s">
        <v>332</v>
      </c>
      <c r="D386" s="2" t="s">
        <v>9118</v>
      </c>
      <c r="E386" s="2" t="s">
        <v>2693</v>
      </c>
      <c r="F386" s="2" t="s">
        <v>4117</v>
      </c>
      <c r="G386" s="2" t="s">
        <v>1717</v>
      </c>
      <c r="H386" s="2"/>
      <c r="I386" s="3">
        <f t="shared" ref="I386:I449" si="6">LEN(D386)</f>
        <v>297</v>
      </c>
    </row>
    <row r="387" spans="1:9" ht="36" x14ac:dyDescent="0.3">
      <c r="A387" s="2" t="s">
        <v>212</v>
      </c>
      <c r="B387" s="2" t="s">
        <v>7173</v>
      </c>
      <c r="C387" s="2" t="s">
        <v>590</v>
      </c>
      <c r="D387" s="2" t="s">
        <v>7174</v>
      </c>
      <c r="E387" s="2" t="s">
        <v>39</v>
      </c>
      <c r="F387" s="2"/>
      <c r="G387" s="2"/>
      <c r="H387" s="2"/>
      <c r="I387" s="3">
        <f t="shared" si="6"/>
        <v>298</v>
      </c>
    </row>
    <row r="388" spans="1:9" ht="48" x14ac:dyDescent="0.3">
      <c r="A388" s="2" t="s">
        <v>212</v>
      </c>
      <c r="B388" s="2" t="s">
        <v>7175</v>
      </c>
      <c r="C388" s="2"/>
      <c r="D388" s="2" t="s">
        <v>7176</v>
      </c>
      <c r="E388" s="2" t="s">
        <v>39</v>
      </c>
      <c r="F388" s="2"/>
      <c r="G388" s="2" t="s">
        <v>1717</v>
      </c>
      <c r="H388" s="2"/>
      <c r="I388" s="3">
        <f t="shared" si="6"/>
        <v>298</v>
      </c>
    </row>
    <row r="389" spans="1:9" ht="36" x14ac:dyDescent="0.3">
      <c r="A389" s="2" t="s">
        <v>212</v>
      </c>
      <c r="B389" s="2" t="s">
        <v>1489</v>
      </c>
      <c r="C389" s="2" t="s">
        <v>1255</v>
      </c>
      <c r="D389" s="2" t="s">
        <v>7177</v>
      </c>
      <c r="E389" s="2" t="s">
        <v>39</v>
      </c>
      <c r="F389" s="2"/>
      <c r="G389" s="2"/>
      <c r="H389" s="2"/>
      <c r="I389" s="3">
        <f t="shared" si="6"/>
        <v>298</v>
      </c>
    </row>
    <row r="390" spans="1:9" ht="36" x14ac:dyDescent="0.3">
      <c r="A390" s="2" t="s">
        <v>212</v>
      </c>
      <c r="B390" s="2" t="s">
        <v>957</v>
      </c>
      <c r="C390" s="2" t="s">
        <v>958</v>
      </c>
      <c r="D390" s="2" t="s">
        <v>8707</v>
      </c>
      <c r="E390" s="2" t="s">
        <v>2136</v>
      </c>
      <c r="F390" s="2"/>
      <c r="G390" s="2"/>
      <c r="H390" s="2"/>
      <c r="I390" s="3">
        <f t="shared" si="6"/>
        <v>298</v>
      </c>
    </row>
    <row r="391" spans="1:9" ht="36" x14ac:dyDescent="0.3">
      <c r="A391" s="2" t="s">
        <v>212</v>
      </c>
      <c r="B391" s="2" t="s">
        <v>7186</v>
      </c>
      <c r="C391" s="2"/>
      <c r="D391" s="2" t="s">
        <v>9119</v>
      </c>
      <c r="E391" s="2" t="s">
        <v>39</v>
      </c>
      <c r="F391" s="2" t="s">
        <v>4841</v>
      </c>
      <c r="G391" s="2" t="s">
        <v>1717</v>
      </c>
      <c r="H391" s="2"/>
      <c r="I391" s="3">
        <f t="shared" si="6"/>
        <v>298</v>
      </c>
    </row>
    <row r="392" spans="1:9" ht="48" x14ac:dyDescent="0.3">
      <c r="A392" s="2" t="s">
        <v>212</v>
      </c>
      <c r="B392" s="2" t="s">
        <v>6840</v>
      </c>
      <c r="C392" s="2" t="s">
        <v>535</v>
      </c>
      <c r="D392" s="2" t="s">
        <v>7195</v>
      </c>
      <c r="E392" s="2" t="s">
        <v>39</v>
      </c>
      <c r="F392" s="2"/>
      <c r="G392" s="2"/>
      <c r="H392" s="2" t="s">
        <v>537</v>
      </c>
      <c r="I392" s="3">
        <f t="shared" si="6"/>
        <v>301</v>
      </c>
    </row>
    <row r="393" spans="1:9" ht="36" x14ac:dyDescent="0.3">
      <c r="A393" s="2" t="s">
        <v>212</v>
      </c>
      <c r="B393" s="2" t="s">
        <v>3614</v>
      </c>
      <c r="C393" s="2"/>
      <c r="D393" s="2" t="s">
        <v>7202</v>
      </c>
      <c r="E393" s="2" t="s">
        <v>1188</v>
      </c>
      <c r="F393" s="2"/>
      <c r="G393" s="2"/>
      <c r="H393" s="2"/>
      <c r="I393" s="3">
        <f t="shared" si="6"/>
        <v>301</v>
      </c>
    </row>
    <row r="394" spans="1:9" ht="36" x14ac:dyDescent="0.3">
      <c r="A394" s="2" t="s">
        <v>212</v>
      </c>
      <c r="B394" s="2" t="s">
        <v>7216</v>
      </c>
      <c r="C394" s="2" t="s">
        <v>181</v>
      </c>
      <c r="D394" s="2" t="s">
        <v>9120</v>
      </c>
      <c r="E394" s="2" t="s">
        <v>39</v>
      </c>
      <c r="F394" s="2" t="s">
        <v>2281</v>
      </c>
      <c r="G394" s="2" t="s">
        <v>1717</v>
      </c>
      <c r="H394" s="2"/>
      <c r="I394" s="3">
        <f t="shared" si="6"/>
        <v>301</v>
      </c>
    </row>
    <row r="395" spans="1:9" ht="48" x14ac:dyDescent="0.3">
      <c r="A395" s="2" t="s">
        <v>212</v>
      </c>
      <c r="B395" s="2" t="s">
        <v>7229</v>
      </c>
      <c r="C395" s="2" t="s">
        <v>437</v>
      </c>
      <c r="D395" s="2" t="s">
        <v>9121</v>
      </c>
      <c r="E395" s="2" t="s">
        <v>39</v>
      </c>
      <c r="F395" s="2" t="s">
        <v>1778</v>
      </c>
      <c r="G395" s="2" t="s">
        <v>4507</v>
      </c>
      <c r="H395" s="2"/>
      <c r="I395" s="3">
        <f t="shared" si="6"/>
        <v>302</v>
      </c>
    </row>
    <row r="396" spans="1:9" ht="48" x14ac:dyDescent="0.3">
      <c r="A396" s="2" t="s">
        <v>212</v>
      </c>
      <c r="B396" s="2" t="s">
        <v>7066</v>
      </c>
      <c r="C396" s="2" t="s">
        <v>3656</v>
      </c>
      <c r="D396" s="2" t="s">
        <v>9122</v>
      </c>
      <c r="E396" s="2" t="s">
        <v>2568</v>
      </c>
      <c r="F396" s="2" t="s">
        <v>4117</v>
      </c>
      <c r="G396" s="2" t="s">
        <v>1717</v>
      </c>
      <c r="H396" s="2"/>
      <c r="I396" s="3">
        <f t="shared" si="6"/>
        <v>302</v>
      </c>
    </row>
    <row r="397" spans="1:9" ht="48" x14ac:dyDescent="0.3">
      <c r="A397" s="2" t="s">
        <v>212</v>
      </c>
      <c r="B397" s="2" t="s">
        <v>6372</v>
      </c>
      <c r="C397" s="2" t="s">
        <v>50</v>
      </c>
      <c r="D397" s="2" t="s">
        <v>9123</v>
      </c>
      <c r="E397" s="2" t="s">
        <v>2136</v>
      </c>
      <c r="F397" s="2" t="s">
        <v>1778</v>
      </c>
      <c r="G397" s="2" t="s">
        <v>350</v>
      </c>
      <c r="H397" s="2"/>
      <c r="I397" s="3">
        <f t="shared" si="6"/>
        <v>302</v>
      </c>
    </row>
    <row r="398" spans="1:9" ht="36" x14ac:dyDescent="0.3">
      <c r="A398" s="2" t="s">
        <v>212</v>
      </c>
      <c r="B398" s="2" t="s">
        <v>7217</v>
      </c>
      <c r="C398" s="2"/>
      <c r="D398" s="2" t="s">
        <v>7218</v>
      </c>
      <c r="E398" s="2" t="s">
        <v>39</v>
      </c>
      <c r="F398" s="2"/>
      <c r="G398" s="2"/>
      <c r="H398" s="2"/>
      <c r="I398" s="3">
        <f t="shared" si="6"/>
        <v>303</v>
      </c>
    </row>
    <row r="399" spans="1:9" ht="48" x14ac:dyDescent="0.3">
      <c r="A399" s="2" t="s">
        <v>212</v>
      </c>
      <c r="B399" s="2" t="s">
        <v>7238</v>
      </c>
      <c r="C399" s="2" t="s">
        <v>2730</v>
      </c>
      <c r="D399" s="2" t="s">
        <v>9124</v>
      </c>
      <c r="E399" s="2" t="s">
        <v>7239</v>
      </c>
      <c r="F399" s="2" t="s">
        <v>4117</v>
      </c>
      <c r="G399" s="2" t="s">
        <v>1717</v>
      </c>
      <c r="H399" s="2"/>
      <c r="I399" s="3">
        <f t="shared" si="6"/>
        <v>303</v>
      </c>
    </row>
    <row r="400" spans="1:9" ht="48" x14ac:dyDescent="0.3">
      <c r="A400" s="2" t="s">
        <v>212</v>
      </c>
      <c r="B400" s="2" t="s">
        <v>7242</v>
      </c>
      <c r="C400" s="2"/>
      <c r="D400" s="2" t="s">
        <v>9125</v>
      </c>
      <c r="E400" s="2" t="s">
        <v>3545</v>
      </c>
      <c r="F400" s="2" t="s">
        <v>4117</v>
      </c>
      <c r="G400" s="2" t="s">
        <v>1717</v>
      </c>
      <c r="H400" s="2"/>
      <c r="I400" s="3">
        <f t="shared" si="6"/>
        <v>304</v>
      </c>
    </row>
    <row r="401" spans="1:9" ht="36" x14ac:dyDescent="0.3">
      <c r="A401" s="2" t="s">
        <v>212</v>
      </c>
      <c r="B401" s="2" t="s">
        <v>7245</v>
      </c>
      <c r="C401" s="2" t="s">
        <v>1255</v>
      </c>
      <c r="D401" s="2" t="s">
        <v>9126</v>
      </c>
      <c r="E401" s="2" t="s">
        <v>39</v>
      </c>
      <c r="F401" s="2" t="s">
        <v>4117</v>
      </c>
      <c r="G401" s="2" t="s">
        <v>1717</v>
      </c>
      <c r="H401" s="2"/>
      <c r="I401" s="3">
        <f t="shared" si="6"/>
        <v>304</v>
      </c>
    </row>
    <row r="402" spans="1:9" ht="36" x14ac:dyDescent="0.3">
      <c r="A402" s="2" t="s">
        <v>212</v>
      </c>
      <c r="B402" s="2" t="s">
        <v>7255</v>
      </c>
      <c r="C402" s="3"/>
      <c r="D402" s="2" t="s">
        <v>9127</v>
      </c>
      <c r="E402" s="2" t="s">
        <v>1494</v>
      </c>
      <c r="F402" s="2" t="s">
        <v>1778</v>
      </c>
      <c r="G402" s="2" t="s">
        <v>1717</v>
      </c>
      <c r="H402" s="2"/>
      <c r="I402" s="3">
        <f t="shared" si="6"/>
        <v>305</v>
      </c>
    </row>
    <row r="403" spans="1:9" ht="36" x14ac:dyDescent="0.3">
      <c r="A403" s="2" t="s">
        <v>212</v>
      </c>
      <c r="B403" s="2" t="s">
        <v>213</v>
      </c>
      <c r="C403" s="2" t="s">
        <v>7243</v>
      </c>
      <c r="D403" s="2" t="s">
        <v>7244</v>
      </c>
      <c r="E403" s="2" t="s">
        <v>5123</v>
      </c>
      <c r="F403" s="2"/>
      <c r="G403" s="2"/>
      <c r="H403" s="2" t="s">
        <v>216</v>
      </c>
      <c r="I403" s="3">
        <f t="shared" si="6"/>
        <v>306</v>
      </c>
    </row>
    <row r="404" spans="1:9" ht="48" x14ac:dyDescent="0.3">
      <c r="A404" s="2" t="s">
        <v>212</v>
      </c>
      <c r="B404" s="2" t="s">
        <v>7248</v>
      </c>
      <c r="C404" s="2" t="s">
        <v>389</v>
      </c>
      <c r="D404" s="2" t="s">
        <v>7249</v>
      </c>
      <c r="E404" s="2" t="s">
        <v>39</v>
      </c>
      <c r="F404" s="2"/>
      <c r="G404" s="2"/>
      <c r="H404" s="2"/>
      <c r="I404" s="3">
        <f t="shared" si="6"/>
        <v>306</v>
      </c>
    </row>
    <row r="405" spans="1:9" ht="48" x14ac:dyDescent="0.3">
      <c r="A405" s="2" t="s">
        <v>212</v>
      </c>
      <c r="B405" s="2" t="s">
        <v>7264</v>
      </c>
      <c r="C405" s="2" t="s">
        <v>7265</v>
      </c>
      <c r="D405" s="2" t="s">
        <v>9128</v>
      </c>
      <c r="E405" s="2" t="s">
        <v>39</v>
      </c>
      <c r="F405" s="2" t="s">
        <v>4117</v>
      </c>
      <c r="G405" s="2" t="s">
        <v>350</v>
      </c>
      <c r="H405" s="2"/>
      <c r="I405" s="3">
        <f t="shared" si="6"/>
        <v>306</v>
      </c>
    </row>
    <row r="406" spans="1:9" ht="36" x14ac:dyDescent="0.3">
      <c r="A406" s="2" t="s">
        <v>212</v>
      </c>
      <c r="B406" s="2" t="s">
        <v>4588</v>
      </c>
      <c r="C406" s="2" t="s">
        <v>7267</v>
      </c>
      <c r="D406" s="2" t="s">
        <v>9129</v>
      </c>
      <c r="E406" s="2" t="s">
        <v>39</v>
      </c>
      <c r="F406" s="2" t="s">
        <v>1778</v>
      </c>
      <c r="G406" s="2" t="s">
        <v>1717</v>
      </c>
      <c r="H406" s="2"/>
      <c r="I406" s="3">
        <f t="shared" si="6"/>
        <v>307</v>
      </c>
    </row>
    <row r="407" spans="1:9" ht="48" x14ac:dyDescent="0.3">
      <c r="A407" s="2" t="s">
        <v>212</v>
      </c>
      <c r="B407" s="2" t="s">
        <v>7262</v>
      </c>
      <c r="C407" s="2" t="s">
        <v>500</v>
      </c>
      <c r="D407" s="2" t="s">
        <v>7263</v>
      </c>
      <c r="E407" s="2" t="s">
        <v>39</v>
      </c>
      <c r="F407" s="2"/>
      <c r="G407" s="2"/>
      <c r="H407" s="2"/>
      <c r="I407" s="3">
        <f t="shared" si="6"/>
        <v>308</v>
      </c>
    </row>
    <row r="408" spans="1:9" ht="48" x14ac:dyDescent="0.3">
      <c r="A408" s="2" t="s">
        <v>212</v>
      </c>
      <c r="B408" s="2" t="s">
        <v>7278</v>
      </c>
      <c r="C408" s="2" t="s">
        <v>3656</v>
      </c>
      <c r="D408" s="2" t="s">
        <v>9130</v>
      </c>
      <c r="E408" s="2" t="s">
        <v>2568</v>
      </c>
      <c r="F408" s="2" t="s">
        <v>350</v>
      </c>
      <c r="G408" s="2" t="s">
        <v>350</v>
      </c>
      <c r="H408" s="2"/>
      <c r="I408" s="3">
        <f t="shared" si="6"/>
        <v>308</v>
      </c>
    </row>
    <row r="409" spans="1:9" ht="36" x14ac:dyDescent="0.3">
      <c r="A409" s="2" t="s">
        <v>212</v>
      </c>
      <c r="B409" s="2" t="s">
        <v>7268</v>
      </c>
      <c r="C409" s="2"/>
      <c r="D409" s="2" t="s">
        <v>7269</v>
      </c>
      <c r="E409" s="2" t="s">
        <v>39</v>
      </c>
      <c r="F409" s="2"/>
      <c r="G409" s="2"/>
      <c r="H409" s="2"/>
      <c r="I409" s="3">
        <f t="shared" si="6"/>
        <v>309</v>
      </c>
    </row>
    <row r="410" spans="1:9" ht="36" x14ac:dyDescent="0.3">
      <c r="A410" s="2" t="s">
        <v>212</v>
      </c>
      <c r="B410" s="2" t="s">
        <v>7272</v>
      </c>
      <c r="C410" s="2" t="s">
        <v>500</v>
      </c>
      <c r="D410" s="2" t="s">
        <v>7273</v>
      </c>
      <c r="E410" s="2" t="s">
        <v>39</v>
      </c>
      <c r="F410" s="2"/>
      <c r="G410" s="2"/>
      <c r="H410" s="2" t="s">
        <v>402</v>
      </c>
      <c r="I410" s="3">
        <f t="shared" si="6"/>
        <v>309</v>
      </c>
    </row>
    <row r="411" spans="1:9" ht="36" x14ac:dyDescent="0.3">
      <c r="A411" s="2" t="s">
        <v>212</v>
      </c>
      <c r="B411" s="2" t="s">
        <v>7285</v>
      </c>
      <c r="C411" s="2" t="s">
        <v>7286</v>
      </c>
      <c r="D411" s="2" t="s">
        <v>9131</v>
      </c>
      <c r="E411" s="2" t="s">
        <v>39</v>
      </c>
      <c r="F411" s="2" t="s">
        <v>1778</v>
      </c>
      <c r="G411" s="2" t="s">
        <v>1717</v>
      </c>
      <c r="H411" s="2"/>
      <c r="I411" s="3">
        <f t="shared" si="6"/>
        <v>309</v>
      </c>
    </row>
    <row r="412" spans="1:9" ht="48" x14ac:dyDescent="0.3">
      <c r="A412" s="2" t="s">
        <v>212</v>
      </c>
      <c r="B412" s="2" t="s">
        <v>1248</v>
      </c>
      <c r="C412" s="2" t="s">
        <v>6605</v>
      </c>
      <c r="D412" s="2" t="s">
        <v>9132</v>
      </c>
      <c r="E412" s="2" t="s">
        <v>5938</v>
      </c>
      <c r="F412" s="2" t="s">
        <v>1778</v>
      </c>
      <c r="G412" s="2" t="s">
        <v>1717</v>
      </c>
      <c r="H412" s="2"/>
      <c r="I412" s="3">
        <f t="shared" si="6"/>
        <v>309</v>
      </c>
    </row>
    <row r="413" spans="1:9" ht="48" x14ac:dyDescent="0.3">
      <c r="A413" s="2" t="s">
        <v>212</v>
      </c>
      <c r="B413" s="2" t="s">
        <v>7300</v>
      </c>
      <c r="C413" s="2" t="s">
        <v>160</v>
      </c>
      <c r="D413" s="2" t="s">
        <v>9133</v>
      </c>
      <c r="E413" s="2" t="s">
        <v>2136</v>
      </c>
      <c r="F413" s="2" t="s">
        <v>350</v>
      </c>
      <c r="G413" s="2" t="s">
        <v>1717</v>
      </c>
      <c r="H413" s="2"/>
      <c r="I413" s="3">
        <f t="shared" si="6"/>
        <v>310</v>
      </c>
    </row>
    <row r="414" spans="1:9" ht="36" x14ac:dyDescent="0.3">
      <c r="A414" s="2" t="s">
        <v>212</v>
      </c>
      <c r="B414" s="2" t="s">
        <v>7287</v>
      </c>
      <c r="C414" s="2"/>
      <c r="D414" s="2" t="s">
        <v>7288</v>
      </c>
      <c r="E414" s="2" t="s">
        <v>39</v>
      </c>
      <c r="F414" s="2"/>
      <c r="G414" s="2"/>
      <c r="H414" s="2" t="s">
        <v>194</v>
      </c>
      <c r="I414" s="3">
        <f t="shared" si="6"/>
        <v>311</v>
      </c>
    </row>
    <row r="415" spans="1:9" ht="36" x14ac:dyDescent="0.3">
      <c r="A415" s="2" t="s">
        <v>212</v>
      </c>
      <c r="B415" s="2" t="s">
        <v>7298</v>
      </c>
      <c r="C415" s="2" t="s">
        <v>590</v>
      </c>
      <c r="D415" s="2" t="s">
        <v>7299</v>
      </c>
      <c r="E415" s="2" t="s">
        <v>39</v>
      </c>
      <c r="F415" s="2"/>
      <c r="G415" s="2"/>
      <c r="H415" s="2"/>
      <c r="I415" s="3">
        <f t="shared" si="6"/>
        <v>312</v>
      </c>
    </row>
    <row r="416" spans="1:9" ht="48" x14ac:dyDescent="0.3">
      <c r="A416" s="2" t="s">
        <v>212</v>
      </c>
      <c r="B416" s="2" t="s">
        <v>7306</v>
      </c>
      <c r="C416" s="2" t="s">
        <v>422</v>
      </c>
      <c r="D416" s="2" t="s">
        <v>7307</v>
      </c>
      <c r="E416" s="2" t="s">
        <v>39</v>
      </c>
      <c r="F416" s="2"/>
      <c r="G416" s="2"/>
      <c r="H416" s="2"/>
      <c r="I416" s="3">
        <f t="shared" si="6"/>
        <v>313</v>
      </c>
    </row>
    <row r="417" spans="1:9" ht="48" x14ac:dyDescent="0.3">
      <c r="A417" s="2" t="s">
        <v>212</v>
      </c>
      <c r="B417" s="2" t="s">
        <v>3689</v>
      </c>
      <c r="C417" s="2" t="s">
        <v>1647</v>
      </c>
      <c r="D417" s="2" t="s">
        <v>7308</v>
      </c>
      <c r="E417" s="2" t="s">
        <v>39</v>
      </c>
      <c r="F417" s="2"/>
      <c r="G417" s="2"/>
      <c r="H417" s="2" t="s">
        <v>1644</v>
      </c>
      <c r="I417" s="3">
        <f t="shared" si="6"/>
        <v>313</v>
      </c>
    </row>
    <row r="418" spans="1:9" ht="48" x14ac:dyDescent="0.3">
      <c r="A418" s="2" t="s">
        <v>212</v>
      </c>
      <c r="B418" s="2" t="s">
        <v>7322</v>
      </c>
      <c r="C418" s="2"/>
      <c r="D418" s="2" t="s">
        <v>9134</v>
      </c>
      <c r="E418" s="2" t="s">
        <v>918</v>
      </c>
      <c r="F418" s="2" t="s">
        <v>4117</v>
      </c>
      <c r="G418" s="2" t="s">
        <v>350</v>
      </c>
      <c r="H418" s="2"/>
      <c r="I418" s="3">
        <f t="shared" si="6"/>
        <v>313</v>
      </c>
    </row>
    <row r="419" spans="1:9" ht="48" x14ac:dyDescent="0.3">
      <c r="A419" s="2" t="s">
        <v>212</v>
      </c>
      <c r="B419" s="2" t="s">
        <v>7334</v>
      </c>
      <c r="C419" s="2" t="s">
        <v>181</v>
      </c>
      <c r="D419" s="2" t="s">
        <v>9135</v>
      </c>
      <c r="E419" s="2" t="s">
        <v>39</v>
      </c>
      <c r="F419" s="2" t="s">
        <v>2281</v>
      </c>
      <c r="G419" s="2" t="s">
        <v>1717</v>
      </c>
      <c r="H419" s="2"/>
      <c r="I419" s="3">
        <f t="shared" si="6"/>
        <v>314</v>
      </c>
    </row>
    <row r="420" spans="1:9" ht="48" x14ac:dyDescent="0.3">
      <c r="A420" s="2" t="s">
        <v>212</v>
      </c>
      <c r="B420" s="2" t="s">
        <v>7342</v>
      </c>
      <c r="C420" s="2" t="s">
        <v>422</v>
      </c>
      <c r="D420" s="2" t="s">
        <v>9136</v>
      </c>
      <c r="E420" s="2" t="s">
        <v>3251</v>
      </c>
      <c r="F420" s="2" t="s">
        <v>4117</v>
      </c>
      <c r="G420" s="2" t="s">
        <v>1717</v>
      </c>
      <c r="H420" s="2"/>
      <c r="I420" s="3">
        <f t="shared" si="6"/>
        <v>315</v>
      </c>
    </row>
    <row r="421" spans="1:9" ht="48" x14ac:dyDescent="0.3">
      <c r="A421" s="2" t="s">
        <v>212</v>
      </c>
      <c r="B421" s="2" t="s">
        <v>4668</v>
      </c>
      <c r="C421" s="2" t="s">
        <v>1647</v>
      </c>
      <c r="D421" s="2" t="s">
        <v>7335</v>
      </c>
      <c r="E421" s="2" t="s">
        <v>39</v>
      </c>
      <c r="F421" s="2"/>
      <c r="G421" s="2"/>
      <c r="H421" s="2" t="s">
        <v>1644</v>
      </c>
      <c r="I421" s="3">
        <f t="shared" si="6"/>
        <v>316</v>
      </c>
    </row>
    <row r="422" spans="1:9" ht="48" x14ac:dyDescent="0.3">
      <c r="A422" s="2" t="s">
        <v>212</v>
      </c>
      <c r="B422" s="2" t="s">
        <v>7343</v>
      </c>
      <c r="C422" s="2" t="s">
        <v>7344</v>
      </c>
      <c r="D422" s="2" t="s">
        <v>7345</v>
      </c>
      <c r="E422" s="2" t="s">
        <v>39</v>
      </c>
      <c r="F422" s="2"/>
      <c r="G422" s="2"/>
      <c r="H422" s="2"/>
      <c r="I422" s="3">
        <f t="shared" si="6"/>
        <v>317</v>
      </c>
    </row>
    <row r="423" spans="1:9" ht="48" x14ac:dyDescent="0.3">
      <c r="A423" s="2" t="s">
        <v>212</v>
      </c>
      <c r="B423" s="2" t="s">
        <v>7355</v>
      </c>
      <c r="C423" s="2" t="s">
        <v>3656</v>
      </c>
      <c r="D423" s="2" t="s">
        <v>9137</v>
      </c>
      <c r="E423" s="2" t="s">
        <v>6316</v>
      </c>
      <c r="F423" s="2" t="s">
        <v>4117</v>
      </c>
      <c r="G423" s="2" t="s">
        <v>1717</v>
      </c>
      <c r="H423" s="2" t="s">
        <v>646</v>
      </c>
      <c r="I423" s="3">
        <f t="shared" si="6"/>
        <v>317</v>
      </c>
    </row>
    <row r="424" spans="1:9" ht="48" x14ac:dyDescent="0.3">
      <c r="A424" s="2" t="s">
        <v>212</v>
      </c>
      <c r="B424" s="2" t="s">
        <v>6840</v>
      </c>
      <c r="C424" s="2" t="s">
        <v>535</v>
      </c>
      <c r="D424" s="2" t="s">
        <v>7356</v>
      </c>
      <c r="E424" s="2" t="s">
        <v>39</v>
      </c>
      <c r="F424" s="2"/>
      <c r="G424" s="2"/>
      <c r="H424" s="2" t="s">
        <v>537</v>
      </c>
      <c r="I424" s="3">
        <f t="shared" si="6"/>
        <v>319</v>
      </c>
    </row>
    <row r="425" spans="1:9" ht="48" x14ac:dyDescent="0.3">
      <c r="A425" s="2" t="s">
        <v>212</v>
      </c>
      <c r="B425" s="2" t="s">
        <v>7373</v>
      </c>
      <c r="C425" s="2" t="s">
        <v>7374</v>
      </c>
      <c r="D425" s="2" t="s">
        <v>9138</v>
      </c>
      <c r="E425" s="2" t="s">
        <v>39</v>
      </c>
      <c r="F425" s="2" t="s">
        <v>4117</v>
      </c>
      <c r="G425" s="2" t="s">
        <v>1717</v>
      </c>
      <c r="H425" s="2"/>
      <c r="I425" s="3">
        <f t="shared" si="6"/>
        <v>319</v>
      </c>
    </row>
    <row r="426" spans="1:9" ht="48" x14ac:dyDescent="0.3">
      <c r="A426" s="2" t="s">
        <v>212</v>
      </c>
      <c r="B426" s="2" t="s">
        <v>7378</v>
      </c>
      <c r="C426" s="2" t="s">
        <v>2730</v>
      </c>
      <c r="D426" s="2" t="s">
        <v>9139</v>
      </c>
      <c r="E426" s="2" t="s">
        <v>39</v>
      </c>
      <c r="F426" s="2" t="s">
        <v>350</v>
      </c>
      <c r="G426" s="2" t="s">
        <v>350</v>
      </c>
      <c r="H426" s="2"/>
      <c r="I426" s="3">
        <f t="shared" si="6"/>
        <v>319</v>
      </c>
    </row>
    <row r="427" spans="1:9" ht="48" x14ac:dyDescent="0.3">
      <c r="A427" s="2" t="s">
        <v>212</v>
      </c>
      <c r="B427" s="2" t="s">
        <v>7380</v>
      </c>
      <c r="C427" s="2" t="s">
        <v>7381</v>
      </c>
      <c r="D427" s="2" t="s">
        <v>9140</v>
      </c>
      <c r="E427" s="2" t="s">
        <v>39</v>
      </c>
      <c r="F427" s="2" t="s">
        <v>350</v>
      </c>
      <c r="G427" s="2" t="s">
        <v>1717</v>
      </c>
      <c r="H427" s="2"/>
      <c r="I427" s="3">
        <f t="shared" si="6"/>
        <v>319</v>
      </c>
    </row>
    <row r="428" spans="1:9" ht="48" x14ac:dyDescent="0.3">
      <c r="A428" s="2" t="s">
        <v>212</v>
      </c>
      <c r="B428" s="2" t="s">
        <v>7387</v>
      </c>
      <c r="C428" s="2" t="s">
        <v>95</v>
      </c>
      <c r="D428" s="2" t="s">
        <v>7388</v>
      </c>
      <c r="E428" s="2" t="s">
        <v>3226</v>
      </c>
      <c r="F428" s="2"/>
      <c r="G428" s="2"/>
      <c r="H428" s="2"/>
      <c r="I428" s="3">
        <f t="shared" si="6"/>
        <v>322</v>
      </c>
    </row>
    <row r="429" spans="1:9" ht="48" x14ac:dyDescent="0.3">
      <c r="A429" s="2" t="s">
        <v>212</v>
      </c>
      <c r="B429" s="2" t="s">
        <v>7413</v>
      </c>
      <c r="C429" s="2" t="s">
        <v>7414</v>
      </c>
      <c r="D429" s="2" t="s">
        <v>9141</v>
      </c>
      <c r="E429" s="2" t="s">
        <v>2136</v>
      </c>
      <c r="F429" s="2" t="s">
        <v>350</v>
      </c>
      <c r="G429" s="2" t="s">
        <v>1717</v>
      </c>
      <c r="H429" s="2"/>
      <c r="I429" s="3">
        <f t="shared" si="6"/>
        <v>324</v>
      </c>
    </row>
    <row r="430" spans="1:9" ht="48" x14ac:dyDescent="0.3">
      <c r="A430" s="2" t="s">
        <v>212</v>
      </c>
      <c r="B430" s="2" t="s">
        <v>7430</v>
      </c>
      <c r="C430" s="2" t="s">
        <v>7431</v>
      </c>
      <c r="D430" s="2" t="s">
        <v>7432</v>
      </c>
      <c r="E430" s="2" t="s">
        <v>39</v>
      </c>
      <c r="F430" s="2"/>
      <c r="G430" s="2"/>
      <c r="H430" s="2" t="s">
        <v>537</v>
      </c>
      <c r="I430" s="3">
        <f t="shared" si="6"/>
        <v>328</v>
      </c>
    </row>
    <row r="431" spans="1:9" ht="48" x14ac:dyDescent="0.3">
      <c r="A431" s="2" t="s">
        <v>212</v>
      </c>
      <c r="B431" s="2" t="s">
        <v>7433</v>
      </c>
      <c r="C431" s="2" t="s">
        <v>535</v>
      </c>
      <c r="D431" s="2" t="s">
        <v>7434</v>
      </c>
      <c r="E431" s="2" t="s">
        <v>39</v>
      </c>
      <c r="F431" s="2"/>
      <c r="G431" s="2"/>
      <c r="H431" s="2" t="s">
        <v>537</v>
      </c>
      <c r="I431" s="3">
        <f t="shared" si="6"/>
        <v>328</v>
      </c>
    </row>
    <row r="432" spans="1:9" ht="48" x14ac:dyDescent="0.3">
      <c r="A432" s="2" t="s">
        <v>212</v>
      </c>
      <c r="B432" s="2" t="s">
        <v>7447</v>
      </c>
      <c r="C432" s="2" t="s">
        <v>535</v>
      </c>
      <c r="D432" s="2" t="s">
        <v>7448</v>
      </c>
      <c r="E432" s="2" t="s">
        <v>39</v>
      </c>
      <c r="F432" s="2"/>
      <c r="G432" s="2"/>
      <c r="H432" s="2" t="s">
        <v>537</v>
      </c>
      <c r="I432" s="3">
        <f t="shared" si="6"/>
        <v>332</v>
      </c>
    </row>
    <row r="433" spans="1:9" ht="48" x14ac:dyDescent="0.3">
      <c r="A433" s="2" t="s">
        <v>212</v>
      </c>
      <c r="B433" s="2" t="s">
        <v>7455</v>
      </c>
      <c r="C433" s="2" t="s">
        <v>1326</v>
      </c>
      <c r="D433" s="2" t="s">
        <v>7456</v>
      </c>
      <c r="E433" s="2" t="s">
        <v>39</v>
      </c>
      <c r="F433" s="2"/>
      <c r="G433" s="2"/>
      <c r="H433" s="2"/>
      <c r="I433" s="3">
        <f t="shared" si="6"/>
        <v>333</v>
      </c>
    </row>
    <row r="434" spans="1:9" ht="48" x14ac:dyDescent="0.3">
      <c r="A434" s="2" t="s">
        <v>212</v>
      </c>
      <c r="B434" s="2" t="s">
        <v>7457</v>
      </c>
      <c r="C434" s="2" t="s">
        <v>1255</v>
      </c>
      <c r="D434" s="2" t="s">
        <v>7458</v>
      </c>
      <c r="E434" s="2" t="s">
        <v>39</v>
      </c>
      <c r="F434" s="2"/>
      <c r="G434" s="2"/>
      <c r="H434" s="2"/>
      <c r="I434" s="3">
        <f t="shared" si="6"/>
        <v>333</v>
      </c>
    </row>
    <row r="435" spans="1:9" ht="48" x14ac:dyDescent="0.3">
      <c r="A435" s="2" t="s">
        <v>212</v>
      </c>
      <c r="B435" s="2" t="s">
        <v>7480</v>
      </c>
      <c r="C435" s="2" t="s">
        <v>4840</v>
      </c>
      <c r="D435" s="2" t="s">
        <v>9142</v>
      </c>
      <c r="E435" s="2" t="s">
        <v>39</v>
      </c>
      <c r="F435" s="2" t="s">
        <v>1778</v>
      </c>
      <c r="G435" s="2" t="s">
        <v>1717</v>
      </c>
      <c r="H435" s="2" t="s">
        <v>646</v>
      </c>
      <c r="I435" s="3">
        <f t="shared" si="6"/>
        <v>335</v>
      </c>
    </row>
    <row r="436" spans="1:9" ht="48" x14ac:dyDescent="0.3">
      <c r="A436" s="2" t="s">
        <v>212</v>
      </c>
      <c r="B436" s="2" t="s">
        <v>7477</v>
      </c>
      <c r="C436" s="2" t="s">
        <v>446</v>
      </c>
      <c r="D436" s="2" t="s">
        <v>7478</v>
      </c>
      <c r="E436" s="2" t="s">
        <v>39</v>
      </c>
      <c r="F436" s="2"/>
      <c r="G436" s="2"/>
      <c r="H436" s="2"/>
      <c r="I436" s="3">
        <f t="shared" si="6"/>
        <v>336</v>
      </c>
    </row>
    <row r="437" spans="1:9" ht="48" x14ac:dyDescent="0.3">
      <c r="A437" s="2" t="s">
        <v>212</v>
      </c>
      <c r="B437" s="2" t="s">
        <v>7493</v>
      </c>
      <c r="C437" s="2" t="s">
        <v>84</v>
      </c>
      <c r="D437" s="2" t="s">
        <v>9143</v>
      </c>
      <c r="E437" s="2" t="s">
        <v>39</v>
      </c>
      <c r="F437" s="2" t="s">
        <v>1778</v>
      </c>
      <c r="G437" s="2" t="s">
        <v>1717</v>
      </c>
      <c r="H437" s="2" t="s">
        <v>86</v>
      </c>
      <c r="I437" s="3">
        <f t="shared" si="6"/>
        <v>337</v>
      </c>
    </row>
    <row r="438" spans="1:9" ht="48" x14ac:dyDescent="0.3">
      <c r="A438" s="2" t="s">
        <v>212</v>
      </c>
      <c r="B438" s="2" t="s">
        <v>7494</v>
      </c>
      <c r="C438" s="2" t="s">
        <v>7495</v>
      </c>
      <c r="D438" s="2" t="s">
        <v>9144</v>
      </c>
      <c r="E438" s="2" t="s">
        <v>39</v>
      </c>
      <c r="F438" s="2" t="s">
        <v>1778</v>
      </c>
      <c r="G438" s="2" t="s">
        <v>1717</v>
      </c>
      <c r="H438" s="2"/>
      <c r="I438" s="3">
        <f t="shared" si="6"/>
        <v>337</v>
      </c>
    </row>
    <row r="439" spans="1:9" ht="48" x14ac:dyDescent="0.3">
      <c r="A439" s="2" t="s">
        <v>212</v>
      </c>
      <c r="B439" s="2" t="s">
        <v>7496</v>
      </c>
      <c r="C439" s="2" t="s">
        <v>1255</v>
      </c>
      <c r="D439" s="2" t="s">
        <v>7497</v>
      </c>
      <c r="E439" s="2" t="s">
        <v>39</v>
      </c>
      <c r="F439" s="2"/>
      <c r="G439" s="2"/>
      <c r="H439" s="2"/>
      <c r="I439" s="3">
        <f t="shared" si="6"/>
        <v>340</v>
      </c>
    </row>
    <row r="440" spans="1:9" ht="48" x14ac:dyDescent="0.3">
      <c r="A440" s="2" t="s">
        <v>212</v>
      </c>
      <c r="B440" s="2" t="s">
        <v>7522</v>
      </c>
      <c r="C440" s="2" t="s">
        <v>57</v>
      </c>
      <c r="D440" s="2" t="s">
        <v>9145</v>
      </c>
      <c r="E440" s="2" t="s">
        <v>1140</v>
      </c>
      <c r="F440" s="2" t="s">
        <v>1778</v>
      </c>
      <c r="G440" s="2" t="s">
        <v>1717</v>
      </c>
      <c r="H440" s="2"/>
      <c r="I440" s="3">
        <f t="shared" si="6"/>
        <v>343</v>
      </c>
    </row>
    <row r="441" spans="1:9" ht="48" x14ac:dyDescent="0.3">
      <c r="A441" s="2" t="s">
        <v>212</v>
      </c>
      <c r="B441" s="2" t="s">
        <v>7516</v>
      </c>
      <c r="C441" s="2" t="s">
        <v>7517</v>
      </c>
      <c r="D441" s="2" t="s">
        <v>7518</v>
      </c>
      <c r="E441" s="2" t="s">
        <v>39</v>
      </c>
      <c r="F441" s="2"/>
      <c r="G441" s="2"/>
      <c r="H441" s="2"/>
      <c r="I441" s="3">
        <f t="shared" si="6"/>
        <v>344</v>
      </c>
    </row>
    <row r="442" spans="1:9" ht="48" x14ac:dyDescent="0.3">
      <c r="A442" s="2" t="s">
        <v>212</v>
      </c>
      <c r="B442" s="2" t="s">
        <v>7536</v>
      </c>
      <c r="C442" s="2" t="s">
        <v>6284</v>
      </c>
      <c r="D442" s="2" t="s">
        <v>9146</v>
      </c>
      <c r="E442" s="2" t="s">
        <v>1188</v>
      </c>
      <c r="F442" s="2" t="s">
        <v>4117</v>
      </c>
      <c r="G442" s="2" t="s">
        <v>350</v>
      </c>
      <c r="H442" s="2"/>
      <c r="I442" s="3">
        <f t="shared" si="6"/>
        <v>345</v>
      </c>
    </row>
    <row r="443" spans="1:9" ht="48" x14ac:dyDescent="0.3">
      <c r="A443" s="2" t="s">
        <v>212</v>
      </c>
      <c r="B443" s="2" t="s">
        <v>7530</v>
      </c>
      <c r="C443" s="2" t="s">
        <v>7531</v>
      </c>
      <c r="D443" s="2" t="s">
        <v>7532</v>
      </c>
      <c r="E443" s="2" t="s">
        <v>2373</v>
      </c>
      <c r="F443" s="2"/>
      <c r="G443" s="2"/>
      <c r="H443" s="2" t="s">
        <v>194</v>
      </c>
      <c r="I443" s="3">
        <f t="shared" si="6"/>
        <v>346</v>
      </c>
    </row>
    <row r="444" spans="1:9" ht="48" x14ac:dyDescent="0.3">
      <c r="A444" s="2" t="s">
        <v>212</v>
      </c>
      <c r="B444" s="2" t="s">
        <v>7542</v>
      </c>
      <c r="C444" s="2"/>
      <c r="D444" s="2" t="s">
        <v>7543</v>
      </c>
      <c r="E444" s="2" t="s">
        <v>39</v>
      </c>
      <c r="F444" s="2"/>
      <c r="G444" s="2"/>
      <c r="H444" s="2"/>
      <c r="I444" s="3">
        <f t="shared" si="6"/>
        <v>348</v>
      </c>
    </row>
    <row r="445" spans="1:9" ht="48" x14ac:dyDescent="0.3">
      <c r="A445" s="2" t="s">
        <v>212</v>
      </c>
      <c r="B445" s="2" t="s">
        <v>7548</v>
      </c>
      <c r="C445" s="2" t="s">
        <v>7549</v>
      </c>
      <c r="D445" s="2" t="s">
        <v>7550</v>
      </c>
      <c r="E445" s="2" t="s">
        <v>39</v>
      </c>
      <c r="F445" s="2"/>
      <c r="G445" s="2"/>
      <c r="H445" s="2"/>
      <c r="I445" s="3">
        <f t="shared" si="6"/>
        <v>349</v>
      </c>
    </row>
    <row r="446" spans="1:9" ht="48" x14ac:dyDescent="0.3">
      <c r="A446" s="2" t="s">
        <v>212</v>
      </c>
      <c r="B446" s="2" t="s">
        <v>7553</v>
      </c>
      <c r="C446" s="2" t="s">
        <v>3656</v>
      </c>
      <c r="D446" s="2" t="s">
        <v>9147</v>
      </c>
      <c r="E446" s="2" t="s">
        <v>7001</v>
      </c>
      <c r="F446" s="2" t="s">
        <v>350</v>
      </c>
      <c r="G446" s="2" t="s">
        <v>350</v>
      </c>
      <c r="H446" s="2"/>
      <c r="I446" s="3">
        <f t="shared" si="6"/>
        <v>349</v>
      </c>
    </row>
    <row r="447" spans="1:9" ht="48" x14ac:dyDescent="0.3">
      <c r="A447" s="2" t="s">
        <v>212</v>
      </c>
      <c r="B447" s="2" t="s">
        <v>7380</v>
      </c>
      <c r="C447" s="2" t="s">
        <v>7565</v>
      </c>
      <c r="D447" s="2" t="s">
        <v>9148</v>
      </c>
      <c r="E447" s="2" t="s">
        <v>39</v>
      </c>
      <c r="F447" s="2" t="s">
        <v>350</v>
      </c>
      <c r="G447" s="2" t="s">
        <v>1717</v>
      </c>
      <c r="H447" s="2"/>
      <c r="I447" s="3">
        <f t="shared" si="6"/>
        <v>350</v>
      </c>
    </row>
    <row r="448" spans="1:9" ht="48" x14ac:dyDescent="0.3">
      <c r="A448" s="2" t="s">
        <v>212</v>
      </c>
      <c r="B448" s="2" t="s">
        <v>7567</v>
      </c>
      <c r="C448" s="2" t="s">
        <v>7568</v>
      </c>
      <c r="D448" s="2" t="s">
        <v>9149</v>
      </c>
      <c r="E448" s="2" t="s">
        <v>3251</v>
      </c>
      <c r="F448" s="2" t="s">
        <v>1778</v>
      </c>
      <c r="G448" s="2" t="s">
        <v>1717</v>
      </c>
      <c r="H448" s="2" t="s">
        <v>194</v>
      </c>
      <c r="I448" s="3">
        <f t="shared" si="6"/>
        <v>351</v>
      </c>
    </row>
    <row r="449" spans="1:9" ht="48" x14ac:dyDescent="0.3">
      <c r="A449" s="2" t="s">
        <v>212</v>
      </c>
      <c r="B449" s="2" t="s">
        <v>7580</v>
      </c>
      <c r="C449" s="2" t="s">
        <v>7581</v>
      </c>
      <c r="D449" s="2" t="s">
        <v>9150</v>
      </c>
      <c r="E449" s="2" t="s">
        <v>2121</v>
      </c>
      <c r="F449" s="2" t="s">
        <v>4117</v>
      </c>
      <c r="G449" s="2" t="s">
        <v>350</v>
      </c>
      <c r="H449" s="2"/>
      <c r="I449" s="3">
        <f t="shared" si="6"/>
        <v>352</v>
      </c>
    </row>
    <row r="450" spans="1:9" ht="48" x14ac:dyDescent="0.3">
      <c r="A450" s="2" t="s">
        <v>212</v>
      </c>
      <c r="B450" s="2" t="s">
        <v>7586</v>
      </c>
      <c r="C450" s="2" t="s">
        <v>92</v>
      </c>
      <c r="D450" s="2" t="s">
        <v>9151</v>
      </c>
      <c r="E450" s="2" t="s">
        <v>2218</v>
      </c>
      <c r="F450" s="2" t="s">
        <v>3082</v>
      </c>
      <c r="G450" s="2" t="s">
        <v>1717</v>
      </c>
      <c r="H450" s="2"/>
      <c r="I450" s="3">
        <f t="shared" ref="I450:I513" si="7">LEN(D450)</f>
        <v>353</v>
      </c>
    </row>
    <row r="451" spans="1:9" ht="48" x14ac:dyDescent="0.3">
      <c r="A451" s="2" t="s">
        <v>212</v>
      </c>
      <c r="B451" s="2" t="s">
        <v>7578</v>
      </c>
      <c r="C451" s="2" t="s">
        <v>500</v>
      </c>
      <c r="D451" s="2" t="s">
        <v>7579</v>
      </c>
      <c r="E451" s="2" t="s">
        <v>39</v>
      </c>
      <c r="F451" s="2"/>
      <c r="G451" s="2"/>
      <c r="H451" s="2"/>
      <c r="I451" s="3">
        <f t="shared" si="7"/>
        <v>354</v>
      </c>
    </row>
    <row r="452" spans="1:9" ht="48" x14ac:dyDescent="0.3">
      <c r="A452" s="2" t="s">
        <v>212</v>
      </c>
      <c r="B452" s="2" t="s">
        <v>7589</v>
      </c>
      <c r="C452" s="2" t="s">
        <v>408</v>
      </c>
      <c r="D452" s="2" t="s">
        <v>9152</v>
      </c>
      <c r="E452" s="2" t="s">
        <v>1188</v>
      </c>
      <c r="F452" s="2" t="s">
        <v>4117</v>
      </c>
      <c r="G452" s="2" t="s">
        <v>350</v>
      </c>
      <c r="H452" s="2"/>
      <c r="I452" s="3">
        <f t="shared" si="7"/>
        <v>354</v>
      </c>
    </row>
    <row r="453" spans="1:9" ht="48" x14ac:dyDescent="0.3">
      <c r="A453" s="2" t="s">
        <v>212</v>
      </c>
      <c r="B453" s="2" t="s">
        <v>7587</v>
      </c>
      <c r="C453" s="2"/>
      <c r="D453" s="2" t="s">
        <v>7588</v>
      </c>
      <c r="E453" s="2" t="s">
        <v>39</v>
      </c>
      <c r="F453" s="2"/>
      <c r="G453" s="2"/>
      <c r="H453" s="2"/>
      <c r="I453" s="3">
        <f t="shared" si="7"/>
        <v>356</v>
      </c>
    </row>
    <row r="454" spans="1:9" ht="48" x14ac:dyDescent="0.3">
      <c r="A454" s="2" t="s">
        <v>212</v>
      </c>
      <c r="B454" s="2" t="s">
        <v>7604</v>
      </c>
      <c r="C454" s="2" t="s">
        <v>50</v>
      </c>
      <c r="D454" s="2" t="s">
        <v>9153</v>
      </c>
      <c r="E454" s="2" t="s">
        <v>7605</v>
      </c>
      <c r="F454" s="2" t="s">
        <v>4117</v>
      </c>
      <c r="G454" s="2" t="s">
        <v>1717</v>
      </c>
      <c r="H454" s="2" t="s">
        <v>194</v>
      </c>
      <c r="I454" s="3">
        <f t="shared" si="7"/>
        <v>356</v>
      </c>
    </row>
    <row r="455" spans="1:9" ht="48" x14ac:dyDescent="0.3">
      <c r="A455" s="2" t="s">
        <v>212</v>
      </c>
      <c r="B455" s="2" t="s">
        <v>7606</v>
      </c>
      <c r="C455" s="2" t="s">
        <v>7607</v>
      </c>
      <c r="D455" s="2" t="s">
        <v>9154</v>
      </c>
      <c r="E455" s="2" t="s">
        <v>616</v>
      </c>
      <c r="F455" s="2" t="s">
        <v>4841</v>
      </c>
      <c r="G455" s="2" t="s">
        <v>1717</v>
      </c>
      <c r="H455" s="2" t="s">
        <v>1176</v>
      </c>
      <c r="I455" s="3">
        <f t="shared" si="7"/>
        <v>356</v>
      </c>
    </row>
    <row r="456" spans="1:9" ht="48" x14ac:dyDescent="0.3">
      <c r="A456" s="2" t="s">
        <v>212</v>
      </c>
      <c r="B456" s="2" t="s">
        <v>7608</v>
      </c>
      <c r="C456" s="2" t="s">
        <v>1255</v>
      </c>
      <c r="D456" s="2" t="s">
        <v>7609</v>
      </c>
      <c r="E456" s="2" t="s">
        <v>39</v>
      </c>
      <c r="F456" s="2"/>
      <c r="G456" s="2" t="s">
        <v>1717</v>
      </c>
      <c r="H456" s="2"/>
      <c r="I456" s="3">
        <f t="shared" si="7"/>
        <v>358</v>
      </c>
    </row>
    <row r="457" spans="1:9" ht="48" x14ac:dyDescent="0.3">
      <c r="A457" s="2" t="s">
        <v>212</v>
      </c>
      <c r="B457" s="2" t="s">
        <v>7620</v>
      </c>
      <c r="C457" s="2" t="s">
        <v>7621</v>
      </c>
      <c r="D457" s="2" t="s">
        <v>9155</v>
      </c>
      <c r="E457" s="2" t="s">
        <v>2373</v>
      </c>
      <c r="F457" s="2" t="s">
        <v>1778</v>
      </c>
      <c r="G457" s="2" t="s">
        <v>350</v>
      </c>
      <c r="H457" s="2"/>
      <c r="I457" s="3">
        <f t="shared" si="7"/>
        <v>358</v>
      </c>
    </row>
    <row r="458" spans="1:9" ht="48" x14ac:dyDescent="0.3">
      <c r="A458" s="2" t="s">
        <v>212</v>
      </c>
      <c r="B458" s="2" t="s">
        <v>1976</v>
      </c>
      <c r="C458" s="2" t="s">
        <v>1255</v>
      </c>
      <c r="D458" s="2" t="s">
        <v>7622</v>
      </c>
      <c r="E458" s="2" t="s">
        <v>39</v>
      </c>
      <c r="F458" s="2"/>
      <c r="G458" s="2"/>
      <c r="H458" s="2"/>
      <c r="I458" s="3">
        <f t="shared" si="7"/>
        <v>360</v>
      </c>
    </row>
    <row r="459" spans="1:9" ht="48" x14ac:dyDescent="0.3">
      <c r="A459" s="2" t="s">
        <v>212</v>
      </c>
      <c r="B459" s="2" t="s">
        <v>7633</v>
      </c>
      <c r="C459" s="2" t="s">
        <v>332</v>
      </c>
      <c r="D459" s="2" t="s">
        <v>9156</v>
      </c>
      <c r="E459" s="2" t="s">
        <v>211</v>
      </c>
      <c r="F459" s="2" t="s">
        <v>4117</v>
      </c>
      <c r="G459" s="2" t="s">
        <v>1717</v>
      </c>
      <c r="H459" s="2"/>
      <c r="I459" s="3">
        <f t="shared" si="7"/>
        <v>360</v>
      </c>
    </row>
    <row r="460" spans="1:9" ht="48" x14ac:dyDescent="0.3">
      <c r="A460" s="2" t="s">
        <v>212</v>
      </c>
      <c r="B460" s="2" t="s">
        <v>7643</v>
      </c>
      <c r="C460" s="2" t="s">
        <v>389</v>
      </c>
      <c r="D460" s="2" t="s">
        <v>9157</v>
      </c>
      <c r="E460" s="2" t="s">
        <v>39</v>
      </c>
      <c r="F460" s="2" t="s">
        <v>2281</v>
      </c>
      <c r="G460" s="2" t="s">
        <v>1717</v>
      </c>
      <c r="H460" s="2" t="s">
        <v>194</v>
      </c>
      <c r="I460" s="3">
        <f t="shared" si="7"/>
        <v>362</v>
      </c>
    </row>
    <row r="461" spans="1:9" ht="48" x14ac:dyDescent="0.3">
      <c r="A461" s="2" t="s">
        <v>212</v>
      </c>
      <c r="B461" s="2" t="s">
        <v>7646</v>
      </c>
      <c r="C461" s="2" t="s">
        <v>389</v>
      </c>
      <c r="D461" s="2" t="s">
        <v>7647</v>
      </c>
      <c r="E461" s="2" t="s">
        <v>39</v>
      </c>
      <c r="F461" s="2"/>
      <c r="G461" s="2"/>
      <c r="H461" s="2"/>
      <c r="I461" s="3">
        <f t="shared" si="7"/>
        <v>365</v>
      </c>
    </row>
    <row r="462" spans="1:9" ht="48" x14ac:dyDescent="0.3">
      <c r="A462" s="2" t="s">
        <v>212</v>
      </c>
      <c r="B462" s="2" t="s">
        <v>7662</v>
      </c>
      <c r="C462" s="2" t="s">
        <v>7663</v>
      </c>
      <c r="D462" s="2" t="s">
        <v>9158</v>
      </c>
      <c r="E462" s="2" t="s">
        <v>5123</v>
      </c>
      <c r="F462" s="2" t="s">
        <v>1778</v>
      </c>
      <c r="G462" s="2" t="s">
        <v>1717</v>
      </c>
      <c r="H462" s="2"/>
      <c r="I462" s="3">
        <f t="shared" si="7"/>
        <v>367</v>
      </c>
    </row>
    <row r="463" spans="1:9" ht="48" x14ac:dyDescent="0.3">
      <c r="A463" s="2" t="s">
        <v>212</v>
      </c>
      <c r="B463" s="2" t="s">
        <v>7659</v>
      </c>
      <c r="C463" s="2"/>
      <c r="D463" s="2" t="s">
        <v>7660</v>
      </c>
      <c r="E463" s="2" t="s">
        <v>39</v>
      </c>
      <c r="F463" s="2"/>
      <c r="G463" s="2"/>
      <c r="H463" s="2"/>
      <c r="I463" s="3">
        <f t="shared" si="7"/>
        <v>369</v>
      </c>
    </row>
    <row r="464" spans="1:9" ht="48" x14ac:dyDescent="0.3">
      <c r="A464" s="2" t="s">
        <v>212</v>
      </c>
      <c r="B464" s="2" t="s">
        <v>7668</v>
      </c>
      <c r="C464" s="2" t="s">
        <v>1255</v>
      </c>
      <c r="D464" s="2" t="s">
        <v>7669</v>
      </c>
      <c r="E464" s="2" t="s">
        <v>39</v>
      </c>
      <c r="F464" s="2"/>
      <c r="G464" s="2"/>
      <c r="H464" s="2" t="s">
        <v>1176</v>
      </c>
      <c r="I464" s="3">
        <f t="shared" si="7"/>
        <v>370</v>
      </c>
    </row>
    <row r="465" spans="1:9" ht="48" x14ac:dyDescent="0.3">
      <c r="A465" s="2" t="s">
        <v>212</v>
      </c>
      <c r="B465" s="2" t="s">
        <v>7687</v>
      </c>
      <c r="C465" s="2" t="s">
        <v>332</v>
      </c>
      <c r="D465" s="2" t="s">
        <v>9159</v>
      </c>
      <c r="E465" s="2" t="s">
        <v>3773</v>
      </c>
      <c r="F465" s="2" t="s">
        <v>1778</v>
      </c>
      <c r="G465" s="2" t="s">
        <v>1717</v>
      </c>
      <c r="H465" s="2" t="s">
        <v>646</v>
      </c>
      <c r="I465" s="3">
        <f t="shared" si="7"/>
        <v>370</v>
      </c>
    </row>
    <row r="466" spans="1:9" ht="48" x14ac:dyDescent="0.3">
      <c r="A466" s="2" t="s">
        <v>212</v>
      </c>
      <c r="B466" s="2" t="s">
        <v>7690</v>
      </c>
      <c r="C466" s="2" t="s">
        <v>2730</v>
      </c>
      <c r="D466" s="2" t="s">
        <v>9160</v>
      </c>
      <c r="E466" s="2" t="s">
        <v>2136</v>
      </c>
      <c r="F466" s="2" t="s">
        <v>350</v>
      </c>
      <c r="G466" s="2" t="s">
        <v>1717</v>
      </c>
      <c r="H466" s="2"/>
      <c r="I466" s="3">
        <f t="shared" si="7"/>
        <v>370</v>
      </c>
    </row>
    <row r="467" spans="1:9" ht="48" x14ac:dyDescent="0.3">
      <c r="A467" s="2" t="s">
        <v>212</v>
      </c>
      <c r="B467" s="2" t="s">
        <v>7693</v>
      </c>
      <c r="C467" s="2"/>
      <c r="D467" s="2" t="s">
        <v>7694</v>
      </c>
      <c r="E467" s="2" t="s">
        <v>39</v>
      </c>
      <c r="F467" s="2"/>
      <c r="G467" s="2"/>
      <c r="H467" s="2"/>
      <c r="I467" s="3">
        <f t="shared" si="7"/>
        <v>374</v>
      </c>
    </row>
    <row r="468" spans="1:9" ht="48" x14ac:dyDescent="0.3">
      <c r="A468" s="2" t="s">
        <v>212</v>
      </c>
      <c r="B468" s="2" t="s">
        <v>7696</v>
      </c>
      <c r="C468" s="2" t="s">
        <v>7697</v>
      </c>
      <c r="D468" s="2" t="s">
        <v>7698</v>
      </c>
      <c r="E468" s="2" t="s">
        <v>39</v>
      </c>
      <c r="F468" s="2"/>
      <c r="G468" s="2"/>
      <c r="H468" s="2" t="s">
        <v>194</v>
      </c>
      <c r="I468" s="3">
        <f t="shared" si="7"/>
        <v>374</v>
      </c>
    </row>
    <row r="469" spans="1:9" ht="48" x14ac:dyDescent="0.3">
      <c r="A469" s="2" t="s">
        <v>212</v>
      </c>
      <c r="B469" s="2" t="s">
        <v>7701</v>
      </c>
      <c r="C469" s="2" t="s">
        <v>1504</v>
      </c>
      <c r="D469" s="2" t="s">
        <v>7702</v>
      </c>
      <c r="E469" s="2" t="s">
        <v>39</v>
      </c>
      <c r="F469" s="2"/>
      <c r="G469" s="2"/>
      <c r="H469" s="2" t="s">
        <v>194</v>
      </c>
      <c r="I469" s="3">
        <f t="shared" si="7"/>
        <v>376</v>
      </c>
    </row>
    <row r="470" spans="1:9" ht="48" x14ac:dyDescent="0.3">
      <c r="A470" s="2" t="s">
        <v>212</v>
      </c>
      <c r="B470" s="2" t="s">
        <v>7711</v>
      </c>
      <c r="C470" s="2" t="s">
        <v>7712</v>
      </c>
      <c r="D470" s="2" t="s">
        <v>9161</v>
      </c>
      <c r="E470" s="2" t="s">
        <v>39</v>
      </c>
      <c r="F470" s="2" t="s">
        <v>1778</v>
      </c>
      <c r="G470" s="2" t="s">
        <v>1717</v>
      </c>
      <c r="H470" s="2" t="s">
        <v>646</v>
      </c>
      <c r="I470" s="3">
        <f t="shared" si="7"/>
        <v>376</v>
      </c>
    </row>
    <row r="471" spans="1:9" ht="48" x14ac:dyDescent="0.3">
      <c r="A471" s="2" t="s">
        <v>212</v>
      </c>
      <c r="B471" s="2" t="s">
        <v>213</v>
      </c>
      <c r="C471" s="2" t="s">
        <v>7705</v>
      </c>
      <c r="D471" s="2" t="s">
        <v>7706</v>
      </c>
      <c r="E471" s="2" t="s">
        <v>39</v>
      </c>
      <c r="F471" s="2"/>
      <c r="G471" s="2" t="s">
        <v>1717</v>
      </c>
      <c r="H471" s="2" t="s">
        <v>216</v>
      </c>
      <c r="I471" s="3">
        <f t="shared" si="7"/>
        <v>377</v>
      </c>
    </row>
    <row r="472" spans="1:9" ht="48" x14ac:dyDescent="0.3">
      <c r="A472" s="2" t="s">
        <v>212</v>
      </c>
      <c r="B472" s="2" t="s">
        <v>7717</v>
      </c>
      <c r="C472" s="2" t="s">
        <v>911</v>
      </c>
      <c r="D472" s="2" t="s">
        <v>9162</v>
      </c>
      <c r="E472" s="2" t="s">
        <v>2693</v>
      </c>
      <c r="F472" s="2" t="s">
        <v>1778</v>
      </c>
      <c r="G472" s="2" t="s">
        <v>1717</v>
      </c>
      <c r="H472" s="2"/>
      <c r="I472" s="3">
        <f t="shared" si="7"/>
        <v>377</v>
      </c>
    </row>
    <row r="473" spans="1:9" ht="48" x14ac:dyDescent="0.3">
      <c r="A473" s="2" t="s">
        <v>212</v>
      </c>
      <c r="B473" s="2" t="s">
        <v>7709</v>
      </c>
      <c r="C473" s="2"/>
      <c r="D473" s="2" t="s">
        <v>7710</v>
      </c>
      <c r="E473" s="2" t="s">
        <v>39</v>
      </c>
      <c r="F473" s="2"/>
      <c r="G473" s="2"/>
      <c r="H473" s="2"/>
      <c r="I473" s="3">
        <f t="shared" si="7"/>
        <v>378</v>
      </c>
    </row>
    <row r="474" spans="1:9" ht="48" x14ac:dyDescent="0.3">
      <c r="A474" s="2" t="s">
        <v>212</v>
      </c>
      <c r="B474" s="2" t="s">
        <v>7730</v>
      </c>
      <c r="C474" s="2" t="s">
        <v>181</v>
      </c>
      <c r="D474" s="2" t="s">
        <v>9163</v>
      </c>
      <c r="E474" s="2" t="s">
        <v>39</v>
      </c>
      <c r="F474" s="2" t="s">
        <v>3082</v>
      </c>
      <c r="G474" s="2" t="s">
        <v>1717</v>
      </c>
      <c r="H474" s="2"/>
      <c r="I474" s="3">
        <f t="shared" si="7"/>
        <v>380</v>
      </c>
    </row>
    <row r="475" spans="1:9" ht="48" x14ac:dyDescent="0.3">
      <c r="A475" s="2" t="s">
        <v>212</v>
      </c>
      <c r="B475" s="2" t="s">
        <v>7721</v>
      </c>
      <c r="C475" s="2" t="s">
        <v>559</v>
      </c>
      <c r="D475" s="2" t="s">
        <v>7722</v>
      </c>
      <c r="E475" s="2" t="s">
        <v>39</v>
      </c>
      <c r="F475" s="2"/>
      <c r="G475" s="2"/>
      <c r="H475" s="2"/>
      <c r="I475" s="3">
        <f t="shared" si="7"/>
        <v>381</v>
      </c>
    </row>
    <row r="476" spans="1:9" ht="48" x14ac:dyDescent="0.3">
      <c r="A476" s="2" t="s">
        <v>212</v>
      </c>
      <c r="B476" s="2" t="s">
        <v>7735</v>
      </c>
      <c r="C476" s="2" t="s">
        <v>2730</v>
      </c>
      <c r="D476" s="2" t="s">
        <v>9164</v>
      </c>
      <c r="E476" s="2" t="s">
        <v>2136</v>
      </c>
      <c r="F476" s="2" t="s">
        <v>350</v>
      </c>
      <c r="G476" s="2" t="s">
        <v>350</v>
      </c>
      <c r="H476" s="2"/>
      <c r="I476" s="3">
        <f t="shared" si="7"/>
        <v>381</v>
      </c>
    </row>
    <row r="477" spans="1:9" ht="48" x14ac:dyDescent="0.3">
      <c r="A477" s="2" t="s">
        <v>212</v>
      </c>
      <c r="B477" s="2" t="s">
        <v>7738</v>
      </c>
      <c r="C477" s="2" t="s">
        <v>7739</v>
      </c>
      <c r="D477" s="2" t="s">
        <v>9165</v>
      </c>
      <c r="E477" s="2"/>
      <c r="F477" s="2" t="s">
        <v>4117</v>
      </c>
      <c r="G477" s="2" t="s">
        <v>1717</v>
      </c>
      <c r="H477" s="2"/>
      <c r="I477" s="3">
        <f t="shared" si="7"/>
        <v>381</v>
      </c>
    </row>
    <row r="478" spans="1:9" ht="48" x14ac:dyDescent="0.3">
      <c r="A478" s="2" t="s">
        <v>212</v>
      </c>
      <c r="B478" s="2" t="s">
        <v>7740</v>
      </c>
      <c r="C478" s="2" t="s">
        <v>7267</v>
      </c>
      <c r="D478" s="2" t="s">
        <v>9166</v>
      </c>
      <c r="E478" s="2" t="s">
        <v>5639</v>
      </c>
      <c r="F478" s="2" t="s">
        <v>1778</v>
      </c>
      <c r="G478" s="2" t="s">
        <v>1717</v>
      </c>
      <c r="H478" s="2" t="s">
        <v>646</v>
      </c>
      <c r="I478" s="3">
        <f t="shared" si="7"/>
        <v>381</v>
      </c>
    </row>
    <row r="479" spans="1:9" ht="48" x14ac:dyDescent="0.3">
      <c r="A479" s="2" t="s">
        <v>212</v>
      </c>
      <c r="B479" s="2" t="s">
        <v>7743</v>
      </c>
      <c r="C479" s="2" t="s">
        <v>5748</v>
      </c>
      <c r="D479" s="2" t="s">
        <v>9167</v>
      </c>
      <c r="E479" s="2" t="s">
        <v>39</v>
      </c>
      <c r="F479" s="2" t="s">
        <v>1778</v>
      </c>
      <c r="G479" s="2" t="s">
        <v>1717</v>
      </c>
      <c r="H479" s="2" t="s">
        <v>86</v>
      </c>
      <c r="I479" s="3">
        <f t="shared" si="7"/>
        <v>382</v>
      </c>
    </row>
    <row r="480" spans="1:9" ht="48" x14ac:dyDescent="0.3">
      <c r="A480" s="2" t="s">
        <v>212</v>
      </c>
      <c r="B480" s="2" t="s">
        <v>7736</v>
      </c>
      <c r="C480" s="2" t="s">
        <v>535</v>
      </c>
      <c r="D480" s="2" t="s">
        <v>7737</v>
      </c>
      <c r="E480" s="2" t="s">
        <v>39</v>
      </c>
      <c r="F480" s="2"/>
      <c r="G480" s="2"/>
      <c r="H480" s="2" t="s">
        <v>537</v>
      </c>
      <c r="I480" s="3">
        <f t="shared" si="7"/>
        <v>383</v>
      </c>
    </row>
    <row r="481" spans="1:9" ht="48" x14ac:dyDescent="0.3">
      <c r="A481" s="2" t="s">
        <v>212</v>
      </c>
      <c r="B481" s="2" t="s">
        <v>83</v>
      </c>
      <c r="C481" s="2" t="s">
        <v>7756</v>
      </c>
      <c r="D481" s="2" t="s">
        <v>9168</v>
      </c>
      <c r="E481" s="2" t="s">
        <v>2568</v>
      </c>
      <c r="F481" s="2" t="s">
        <v>350</v>
      </c>
      <c r="G481" s="2" t="s">
        <v>350</v>
      </c>
      <c r="H481" s="2" t="s">
        <v>86</v>
      </c>
      <c r="I481" s="3">
        <f t="shared" si="7"/>
        <v>385</v>
      </c>
    </row>
    <row r="482" spans="1:9" ht="48" x14ac:dyDescent="0.3">
      <c r="A482" s="2" t="s">
        <v>212</v>
      </c>
      <c r="B482" s="2" t="s">
        <v>7750</v>
      </c>
      <c r="C482" s="2" t="s">
        <v>422</v>
      </c>
      <c r="D482" s="2" t="s">
        <v>8708</v>
      </c>
      <c r="E482" s="2" t="s">
        <v>6316</v>
      </c>
      <c r="F482" s="2"/>
      <c r="G482" s="2" t="s">
        <v>1717</v>
      </c>
      <c r="H482" s="2"/>
      <c r="I482" s="3">
        <f t="shared" si="7"/>
        <v>386</v>
      </c>
    </row>
    <row r="483" spans="1:9" ht="48" x14ac:dyDescent="0.3">
      <c r="A483" s="2" t="s">
        <v>212</v>
      </c>
      <c r="B483" s="2" t="s">
        <v>7751</v>
      </c>
      <c r="C483" s="2"/>
      <c r="D483" s="2" t="s">
        <v>7752</v>
      </c>
      <c r="E483" s="2" t="s">
        <v>39</v>
      </c>
      <c r="F483" s="2"/>
      <c r="G483" s="2" t="s">
        <v>1717</v>
      </c>
      <c r="H483" s="2"/>
      <c r="I483" s="3">
        <f t="shared" si="7"/>
        <v>387</v>
      </c>
    </row>
    <row r="484" spans="1:9" ht="48" x14ac:dyDescent="0.3">
      <c r="A484" s="2" t="s">
        <v>212</v>
      </c>
      <c r="B484" s="2" t="s">
        <v>2721</v>
      </c>
      <c r="C484" s="2" t="s">
        <v>81</v>
      </c>
      <c r="D484" s="2" t="s">
        <v>8709</v>
      </c>
      <c r="E484" s="2" t="s">
        <v>3545</v>
      </c>
      <c r="F484" s="2"/>
      <c r="G484" s="2" t="s">
        <v>350</v>
      </c>
      <c r="H484" s="2" t="s">
        <v>1176</v>
      </c>
      <c r="I484" s="3">
        <f t="shared" si="7"/>
        <v>388</v>
      </c>
    </row>
    <row r="485" spans="1:9" ht="48" x14ac:dyDescent="0.3">
      <c r="A485" s="2" t="s">
        <v>212</v>
      </c>
      <c r="B485" s="2" t="s">
        <v>7764</v>
      </c>
      <c r="C485" s="2" t="s">
        <v>437</v>
      </c>
      <c r="D485" s="2" t="s">
        <v>9169</v>
      </c>
      <c r="E485" s="2" t="s">
        <v>1188</v>
      </c>
      <c r="F485" s="2" t="s">
        <v>4117</v>
      </c>
      <c r="G485" s="2" t="s">
        <v>1717</v>
      </c>
      <c r="H485" s="2" t="s">
        <v>194</v>
      </c>
      <c r="I485" s="3">
        <f t="shared" si="7"/>
        <v>388</v>
      </c>
    </row>
    <row r="486" spans="1:9" ht="48" x14ac:dyDescent="0.3">
      <c r="A486" s="2" t="s">
        <v>212</v>
      </c>
      <c r="B486" s="2" t="s">
        <v>7768</v>
      </c>
      <c r="C486" s="2" t="s">
        <v>7769</v>
      </c>
      <c r="D486" s="2" t="s">
        <v>9170</v>
      </c>
      <c r="E486" s="2" t="s">
        <v>7770</v>
      </c>
      <c r="F486" s="2" t="s">
        <v>4117</v>
      </c>
      <c r="G486" s="2" t="s">
        <v>1717</v>
      </c>
      <c r="H486" s="2"/>
      <c r="I486" s="3">
        <f t="shared" si="7"/>
        <v>389</v>
      </c>
    </row>
    <row r="487" spans="1:9" ht="48" x14ac:dyDescent="0.3">
      <c r="A487" s="2" t="s">
        <v>212</v>
      </c>
      <c r="B487" s="2" t="s">
        <v>7771</v>
      </c>
      <c r="C487" s="2"/>
      <c r="D487" s="2" t="s">
        <v>9171</v>
      </c>
      <c r="E487" s="2" t="s">
        <v>3980</v>
      </c>
      <c r="F487" s="2" t="s">
        <v>1778</v>
      </c>
      <c r="G487" s="2" t="s">
        <v>1717</v>
      </c>
      <c r="H487" s="2"/>
      <c r="I487" s="3">
        <f t="shared" si="7"/>
        <v>389</v>
      </c>
    </row>
    <row r="488" spans="1:9" ht="60" x14ac:dyDescent="0.3">
      <c r="A488" s="2" t="s">
        <v>212</v>
      </c>
      <c r="B488" s="2" t="s">
        <v>7789</v>
      </c>
      <c r="C488" s="2" t="s">
        <v>6605</v>
      </c>
      <c r="D488" s="2" t="s">
        <v>9172</v>
      </c>
      <c r="E488" s="2" t="s">
        <v>6316</v>
      </c>
      <c r="F488" s="2" t="s">
        <v>4117</v>
      </c>
      <c r="G488" s="2" t="s">
        <v>350</v>
      </c>
      <c r="H488" s="2"/>
      <c r="I488" s="3">
        <f t="shared" si="7"/>
        <v>391</v>
      </c>
    </row>
    <row r="489" spans="1:9" ht="48" x14ac:dyDescent="0.3">
      <c r="A489" s="2" t="s">
        <v>212</v>
      </c>
      <c r="B489" s="2" t="s">
        <v>7783</v>
      </c>
      <c r="C489" s="2" t="s">
        <v>7784</v>
      </c>
      <c r="D489" s="2" t="s">
        <v>7785</v>
      </c>
      <c r="E489" s="2"/>
      <c r="F489" s="2"/>
      <c r="G489" s="2"/>
      <c r="H489" s="2" t="s">
        <v>402</v>
      </c>
      <c r="I489" s="3">
        <f t="shared" si="7"/>
        <v>392</v>
      </c>
    </row>
    <row r="490" spans="1:9" ht="48" x14ac:dyDescent="0.3">
      <c r="A490" s="2" t="s">
        <v>212</v>
      </c>
      <c r="B490" s="2" t="s">
        <v>7790</v>
      </c>
      <c r="C490" s="2" t="s">
        <v>958</v>
      </c>
      <c r="D490" s="2" t="s">
        <v>9173</v>
      </c>
      <c r="E490" s="2" t="s">
        <v>2136</v>
      </c>
      <c r="F490" s="2" t="s">
        <v>4117</v>
      </c>
      <c r="G490" s="2" t="s">
        <v>350</v>
      </c>
      <c r="H490" s="2" t="s">
        <v>194</v>
      </c>
      <c r="I490" s="3">
        <f t="shared" si="7"/>
        <v>392</v>
      </c>
    </row>
    <row r="491" spans="1:9" ht="60" x14ac:dyDescent="0.3">
      <c r="A491" s="2" t="s">
        <v>212</v>
      </c>
      <c r="B491" s="2" t="s">
        <v>7793</v>
      </c>
      <c r="C491" s="2" t="s">
        <v>7794</v>
      </c>
      <c r="D491" s="2" t="s">
        <v>9174</v>
      </c>
      <c r="E491" s="2" t="s">
        <v>1692</v>
      </c>
      <c r="F491" s="2" t="s">
        <v>350</v>
      </c>
      <c r="G491" s="2" t="s">
        <v>1717</v>
      </c>
      <c r="H491" s="2" t="s">
        <v>646</v>
      </c>
      <c r="I491" s="3">
        <f t="shared" si="7"/>
        <v>393</v>
      </c>
    </row>
    <row r="492" spans="1:9" ht="48" x14ac:dyDescent="0.3">
      <c r="A492" s="2" t="s">
        <v>212</v>
      </c>
      <c r="B492" s="2" t="s">
        <v>7795</v>
      </c>
      <c r="C492" s="2" t="s">
        <v>2063</v>
      </c>
      <c r="D492" s="2" t="s">
        <v>9175</v>
      </c>
      <c r="E492" s="2" t="s">
        <v>2693</v>
      </c>
      <c r="F492" s="2" t="s">
        <v>3082</v>
      </c>
      <c r="G492" s="2" t="s">
        <v>1717</v>
      </c>
      <c r="H492" s="2" t="s">
        <v>194</v>
      </c>
      <c r="I492" s="3">
        <f t="shared" si="7"/>
        <v>393</v>
      </c>
    </row>
    <row r="493" spans="1:9" ht="48" x14ac:dyDescent="0.3">
      <c r="A493" s="2" t="s">
        <v>212</v>
      </c>
      <c r="B493" s="2" t="s">
        <v>7806</v>
      </c>
      <c r="C493" s="2" t="s">
        <v>7807</v>
      </c>
      <c r="D493" s="2" t="s">
        <v>7808</v>
      </c>
      <c r="E493" s="2" t="s">
        <v>39</v>
      </c>
      <c r="F493" s="2"/>
      <c r="G493" s="2"/>
      <c r="H493" s="2"/>
      <c r="I493" s="3">
        <f t="shared" si="7"/>
        <v>398</v>
      </c>
    </row>
    <row r="494" spans="1:9" ht="48" x14ac:dyDescent="0.3">
      <c r="A494" s="2" t="s">
        <v>212</v>
      </c>
      <c r="B494" s="2" t="s">
        <v>7815</v>
      </c>
      <c r="C494" s="2" t="s">
        <v>500</v>
      </c>
      <c r="D494" s="2" t="s">
        <v>7816</v>
      </c>
      <c r="E494" s="2"/>
      <c r="F494" s="2"/>
      <c r="G494" s="2"/>
      <c r="H494" s="2"/>
      <c r="I494" s="3">
        <f t="shared" si="7"/>
        <v>402</v>
      </c>
    </row>
    <row r="495" spans="1:9" ht="48" x14ac:dyDescent="0.3">
      <c r="A495" s="2" t="s">
        <v>212</v>
      </c>
      <c r="B495" s="2" t="s">
        <v>7833</v>
      </c>
      <c r="C495" s="2" t="s">
        <v>7834</v>
      </c>
      <c r="D495" s="2" t="s">
        <v>9176</v>
      </c>
      <c r="E495" s="2" t="s">
        <v>39</v>
      </c>
      <c r="F495" s="2" t="s">
        <v>2281</v>
      </c>
      <c r="G495" s="2" t="s">
        <v>1717</v>
      </c>
      <c r="H495" s="2" t="s">
        <v>194</v>
      </c>
      <c r="I495" s="3">
        <f t="shared" si="7"/>
        <v>405</v>
      </c>
    </row>
    <row r="496" spans="1:9" ht="48" x14ac:dyDescent="0.3">
      <c r="A496" s="2" t="s">
        <v>212</v>
      </c>
      <c r="B496" s="2" t="s">
        <v>7835</v>
      </c>
      <c r="C496" s="2"/>
      <c r="D496" s="2" t="s">
        <v>9177</v>
      </c>
      <c r="E496" s="2" t="s">
        <v>2693</v>
      </c>
      <c r="F496" s="2" t="s">
        <v>1778</v>
      </c>
      <c r="G496" s="2" t="s">
        <v>1717</v>
      </c>
      <c r="H496" s="2"/>
      <c r="I496" s="3">
        <f t="shared" si="7"/>
        <v>405</v>
      </c>
    </row>
    <row r="497" spans="1:9" ht="48" x14ac:dyDescent="0.3">
      <c r="A497" s="2" t="s">
        <v>212</v>
      </c>
      <c r="B497" s="2" t="s">
        <v>7459</v>
      </c>
      <c r="C497" s="2" t="s">
        <v>437</v>
      </c>
      <c r="D497" s="2" t="s">
        <v>9178</v>
      </c>
      <c r="E497" s="2" t="s">
        <v>39</v>
      </c>
      <c r="F497" s="2" t="s">
        <v>2281</v>
      </c>
      <c r="G497" s="2" t="s">
        <v>4507</v>
      </c>
      <c r="H497" s="2"/>
      <c r="I497" s="3">
        <f t="shared" si="7"/>
        <v>406</v>
      </c>
    </row>
    <row r="498" spans="1:9" ht="60" x14ac:dyDescent="0.3">
      <c r="A498" s="2" t="s">
        <v>212</v>
      </c>
      <c r="B498" s="2" t="s">
        <v>7836</v>
      </c>
      <c r="C498" s="2" t="s">
        <v>500</v>
      </c>
      <c r="D498" s="2" t="s">
        <v>7837</v>
      </c>
      <c r="E498" s="2" t="s">
        <v>39</v>
      </c>
      <c r="F498" s="2"/>
      <c r="G498" s="2"/>
      <c r="H498" s="2" t="s">
        <v>402</v>
      </c>
      <c r="I498" s="3">
        <f t="shared" si="7"/>
        <v>408</v>
      </c>
    </row>
    <row r="499" spans="1:9" ht="48" x14ac:dyDescent="0.3">
      <c r="A499" s="2" t="s">
        <v>212</v>
      </c>
      <c r="B499" s="2" t="s">
        <v>7840</v>
      </c>
      <c r="C499" s="2" t="s">
        <v>389</v>
      </c>
      <c r="D499" s="2" t="s">
        <v>9179</v>
      </c>
      <c r="E499" s="2" t="s">
        <v>674</v>
      </c>
      <c r="F499" s="2" t="s">
        <v>1778</v>
      </c>
      <c r="G499" s="2" t="s">
        <v>1717</v>
      </c>
      <c r="H499" s="2"/>
      <c r="I499" s="3">
        <f t="shared" si="7"/>
        <v>408</v>
      </c>
    </row>
    <row r="500" spans="1:9" ht="60" x14ac:dyDescent="0.3">
      <c r="A500" s="2" t="s">
        <v>212</v>
      </c>
      <c r="B500" s="2" t="s">
        <v>7843</v>
      </c>
      <c r="C500" s="2" t="s">
        <v>6672</v>
      </c>
      <c r="D500" s="2" t="s">
        <v>9180</v>
      </c>
      <c r="E500" s="2" t="s">
        <v>2121</v>
      </c>
      <c r="F500" s="2" t="s">
        <v>4117</v>
      </c>
      <c r="G500" s="2" t="s">
        <v>1717</v>
      </c>
      <c r="H500" s="2"/>
      <c r="I500" s="3">
        <f t="shared" si="7"/>
        <v>408</v>
      </c>
    </row>
    <row r="501" spans="1:9" ht="60" x14ac:dyDescent="0.3">
      <c r="A501" s="2" t="s">
        <v>212</v>
      </c>
      <c r="B501" s="2" t="s">
        <v>7838</v>
      </c>
      <c r="C501" s="2"/>
      <c r="D501" s="2" t="s">
        <v>7839</v>
      </c>
      <c r="E501" s="2" t="s">
        <v>39</v>
      </c>
      <c r="F501" s="2"/>
      <c r="G501" s="2"/>
      <c r="H501" s="2"/>
      <c r="I501" s="3">
        <f t="shared" si="7"/>
        <v>409</v>
      </c>
    </row>
    <row r="502" spans="1:9" ht="48" x14ac:dyDescent="0.3">
      <c r="A502" s="2" t="s">
        <v>212</v>
      </c>
      <c r="B502" s="2" t="s">
        <v>7844</v>
      </c>
      <c r="C502" s="2" t="s">
        <v>7845</v>
      </c>
      <c r="D502" s="2" t="s">
        <v>9181</v>
      </c>
      <c r="E502" s="2" t="s">
        <v>39</v>
      </c>
      <c r="F502" s="2" t="s">
        <v>350</v>
      </c>
      <c r="G502" s="2" t="s">
        <v>1717</v>
      </c>
      <c r="H502" s="2"/>
      <c r="I502" s="3">
        <f t="shared" si="7"/>
        <v>409</v>
      </c>
    </row>
    <row r="503" spans="1:9" ht="60" x14ac:dyDescent="0.3">
      <c r="A503" s="2" t="s">
        <v>212</v>
      </c>
      <c r="B503" s="2" t="s">
        <v>7848</v>
      </c>
      <c r="C503" s="2" t="s">
        <v>1504</v>
      </c>
      <c r="D503" s="2" t="s">
        <v>9182</v>
      </c>
      <c r="E503" s="2" t="s">
        <v>674</v>
      </c>
      <c r="F503" s="2" t="s">
        <v>4117</v>
      </c>
      <c r="G503" s="2" t="s">
        <v>1717</v>
      </c>
      <c r="H503" s="2" t="s">
        <v>194</v>
      </c>
      <c r="I503" s="3">
        <f t="shared" si="7"/>
        <v>409</v>
      </c>
    </row>
    <row r="504" spans="1:9" ht="60" x14ac:dyDescent="0.3">
      <c r="A504" s="2" t="s">
        <v>212</v>
      </c>
      <c r="B504" s="2" t="s">
        <v>957</v>
      </c>
      <c r="C504" s="2" t="s">
        <v>7150</v>
      </c>
      <c r="D504" s="2" t="s">
        <v>9185</v>
      </c>
      <c r="E504" s="2" t="s">
        <v>2136</v>
      </c>
      <c r="F504" s="2" t="s">
        <v>4117</v>
      </c>
      <c r="G504" s="2" t="s">
        <v>350</v>
      </c>
      <c r="H504" s="2" t="s">
        <v>1176</v>
      </c>
      <c r="I504" s="3">
        <f t="shared" si="7"/>
        <v>409</v>
      </c>
    </row>
    <row r="505" spans="1:9" ht="48" x14ac:dyDescent="0.3">
      <c r="A505" s="2" t="s">
        <v>212</v>
      </c>
      <c r="B505" s="2" t="s">
        <v>7841</v>
      </c>
      <c r="C505" s="2" t="s">
        <v>1255</v>
      </c>
      <c r="D505" s="2" t="s">
        <v>7842</v>
      </c>
      <c r="E505" s="2" t="s">
        <v>39</v>
      </c>
      <c r="F505" s="2"/>
      <c r="G505" s="2"/>
      <c r="H505" s="2"/>
      <c r="I505" s="3">
        <f t="shared" si="7"/>
        <v>410</v>
      </c>
    </row>
    <row r="506" spans="1:9" ht="60" x14ac:dyDescent="0.3">
      <c r="A506" s="2" t="s">
        <v>212</v>
      </c>
      <c r="B506" s="2" t="s">
        <v>7853</v>
      </c>
      <c r="C506" s="2"/>
      <c r="D506" s="2" t="s">
        <v>9183</v>
      </c>
      <c r="E506" s="2" t="s">
        <v>7854</v>
      </c>
      <c r="F506" s="2" t="s">
        <v>1778</v>
      </c>
      <c r="G506" s="2" t="s">
        <v>1717</v>
      </c>
      <c r="H506" s="2"/>
      <c r="I506" s="3">
        <f t="shared" si="7"/>
        <v>410</v>
      </c>
    </row>
    <row r="507" spans="1:9" ht="60" x14ac:dyDescent="0.3">
      <c r="A507" s="2" t="s">
        <v>212</v>
      </c>
      <c r="B507" s="2" t="s">
        <v>7846</v>
      </c>
      <c r="C507" s="2" t="s">
        <v>590</v>
      </c>
      <c r="D507" s="2" t="s">
        <v>7847</v>
      </c>
      <c r="E507" s="2" t="s">
        <v>39</v>
      </c>
      <c r="F507" s="2"/>
      <c r="G507" s="2"/>
      <c r="H507" s="2"/>
      <c r="I507" s="3">
        <f t="shared" si="7"/>
        <v>411</v>
      </c>
    </row>
    <row r="508" spans="1:9" ht="60" x14ac:dyDescent="0.3">
      <c r="A508" s="2" t="s">
        <v>212</v>
      </c>
      <c r="B508" s="2" t="s">
        <v>7857</v>
      </c>
      <c r="C508" s="2" t="s">
        <v>2057</v>
      </c>
      <c r="D508" s="2" t="s">
        <v>9184</v>
      </c>
      <c r="E508" s="2" t="s">
        <v>39</v>
      </c>
      <c r="F508" s="2" t="s">
        <v>350</v>
      </c>
      <c r="G508" s="2" t="s">
        <v>350</v>
      </c>
      <c r="H508" s="2"/>
      <c r="I508" s="3">
        <f t="shared" si="7"/>
        <v>411</v>
      </c>
    </row>
    <row r="509" spans="1:9" ht="60" x14ac:dyDescent="0.3">
      <c r="A509" s="2" t="s">
        <v>212</v>
      </c>
      <c r="B509" s="2" t="s">
        <v>7864</v>
      </c>
      <c r="C509" s="2"/>
      <c r="D509" s="2" t="s">
        <v>7865</v>
      </c>
      <c r="E509" s="2" t="s">
        <v>39</v>
      </c>
      <c r="F509" s="2"/>
      <c r="G509" s="2"/>
      <c r="H509" s="2" t="s">
        <v>216</v>
      </c>
      <c r="I509" s="3">
        <f t="shared" si="7"/>
        <v>415</v>
      </c>
    </row>
    <row r="510" spans="1:9" ht="60" x14ac:dyDescent="0.3">
      <c r="A510" s="2" t="s">
        <v>212</v>
      </c>
      <c r="B510" s="2" t="s">
        <v>7879</v>
      </c>
      <c r="C510" s="2" t="s">
        <v>92</v>
      </c>
      <c r="D510" s="2" t="s">
        <v>9186</v>
      </c>
      <c r="E510" s="2" t="s">
        <v>616</v>
      </c>
      <c r="F510" s="2" t="s">
        <v>2281</v>
      </c>
      <c r="G510" s="2" t="s">
        <v>1717</v>
      </c>
      <c r="H510" s="2"/>
      <c r="I510" s="3">
        <f t="shared" si="7"/>
        <v>418</v>
      </c>
    </row>
    <row r="511" spans="1:9" ht="60" x14ac:dyDescent="0.3">
      <c r="A511" s="2" t="s">
        <v>212</v>
      </c>
      <c r="B511" s="2" t="s">
        <v>7882</v>
      </c>
      <c r="C511" s="2" t="s">
        <v>7883</v>
      </c>
      <c r="D511" s="2" t="s">
        <v>9187</v>
      </c>
      <c r="E511" s="2" t="s">
        <v>39</v>
      </c>
      <c r="F511" s="2" t="s">
        <v>350</v>
      </c>
      <c r="G511" s="2" t="s">
        <v>1717</v>
      </c>
      <c r="H511" s="2"/>
      <c r="I511" s="3">
        <f t="shared" si="7"/>
        <v>419</v>
      </c>
    </row>
    <row r="512" spans="1:9" ht="60" x14ac:dyDescent="0.3">
      <c r="A512" s="2" t="s">
        <v>212</v>
      </c>
      <c r="B512" s="2" t="s">
        <v>7888</v>
      </c>
      <c r="C512" s="2" t="s">
        <v>181</v>
      </c>
      <c r="D512" s="2" t="s">
        <v>9188</v>
      </c>
      <c r="E512" s="2" t="s">
        <v>39</v>
      </c>
      <c r="F512" s="2" t="s">
        <v>2281</v>
      </c>
      <c r="G512" s="2" t="s">
        <v>1717</v>
      </c>
      <c r="H512" s="2" t="s">
        <v>646</v>
      </c>
      <c r="I512" s="3">
        <f t="shared" si="7"/>
        <v>419</v>
      </c>
    </row>
    <row r="513" spans="1:9" ht="60" x14ac:dyDescent="0.3">
      <c r="A513" s="2" t="s">
        <v>212</v>
      </c>
      <c r="B513" s="2" t="s">
        <v>7889</v>
      </c>
      <c r="C513" s="2" t="s">
        <v>7890</v>
      </c>
      <c r="D513" s="2" t="s">
        <v>9189</v>
      </c>
      <c r="E513" s="2" t="s">
        <v>39</v>
      </c>
      <c r="F513" s="2" t="s">
        <v>3082</v>
      </c>
      <c r="G513" s="2" t="s">
        <v>1717</v>
      </c>
      <c r="H513" s="2"/>
      <c r="I513" s="3">
        <f t="shared" si="7"/>
        <v>419</v>
      </c>
    </row>
    <row r="514" spans="1:9" ht="60" x14ac:dyDescent="0.3">
      <c r="A514" s="2" t="s">
        <v>212</v>
      </c>
      <c r="B514" s="2" t="s">
        <v>7886</v>
      </c>
      <c r="C514" s="2" t="s">
        <v>535</v>
      </c>
      <c r="D514" s="2" t="s">
        <v>7887</v>
      </c>
      <c r="E514" s="2" t="s">
        <v>39</v>
      </c>
      <c r="F514" s="2"/>
      <c r="G514" s="2"/>
      <c r="H514" s="2" t="s">
        <v>537</v>
      </c>
      <c r="I514" s="3">
        <f t="shared" ref="I514:I520" si="8">LEN(D514)</f>
        <v>421</v>
      </c>
    </row>
    <row r="515" spans="1:9" ht="60" x14ac:dyDescent="0.3">
      <c r="A515" s="2" t="s">
        <v>212</v>
      </c>
      <c r="B515" s="2" t="s">
        <v>7901</v>
      </c>
      <c r="C515" s="2" t="s">
        <v>7705</v>
      </c>
      <c r="D515" s="2" t="s">
        <v>9190</v>
      </c>
      <c r="E515" s="2" t="s">
        <v>39</v>
      </c>
      <c r="F515" s="2" t="s">
        <v>1778</v>
      </c>
      <c r="G515" s="2" t="s">
        <v>1717</v>
      </c>
      <c r="H515" s="2"/>
      <c r="I515" s="3">
        <f t="shared" si="8"/>
        <v>422</v>
      </c>
    </row>
    <row r="516" spans="1:9" ht="60" x14ac:dyDescent="0.3">
      <c r="A516" s="2" t="s">
        <v>212</v>
      </c>
      <c r="B516" s="2" t="s">
        <v>7915</v>
      </c>
      <c r="C516" s="2" t="s">
        <v>535</v>
      </c>
      <c r="D516" s="2" t="s">
        <v>7916</v>
      </c>
      <c r="E516" s="2" t="s">
        <v>39</v>
      </c>
      <c r="F516" s="2"/>
      <c r="G516" s="2"/>
      <c r="H516" s="2"/>
      <c r="I516" s="3">
        <f t="shared" si="8"/>
        <v>428</v>
      </c>
    </row>
    <row r="517" spans="1:9" ht="60" x14ac:dyDescent="0.3">
      <c r="A517" s="2" t="s">
        <v>212</v>
      </c>
      <c r="B517" s="2" t="s">
        <v>7919</v>
      </c>
      <c r="C517" s="2" t="s">
        <v>6672</v>
      </c>
      <c r="D517" s="2" t="s">
        <v>9191</v>
      </c>
      <c r="E517" s="2" t="s">
        <v>7001</v>
      </c>
      <c r="F517" s="2" t="s">
        <v>4117</v>
      </c>
      <c r="G517" s="2" t="s">
        <v>1717</v>
      </c>
      <c r="H517" s="2" t="s">
        <v>1176</v>
      </c>
      <c r="I517" s="3">
        <f t="shared" si="8"/>
        <v>428</v>
      </c>
    </row>
    <row r="518" spans="1:9" ht="60" x14ac:dyDescent="0.3">
      <c r="A518" s="2" t="s">
        <v>212</v>
      </c>
      <c r="B518" s="2" t="s">
        <v>7920</v>
      </c>
      <c r="C518" s="2" t="s">
        <v>7921</v>
      </c>
      <c r="D518" s="2" t="s">
        <v>9192</v>
      </c>
      <c r="E518" s="2"/>
      <c r="F518" s="2" t="s">
        <v>350</v>
      </c>
      <c r="G518" s="2" t="s">
        <v>1717</v>
      </c>
      <c r="H518" s="2"/>
      <c r="I518" s="3">
        <f t="shared" si="8"/>
        <v>428</v>
      </c>
    </row>
    <row r="519" spans="1:9" ht="60" x14ac:dyDescent="0.3">
      <c r="A519" s="2" t="s">
        <v>212</v>
      </c>
      <c r="B519" s="2" t="s">
        <v>7917</v>
      </c>
      <c r="C519" s="2" t="s">
        <v>186</v>
      </c>
      <c r="D519" s="2" t="s">
        <v>7918</v>
      </c>
      <c r="E519" s="2" t="s">
        <v>39</v>
      </c>
      <c r="F519" s="2"/>
      <c r="G519" s="2"/>
      <c r="H519" s="2" t="s">
        <v>646</v>
      </c>
      <c r="I519" s="3">
        <f t="shared" si="8"/>
        <v>429</v>
      </c>
    </row>
    <row r="520" spans="1:9" ht="60" x14ac:dyDescent="0.3">
      <c r="A520" s="2" t="s">
        <v>212</v>
      </c>
      <c r="B520" s="2" t="s">
        <v>7927</v>
      </c>
      <c r="C520" s="2" t="s">
        <v>2730</v>
      </c>
      <c r="D520" s="2" t="s">
        <v>9193</v>
      </c>
      <c r="E520" s="2" t="s">
        <v>2136</v>
      </c>
      <c r="F520" s="2" t="s">
        <v>350</v>
      </c>
      <c r="G520" s="2" t="s">
        <v>1717</v>
      </c>
      <c r="H520" s="2" t="s">
        <v>1176</v>
      </c>
      <c r="I520" s="3">
        <f t="shared" si="8"/>
        <v>429</v>
      </c>
    </row>
    <row r="521" spans="1:9" ht="24" x14ac:dyDescent="0.3">
      <c r="A521" s="2" t="s">
        <v>212</v>
      </c>
      <c r="B521" s="2" t="s">
        <v>4364</v>
      </c>
      <c r="C521" s="2" t="s">
        <v>7211</v>
      </c>
      <c r="D521" s="2" t="s">
        <v>7929</v>
      </c>
      <c r="E521" s="2" t="s">
        <v>39</v>
      </c>
      <c r="F521" s="2"/>
      <c r="G521" s="2"/>
      <c r="H521" s="2"/>
      <c r="I521" s="3">
        <v>432</v>
      </c>
    </row>
    <row r="522" spans="1:9" ht="60" x14ac:dyDescent="0.3">
      <c r="A522" s="2" t="s">
        <v>212</v>
      </c>
      <c r="B522" s="2" t="s">
        <v>7939</v>
      </c>
      <c r="C522" s="2" t="s">
        <v>3656</v>
      </c>
      <c r="D522" s="2" t="s">
        <v>9194</v>
      </c>
      <c r="E522" s="2" t="s">
        <v>7001</v>
      </c>
      <c r="F522" s="2" t="s">
        <v>350</v>
      </c>
      <c r="G522" s="2" t="s">
        <v>1717</v>
      </c>
      <c r="H522" s="2"/>
      <c r="I522" s="3">
        <f t="shared" ref="I522:I553" si="9">LEN(D522)</f>
        <v>432</v>
      </c>
    </row>
    <row r="523" spans="1:9" ht="60" x14ac:dyDescent="0.3">
      <c r="A523" s="2" t="s">
        <v>212</v>
      </c>
      <c r="B523" s="2" t="s">
        <v>7937</v>
      </c>
      <c r="C523" s="2" t="s">
        <v>7705</v>
      </c>
      <c r="D523" s="2" t="s">
        <v>7938</v>
      </c>
      <c r="E523" s="2" t="s">
        <v>39</v>
      </c>
      <c r="F523" s="2"/>
      <c r="G523" s="2"/>
      <c r="H523" s="2" t="s">
        <v>1176</v>
      </c>
      <c r="I523" s="3">
        <f t="shared" si="9"/>
        <v>434</v>
      </c>
    </row>
    <row r="524" spans="1:9" ht="60" x14ac:dyDescent="0.3">
      <c r="A524" s="2" t="s">
        <v>212</v>
      </c>
      <c r="B524" s="2" t="s">
        <v>7947</v>
      </c>
      <c r="C524" s="2" t="s">
        <v>7948</v>
      </c>
      <c r="D524" s="2" t="s">
        <v>7949</v>
      </c>
      <c r="E524" s="2" t="s">
        <v>39</v>
      </c>
      <c r="F524" s="2"/>
      <c r="G524" s="2"/>
      <c r="H524" s="2"/>
      <c r="I524" s="3">
        <f t="shared" si="9"/>
        <v>437</v>
      </c>
    </row>
    <row r="525" spans="1:9" ht="60" x14ac:dyDescent="0.3">
      <c r="A525" s="2" t="s">
        <v>212</v>
      </c>
      <c r="B525" s="2" t="s">
        <v>7953</v>
      </c>
      <c r="C525" s="2" t="s">
        <v>181</v>
      </c>
      <c r="D525" s="2" t="s">
        <v>7954</v>
      </c>
      <c r="E525" s="2" t="s">
        <v>39</v>
      </c>
      <c r="F525" s="2"/>
      <c r="G525" s="2"/>
      <c r="H525" s="2" t="s">
        <v>194</v>
      </c>
      <c r="I525" s="3">
        <f t="shared" si="9"/>
        <v>437</v>
      </c>
    </row>
    <row r="526" spans="1:9" ht="60" x14ac:dyDescent="0.3">
      <c r="A526" s="2" t="s">
        <v>212</v>
      </c>
      <c r="B526" s="2" t="s">
        <v>7238</v>
      </c>
      <c r="C526" s="2" t="s">
        <v>7959</v>
      </c>
      <c r="D526" s="2" t="s">
        <v>9195</v>
      </c>
      <c r="E526" s="2" t="s">
        <v>7239</v>
      </c>
      <c r="F526" s="2" t="s">
        <v>4117</v>
      </c>
      <c r="G526" s="2" t="s">
        <v>1717</v>
      </c>
      <c r="H526" s="2"/>
      <c r="I526" s="3">
        <f t="shared" si="9"/>
        <v>437</v>
      </c>
    </row>
    <row r="527" spans="1:9" ht="60" x14ac:dyDescent="0.3">
      <c r="A527" s="2" t="s">
        <v>212</v>
      </c>
      <c r="B527" s="2" t="s">
        <v>7955</v>
      </c>
      <c r="C527" s="2" t="s">
        <v>807</v>
      </c>
      <c r="D527" s="2" t="s">
        <v>7956</v>
      </c>
      <c r="E527" s="2"/>
      <c r="F527" s="2"/>
      <c r="G527" s="2"/>
      <c r="H527" s="2"/>
      <c r="I527" s="3">
        <f t="shared" si="9"/>
        <v>438</v>
      </c>
    </row>
    <row r="528" spans="1:9" ht="60" x14ac:dyDescent="0.3">
      <c r="A528" s="2" t="s">
        <v>212</v>
      </c>
      <c r="B528" s="2" t="s">
        <v>7965</v>
      </c>
      <c r="C528" s="2"/>
      <c r="D528" s="2" t="s">
        <v>9196</v>
      </c>
      <c r="E528" s="2" t="s">
        <v>39</v>
      </c>
      <c r="F528" s="2" t="s">
        <v>2281</v>
      </c>
      <c r="G528" s="2" t="s">
        <v>1717</v>
      </c>
      <c r="H528" s="2"/>
      <c r="I528" s="3">
        <f t="shared" si="9"/>
        <v>438</v>
      </c>
    </row>
    <row r="529" spans="1:9" ht="60" x14ac:dyDescent="0.3">
      <c r="A529" s="2" t="s">
        <v>212</v>
      </c>
      <c r="B529" s="2" t="s">
        <v>7972</v>
      </c>
      <c r="C529" s="2" t="s">
        <v>7973</v>
      </c>
      <c r="D529" s="2" t="s">
        <v>7974</v>
      </c>
      <c r="E529" s="2" t="s">
        <v>39</v>
      </c>
      <c r="F529" s="2"/>
      <c r="G529" s="2"/>
      <c r="H529" s="2" t="s">
        <v>194</v>
      </c>
      <c r="I529" s="3">
        <f t="shared" si="9"/>
        <v>441</v>
      </c>
    </row>
    <row r="530" spans="1:9" ht="60" x14ac:dyDescent="0.3">
      <c r="A530" s="2" t="s">
        <v>212</v>
      </c>
      <c r="B530" s="2" t="s">
        <v>7849</v>
      </c>
      <c r="C530" s="2" t="s">
        <v>7987</v>
      </c>
      <c r="D530" s="2" t="s">
        <v>9197</v>
      </c>
      <c r="E530" s="2" t="s">
        <v>7988</v>
      </c>
      <c r="F530" s="2" t="s">
        <v>4117</v>
      </c>
      <c r="G530" s="2" t="s">
        <v>1717</v>
      </c>
      <c r="H530" s="2" t="s">
        <v>194</v>
      </c>
      <c r="I530" s="3">
        <f t="shared" si="9"/>
        <v>442</v>
      </c>
    </row>
    <row r="531" spans="1:9" ht="60" x14ac:dyDescent="0.3">
      <c r="A531" s="2" t="s">
        <v>212</v>
      </c>
      <c r="B531" s="2" t="s">
        <v>7979</v>
      </c>
      <c r="C531" s="2" t="s">
        <v>437</v>
      </c>
      <c r="D531" s="2" t="s">
        <v>7980</v>
      </c>
      <c r="E531" s="2" t="s">
        <v>39</v>
      </c>
      <c r="F531" s="2"/>
      <c r="G531" s="2" t="s">
        <v>1717</v>
      </c>
      <c r="H531" s="2" t="s">
        <v>1176</v>
      </c>
      <c r="I531" s="3">
        <f t="shared" si="9"/>
        <v>443</v>
      </c>
    </row>
    <row r="532" spans="1:9" ht="60" x14ac:dyDescent="0.3">
      <c r="A532" s="2" t="s">
        <v>212</v>
      </c>
      <c r="B532" s="2" t="s">
        <v>7994</v>
      </c>
      <c r="C532" s="2" t="s">
        <v>7995</v>
      </c>
      <c r="D532" s="2" t="s">
        <v>9198</v>
      </c>
      <c r="E532" s="2" t="s">
        <v>39</v>
      </c>
      <c r="F532" s="2" t="s">
        <v>2281</v>
      </c>
      <c r="G532" s="2" t="s">
        <v>1717</v>
      </c>
      <c r="H532" s="2"/>
      <c r="I532" s="3">
        <f t="shared" si="9"/>
        <v>443</v>
      </c>
    </row>
    <row r="533" spans="1:9" ht="60" x14ac:dyDescent="0.3">
      <c r="A533" s="2" t="s">
        <v>212</v>
      </c>
      <c r="B533" s="2" t="s">
        <v>7996</v>
      </c>
      <c r="C533" s="2" t="s">
        <v>45</v>
      </c>
      <c r="D533" s="2" t="s">
        <v>9199</v>
      </c>
      <c r="E533" s="2" t="s">
        <v>918</v>
      </c>
      <c r="F533" s="2" t="s">
        <v>4117</v>
      </c>
      <c r="G533" s="2" t="s">
        <v>1717</v>
      </c>
      <c r="H533" s="2" t="s">
        <v>194</v>
      </c>
      <c r="I533" s="3">
        <f t="shared" si="9"/>
        <v>443</v>
      </c>
    </row>
    <row r="534" spans="1:9" ht="60" x14ac:dyDescent="0.3">
      <c r="A534" s="2" t="s">
        <v>212</v>
      </c>
      <c r="B534" s="2" t="s">
        <v>6878</v>
      </c>
      <c r="C534" s="2" t="s">
        <v>491</v>
      </c>
      <c r="D534" s="2" t="s">
        <v>8007</v>
      </c>
      <c r="E534" s="2" t="s">
        <v>39</v>
      </c>
      <c r="F534" s="2"/>
      <c r="G534" s="2"/>
      <c r="H534" s="2"/>
      <c r="I534" s="3">
        <f t="shared" si="9"/>
        <v>448</v>
      </c>
    </row>
    <row r="535" spans="1:9" ht="60" x14ac:dyDescent="0.3">
      <c r="A535" s="2" t="s">
        <v>212</v>
      </c>
      <c r="B535" s="2" t="s">
        <v>8020</v>
      </c>
      <c r="C535" s="2" t="s">
        <v>2939</v>
      </c>
      <c r="D535" s="2" t="s">
        <v>9200</v>
      </c>
      <c r="E535" s="2" t="s">
        <v>1188</v>
      </c>
      <c r="F535" s="2" t="s">
        <v>1778</v>
      </c>
      <c r="G535" s="2" t="s">
        <v>1717</v>
      </c>
      <c r="H535" s="2" t="s">
        <v>1176</v>
      </c>
      <c r="I535" s="3">
        <f t="shared" si="9"/>
        <v>452</v>
      </c>
    </row>
    <row r="536" spans="1:9" ht="60" x14ac:dyDescent="0.3">
      <c r="A536" s="2" t="s">
        <v>212</v>
      </c>
      <c r="B536" s="2" t="s">
        <v>8016</v>
      </c>
      <c r="C536" s="2" t="s">
        <v>807</v>
      </c>
      <c r="D536" s="2" t="s">
        <v>8017</v>
      </c>
      <c r="E536" s="2" t="s">
        <v>39</v>
      </c>
      <c r="F536" s="2"/>
      <c r="G536" s="2"/>
      <c r="H536" s="2"/>
      <c r="I536" s="3">
        <f t="shared" si="9"/>
        <v>454</v>
      </c>
    </row>
    <row r="537" spans="1:9" ht="60" x14ac:dyDescent="0.3">
      <c r="A537" s="2" t="s">
        <v>212</v>
      </c>
      <c r="B537" s="2" t="s">
        <v>8034</v>
      </c>
      <c r="C537" s="2" t="s">
        <v>64</v>
      </c>
      <c r="D537" s="2" t="s">
        <v>9201</v>
      </c>
      <c r="E537" s="2" t="s">
        <v>4720</v>
      </c>
      <c r="F537" s="2" t="s">
        <v>8035</v>
      </c>
      <c r="G537" s="2" t="s">
        <v>1717</v>
      </c>
      <c r="H537" s="2"/>
      <c r="I537" s="3">
        <f t="shared" si="9"/>
        <v>454</v>
      </c>
    </row>
    <row r="538" spans="1:9" ht="60" x14ac:dyDescent="0.3">
      <c r="A538" s="2" t="s">
        <v>212</v>
      </c>
      <c r="B538" s="2" t="s">
        <v>8044</v>
      </c>
      <c r="C538" s="2" t="s">
        <v>8045</v>
      </c>
      <c r="D538" s="2" t="s">
        <v>9202</v>
      </c>
      <c r="E538" s="2" t="s">
        <v>39</v>
      </c>
      <c r="F538" s="2" t="s">
        <v>2281</v>
      </c>
      <c r="G538" s="2" t="s">
        <v>1717</v>
      </c>
      <c r="H538" s="2"/>
      <c r="I538" s="3">
        <f t="shared" si="9"/>
        <v>459</v>
      </c>
    </row>
    <row r="539" spans="1:9" ht="60" x14ac:dyDescent="0.3">
      <c r="A539" s="2" t="s">
        <v>212</v>
      </c>
      <c r="B539" s="2" t="s">
        <v>8039</v>
      </c>
      <c r="C539" s="2" t="s">
        <v>4922</v>
      </c>
      <c r="D539" s="2" t="s">
        <v>8040</v>
      </c>
      <c r="E539" s="2"/>
      <c r="F539" s="2"/>
      <c r="G539" s="2"/>
      <c r="H539" s="2"/>
      <c r="I539" s="3">
        <f t="shared" si="9"/>
        <v>460</v>
      </c>
    </row>
    <row r="540" spans="1:9" ht="60" x14ac:dyDescent="0.3">
      <c r="A540" s="2" t="s">
        <v>212</v>
      </c>
      <c r="B540" s="2" t="s">
        <v>8041</v>
      </c>
      <c r="C540" s="2" t="s">
        <v>8042</v>
      </c>
      <c r="D540" s="2" t="s">
        <v>8043</v>
      </c>
      <c r="E540" s="2" t="s">
        <v>39</v>
      </c>
      <c r="F540" s="2"/>
      <c r="G540" s="2"/>
      <c r="H540" s="2" t="s">
        <v>537</v>
      </c>
      <c r="I540" s="3">
        <f t="shared" si="9"/>
        <v>460</v>
      </c>
    </row>
    <row r="541" spans="1:9" ht="60" x14ac:dyDescent="0.3">
      <c r="A541" s="2" t="s">
        <v>212</v>
      </c>
      <c r="B541" s="2" t="s">
        <v>8047</v>
      </c>
      <c r="C541" s="2" t="s">
        <v>81</v>
      </c>
      <c r="D541" s="2" t="s">
        <v>9203</v>
      </c>
      <c r="E541" s="2" t="s">
        <v>39</v>
      </c>
      <c r="F541" s="2" t="s">
        <v>350</v>
      </c>
      <c r="G541" s="2" t="s">
        <v>1717</v>
      </c>
      <c r="H541" s="2" t="s">
        <v>646</v>
      </c>
      <c r="I541" s="3">
        <f t="shared" si="9"/>
        <v>461</v>
      </c>
    </row>
    <row r="542" spans="1:9" ht="60" x14ac:dyDescent="0.3">
      <c r="A542" s="2" t="s">
        <v>212</v>
      </c>
      <c r="B542" s="2" t="s">
        <v>8048</v>
      </c>
      <c r="C542" s="2" t="s">
        <v>8049</v>
      </c>
      <c r="D542" s="2" t="s">
        <v>8050</v>
      </c>
      <c r="E542" s="2" t="s">
        <v>39</v>
      </c>
      <c r="F542" s="2"/>
      <c r="G542" s="2" t="s">
        <v>1717</v>
      </c>
      <c r="H542" s="2" t="s">
        <v>194</v>
      </c>
      <c r="I542" s="3">
        <f t="shared" si="9"/>
        <v>464</v>
      </c>
    </row>
    <row r="543" spans="1:9" ht="60" x14ac:dyDescent="0.3">
      <c r="A543" s="2" t="s">
        <v>212</v>
      </c>
      <c r="B543" s="2" t="s">
        <v>8051</v>
      </c>
      <c r="C543" s="2" t="s">
        <v>81</v>
      </c>
      <c r="D543" s="2" t="s">
        <v>9204</v>
      </c>
      <c r="E543" s="2" t="s">
        <v>39</v>
      </c>
      <c r="F543" s="2" t="s">
        <v>350</v>
      </c>
      <c r="G543" s="2" t="s">
        <v>1717</v>
      </c>
      <c r="H543" s="2" t="s">
        <v>646</v>
      </c>
      <c r="I543" s="3">
        <f t="shared" si="9"/>
        <v>464</v>
      </c>
    </row>
    <row r="544" spans="1:9" ht="60" x14ac:dyDescent="0.3">
      <c r="A544" s="2" t="s">
        <v>212</v>
      </c>
      <c r="B544" s="2" t="s">
        <v>8054</v>
      </c>
      <c r="C544" s="2" t="s">
        <v>8055</v>
      </c>
      <c r="D544" s="2" t="s">
        <v>9205</v>
      </c>
      <c r="E544" s="2" t="s">
        <v>2830</v>
      </c>
      <c r="F544" s="2" t="s">
        <v>4117</v>
      </c>
      <c r="G544" s="2" t="s">
        <v>1717</v>
      </c>
      <c r="H544" s="2"/>
      <c r="I544" s="3">
        <f t="shared" si="9"/>
        <v>464</v>
      </c>
    </row>
    <row r="545" spans="1:9" ht="60" x14ac:dyDescent="0.3">
      <c r="A545" s="2" t="s">
        <v>212</v>
      </c>
      <c r="B545" s="2" t="s">
        <v>3024</v>
      </c>
      <c r="C545" s="2" t="s">
        <v>1504</v>
      </c>
      <c r="D545" s="2" t="s">
        <v>9208</v>
      </c>
      <c r="E545" s="2" t="s">
        <v>6426</v>
      </c>
      <c r="F545" s="2" t="s">
        <v>1778</v>
      </c>
      <c r="G545" s="2" t="s">
        <v>1717</v>
      </c>
      <c r="H545" s="2" t="s">
        <v>194</v>
      </c>
      <c r="I545" s="3">
        <f t="shared" si="9"/>
        <v>464</v>
      </c>
    </row>
    <row r="546" spans="1:9" ht="60" x14ac:dyDescent="0.3">
      <c r="A546" s="2" t="s">
        <v>212</v>
      </c>
      <c r="B546" s="2" t="s">
        <v>8052</v>
      </c>
      <c r="C546" s="2"/>
      <c r="D546" s="2" t="s">
        <v>8053</v>
      </c>
      <c r="E546" s="2" t="s">
        <v>2693</v>
      </c>
      <c r="F546" s="2"/>
      <c r="G546" s="2" t="s">
        <v>1717</v>
      </c>
      <c r="H546" s="2" t="s">
        <v>646</v>
      </c>
      <c r="I546" s="3">
        <f t="shared" si="9"/>
        <v>466</v>
      </c>
    </row>
    <row r="547" spans="1:9" ht="60" x14ac:dyDescent="0.3">
      <c r="A547" s="2" t="s">
        <v>212</v>
      </c>
      <c r="B547" s="2" t="s">
        <v>8068</v>
      </c>
      <c r="C547" s="2" t="s">
        <v>1255</v>
      </c>
      <c r="D547" s="2" t="s">
        <v>9206</v>
      </c>
      <c r="E547" s="2" t="s">
        <v>3671</v>
      </c>
      <c r="F547" s="2" t="s">
        <v>350</v>
      </c>
      <c r="G547" s="2" t="s">
        <v>350</v>
      </c>
      <c r="H547" s="2"/>
      <c r="I547" s="3">
        <f t="shared" si="9"/>
        <v>466</v>
      </c>
    </row>
    <row r="548" spans="1:9" ht="60" x14ac:dyDescent="0.3">
      <c r="A548" s="2" t="s">
        <v>212</v>
      </c>
      <c r="B548" s="2" t="s">
        <v>1634</v>
      </c>
      <c r="C548" s="2" t="s">
        <v>8069</v>
      </c>
      <c r="D548" s="2" t="s">
        <v>9207</v>
      </c>
      <c r="E548" s="2"/>
      <c r="F548" s="2" t="s">
        <v>4117</v>
      </c>
      <c r="G548" s="2" t="s">
        <v>1717</v>
      </c>
      <c r="H548" s="2"/>
      <c r="I548" s="3">
        <f t="shared" si="9"/>
        <v>466</v>
      </c>
    </row>
    <row r="549" spans="1:9" ht="60" x14ac:dyDescent="0.3">
      <c r="A549" s="2" t="s">
        <v>212</v>
      </c>
      <c r="B549" s="2" t="s">
        <v>8079</v>
      </c>
      <c r="C549" s="2" t="s">
        <v>8080</v>
      </c>
      <c r="D549" s="2" t="s">
        <v>9209</v>
      </c>
      <c r="E549" s="2" t="s">
        <v>39</v>
      </c>
      <c r="F549" s="2" t="s">
        <v>2281</v>
      </c>
      <c r="G549" s="2" t="s">
        <v>1717</v>
      </c>
      <c r="H549" s="2" t="s">
        <v>402</v>
      </c>
      <c r="I549" s="3">
        <f t="shared" si="9"/>
        <v>466</v>
      </c>
    </row>
    <row r="550" spans="1:9" ht="60" x14ac:dyDescent="0.3">
      <c r="A550" s="2" t="s">
        <v>212</v>
      </c>
      <c r="B550" s="2" t="s">
        <v>8087</v>
      </c>
      <c r="C550" s="2"/>
      <c r="D550" s="2" t="s">
        <v>9211</v>
      </c>
      <c r="E550" s="2" t="s">
        <v>674</v>
      </c>
      <c r="F550" s="2" t="s">
        <v>4117</v>
      </c>
      <c r="G550" s="2" t="s">
        <v>1717</v>
      </c>
      <c r="H550" s="2" t="s">
        <v>646</v>
      </c>
      <c r="I550" s="3">
        <f t="shared" si="9"/>
        <v>470</v>
      </c>
    </row>
    <row r="551" spans="1:9" ht="60" x14ac:dyDescent="0.3">
      <c r="A551" s="2" t="s">
        <v>212</v>
      </c>
      <c r="B551" s="2" t="s">
        <v>619</v>
      </c>
      <c r="C551" s="2" t="s">
        <v>8081</v>
      </c>
      <c r="D551" s="2" t="s">
        <v>8082</v>
      </c>
      <c r="E551" s="2" t="s">
        <v>39</v>
      </c>
      <c r="F551" s="2"/>
      <c r="G551" s="2"/>
      <c r="H551" s="2" t="s">
        <v>402</v>
      </c>
      <c r="I551" s="3">
        <f t="shared" si="9"/>
        <v>471</v>
      </c>
    </row>
    <row r="552" spans="1:9" ht="60" x14ac:dyDescent="0.3">
      <c r="A552" s="2" t="s">
        <v>212</v>
      </c>
      <c r="B552" s="2" t="s">
        <v>8085</v>
      </c>
      <c r="C552" s="2" t="s">
        <v>422</v>
      </c>
      <c r="D552" s="2" t="s">
        <v>9210</v>
      </c>
      <c r="E552" s="2" t="s">
        <v>8086</v>
      </c>
      <c r="F552" s="2" t="s">
        <v>4117</v>
      </c>
      <c r="G552" s="2" t="s">
        <v>1717</v>
      </c>
      <c r="H552" s="2"/>
      <c r="I552" s="3">
        <f t="shared" si="9"/>
        <v>472</v>
      </c>
    </row>
    <row r="553" spans="1:9" ht="60" x14ac:dyDescent="0.3">
      <c r="A553" s="2" t="s">
        <v>212</v>
      </c>
      <c r="B553" s="2" t="s">
        <v>8095</v>
      </c>
      <c r="C553" s="2" t="s">
        <v>8096</v>
      </c>
      <c r="D553" s="2" t="s">
        <v>9215</v>
      </c>
      <c r="E553" s="2" t="s">
        <v>39</v>
      </c>
      <c r="F553" s="2" t="s">
        <v>4117</v>
      </c>
      <c r="G553" s="2" t="s">
        <v>350</v>
      </c>
      <c r="H553" s="2"/>
      <c r="I553" s="3">
        <f t="shared" si="9"/>
        <v>472</v>
      </c>
    </row>
    <row r="554" spans="1:9" ht="60" x14ac:dyDescent="0.3">
      <c r="A554" s="2" t="s">
        <v>212</v>
      </c>
      <c r="B554" s="2" t="s">
        <v>8088</v>
      </c>
      <c r="C554" s="2" t="s">
        <v>8089</v>
      </c>
      <c r="D554" s="2" t="s">
        <v>9212</v>
      </c>
      <c r="E554" s="2" t="s">
        <v>1188</v>
      </c>
      <c r="F554" s="2" t="s">
        <v>4117</v>
      </c>
      <c r="G554" s="2" t="s">
        <v>1717</v>
      </c>
      <c r="H554" s="2" t="s">
        <v>1176</v>
      </c>
      <c r="I554" s="3">
        <f t="shared" ref="I554:I585" si="10">LEN(D554)</f>
        <v>473</v>
      </c>
    </row>
    <row r="555" spans="1:9" ht="60" x14ac:dyDescent="0.3">
      <c r="A555" s="2" t="s">
        <v>212</v>
      </c>
      <c r="B555" s="2" t="s">
        <v>8090</v>
      </c>
      <c r="C555" s="2" t="s">
        <v>8091</v>
      </c>
      <c r="D555" s="2" t="s">
        <v>9213</v>
      </c>
      <c r="E555" s="2" t="s">
        <v>5406</v>
      </c>
      <c r="F555" s="2" t="s">
        <v>1778</v>
      </c>
      <c r="G555" s="2" t="s">
        <v>1717</v>
      </c>
      <c r="H555" s="2" t="s">
        <v>86</v>
      </c>
      <c r="I555" s="3">
        <f t="shared" si="10"/>
        <v>473</v>
      </c>
    </row>
    <row r="556" spans="1:9" ht="60" x14ac:dyDescent="0.3">
      <c r="A556" s="2" t="s">
        <v>212</v>
      </c>
      <c r="B556" s="2" t="s">
        <v>8094</v>
      </c>
      <c r="C556" s="2" t="s">
        <v>2730</v>
      </c>
      <c r="D556" s="2" t="s">
        <v>9214</v>
      </c>
      <c r="E556" s="2" t="s">
        <v>2136</v>
      </c>
      <c r="F556" s="2" t="s">
        <v>4117</v>
      </c>
      <c r="G556" s="2" t="s">
        <v>1717</v>
      </c>
      <c r="H556" s="2"/>
      <c r="I556" s="3">
        <f t="shared" si="10"/>
        <v>474</v>
      </c>
    </row>
    <row r="557" spans="1:9" ht="60" x14ac:dyDescent="0.3">
      <c r="A557" s="2" t="s">
        <v>212</v>
      </c>
      <c r="B557" s="2" t="s">
        <v>8104</v>
      </c>
      <c r="C557" s="2"/>
      <c r="D557" s="2" t="s">
        <v>9216</v>
      </c>
      <c r="E557" s="2" t="s">
        <v>39</v>
      </c>
      <c r="F557" s="2" t="s">
        <v>3082</v>
      </c>
      <c r="G557" s="2" t="s">
        <v>1717</v>
      </c>
      <c r="H557" s="2"/>
      <c r="I557" s="3">
        <f t="shared" si="10"/>
        <v>476</v>
      </c>
    </row>
    <row r="558" spans="1:9" ht="60" x14ac:dyDescent="0.3">
      <c r="A558" s="2" t="s">
        <v>212</v>
      </c>
      <c r="B558" s="2" t="s">
        <v>8115</v>
      </c>
      <c r="C558" s="2" t="s">
        <v>7517</v>
      </c>
      <c r="D558" s="2" t="s">
        <v>9217</v>
      </c>
      <c r="E558" s="2" t="s">
        <v>2568</v>
      </c>
      <c r="F558" s="2" t="s">
        <v>4117</v>
      </c>
      <c r="G558" s="2" t="s">
        <v>350</v>
      </c>
      <c r="H558" s="2"/>
      <c r="I558" s="3">
        <f t="shared" si="10"/>
        <v>480</v>
      </c>
    </row>
    <row r="559" spans="1:9" ht="60" x14ac:dyDescent="0.3">
      <c r="A559" s="2" t="s">
        <v>212</v>
      </c>
      <c r="B559" s="2" t="s">
        <v>8121</v>
      </c>
      <c r="C559" s="2" t="s">
        <v>1255</v>
      </c>
      <c r="D559" s="2" t="s">
        <v>9218</v>
      </c>
      <c r="E559" s="2" t="s">
        <v>918</v>
      </c>
      <c r="F559" s="2" t="s">
        <v>4117</v>
      </c>
      <c r="G559" s="2" t="s">
        <v>1717</v>
      </c>
      <c r="H559" s="2"/>
      <c r="I559" s="3">
        <f t="shared" si="10"/>
        <v>482</v>
      </c>
    </row>
    <row r="560" spans="1:9" ht="60" x14ac:dyDescent="0.3">
      <c r="A560" s="2" t="s">
        <v>212</v>
      </c>
      <c r="B560" s="2" t="s">
        <v>1634</v>
      </c>
      <c r="C560" s="2" t="s">
        <v>206</v>
      </c>
      <c r="D560" s="2" t="s">
        <v>9219</v>
      </c>
      <c r="E560" s="2" t="s">
        <v>39</v>
      </c>
      <c r="F560" s="2" t="s">
        <v>4117</v>
      </c>
      <c r="G560" s="2" t="s">
        <v>350</v>
      </c>
      <c r="H560" s="2" t="s">
        <v>3494</v>
      </c>
      <c r="I560" s="3">
        <f t="shared" si="10"/>
        <v>484</v>
      </c>
    </row>
    <row r="561" spans="1:9" ht="60" x14ac:dyDescent="0.3">
      <c r="A561" s="2" t="s">
        <v>212</v>
      </c>
      <c r="B561" s="2" t="s">
        <v>7715</v>
      </c>
      <c r="C561" s="2" t="s">
        <v>7517</v>
      </c>
      <c r="D561" s="2" t="s">
        <v>9220</v>
      </c>
      <c r="E561" s="2" t="s">
        <v>2136</v>
      </c>
      <c r="F561" s="2" t="s">
        <v>350</v>
      </c>
      <c r="G561" s="2" t="s">
        <v>350</v>
      </c>
      <c r="H561" s="2"/>
      <c r="I561" s="3">
        <f t="shared" si="10"/>
        <v>486</v>
      </c>
    </row>
    <row r="562" spans="1:9" ht="60" x14ac:dyDescent="0.3">
      <c r="A562" s="2" t="s">
        <v>212</v>
      </c>
      <c r="B562" s="2" t="s">
        <v>8134</v>
      </c>
      <c r="C562" s="2" t="s">
        <v>8135</v>
      </c>
      <c r="D562" s="2" t="s">
        <v>9221</v>
      </c>
      <c r="E562" s="2" t="s">
        <v>39</v>
      </c>
      <c r="F562" s="2" t="s">
        <v>2281</v>
      </c>
      <c r="G562" s="2" t="s">
        <v>1717</v>
      </c>
      <c r="H562" s="2" t="s">
        <v>646</v>
      </c>
      <c r="I562" s="3">
        <f t="shared" si="10"/>
        <v>486</v>
      </c>
    </row>
    <row r="563" spans="1:9" ht="60" x14ac:dyDescent="0.3">
      <c r="A563" s="2" t="s">
        <v>212</v>
      </c>
      <c r="B563" s="2" t="s">
        <v>8130</v>
      </c>
      <c r="C563" s="2" t="s">
        <v>535</v>
      </c>
      <c r="D563" s="2" t="s">
        <v>8131</v>
      </c>
      <c r="E563" s="2" t="s">
        <v>39</v>
      </c>
      <c r="F563" s="2"/>
      <c r="G563" s="2"/>
      <c r="H563" s="2"/>
      <c r="I563" s="3">
        <f t="shared" si="10"/>
        <v>487</v>
      </c>
    </row>
    <row r="564" spans="1:9" ht="60" x14ac:dyDescent="0.3">
      <c r="A564" s="2" t="s">
        <v>212</v>
      </c>
      <c r="B564" s="2" t="s">
        <v>8132</v>
      </c>
      <c r="C564" s="2" t="s">
        <v>8133</v>
      </c>
      <c r="D564" s="2" t="s">
        <v>8710</v>
      </c>
      <c r="E564" s="2" t="s">
        <v>2568</v>
      </c>
      <c r="F564" s="2"/>
      <c r="G564" s="2" t="s">
        <v>350</v>
      </c>
      <c r="H564" s="2" t="s">
        <v>898</v>
      </c>
      <c r="I564" s="3">
        <f t="shared" si="10"/>
        <v>488</v>
      </c>
    </row>
    <row r="565" spans="1:9" ht="60" x14ac:dyDescent="0.3">
      <c r="A565" s="2" t="s">
        <v>212</v>
      </c>
      <c r="B565" s="2" t="s">
        <v>8136</v>
      </c>
      <c r="C565" s="2" t="s">
        <v>2730</v>
      </c>
      <c r="D565" s="2" t="s">
        <v>9222</v>
      </c>
      <c r="E565" s="2" t="s">
        <v>2568</v>
      </c>
      <c r="F565" s="2" t="s">
        <v>350</v>
      </c>
      <c r="G565" s="2" t="s">
        <v>1717</v>
      </c>
      <c r="H565" s="2"/>
      <c r="I565" s="3">
        <f t="shared" si="10"/>
        <v>488</v>
      </c>
    </row>
    <row r="566" spans="1:9" ht="60" x14ac:dyDescent="0.3">
      <c r="A566" s="2" t="s">
        <v>212</v>
      </c>
      <c r="B566" s="2" t="s">
        <v>8141</v>
      </c>
      <c r="C566" s="2" t="s">
        <v>5048</v>
      </c>
      <c r="D566" s="2" t="s">
        <v>9223</v>
      </c>
      <c r="E566" s="2" t="s">
        <v>1494</v>
      </c>
      <c r="F566" s="2" t="s">
        <v>4117</v>
      </c>
      <c r="G566" s="2" t="s">
        <v>1717</v>
      </c>
      <c r="H566" s="2" t="s">
        <v>898</v>
      </c>
      <c r="I566" s="3">
        <f t="shared" si="10"/>
        <v>490</v>
      </c>
    </row>
    <row r="567" spans="1:9" ht="60" x14ac:dyDescent="0.3">
      <c r="A567" s="2" t="s">
        <v>212</v>
      </c>
      <c r="B567" s="2" t="s">
        <v>8142</v>
      </c>
      <c r="C567" s="2" t="s">
        <v>64</v>
      </c>
      <c r="D567" s="2" t="s">
        <v>9224</v>
      </c>
      <c r="E567" s="2"/>
      <c r="F567" s="2" t="s">
        <v>1778</v>
      </c>
      <c r="G567" s="2" t="s">
        <v>1717</v>
      </c>
      <c r="H567" s="2" t="s">
        <v>646</v>
      </c>
      <c r="I567" s="3">
        <f t="shared" si="10"/>
        <v>491</v>
      </c>
    </row>
    <row r="568" spans="1:9" ht="60" x14ac:dyDescent="0.3">
      <c r="A568" s="2" t="s">
        <v>212</v>
      </c>
      <c r="B568" s="2" t="s">
        <v>8143</v>
      </c>
      <c r="C568" s="2" t="s">
        <v>8144</v>
      </c>
      <c r="D568" s="2" t="s">
        <v>9225</v>
      </c>
      <c r="E568" s="2" t="s">
        <v>39</v>
      </c>
      <c r="F568" s="2" t="s">
        <v>1778</v>
      </c>
      <c r="G568" s="2" t="s">
        <v>4507</v>
      </c>
      <c r="H568" s="2" t="s">
        <v>194</v>
      </c>
      <c r="I568" s="3">
        <f t="shared" si="10"/>
        <v>491</v>
      </c>
    </row>
    <row r="569" spans="1:9" ht="60" x14ac:dyDescent="0.3">
      <c r="A569" s="2" t="s">
        <v>212</v>
      </c>
      <c r="B569" s="2" t="s">
        <v>8151</v>
      </c>
      <c r="C569" s="2" t="s">
        <v>8045</v>
      </c>
      <c r="D569" s="2" t="s">
        <v>9226</v>
      </c>
      <c r="E569" s="2" t="s">
        <v>39</v>
      </c>
      <c r="F569" s="2" t="s">
        <v>4117</v>
      </c>
      <c r="G569" s="2" t="s">
        <v>350</v>
      </c>
      <c r="H569" s="2"/>
      <c r="I569" s="3">
        <f t="shared" si="10"/>
        <v>493</v>
      </c>
    </row>
    <row r="570" spans="1:9" ht="60" x14ac:dyDescent="0.3">
      <c r="A570" s="2" t="s">
        <v>212</v>
      </c>
      <c r="B570" s="2" t="s">
        <v>4703</v>
      </c>
      <c r="C570" s="2" t="s">
        <v>8152</v>
      </c>
      <c r="D570" s="2" t="s">
        <v>9227</v>
      </c>
      <c r="E570" s="2" t="s">
        <v>2136</v>
      </c>
      <c r="F570" s="2" t="s">
        <v>4117</v>
      </c>
      <c r="G570" s="2" t="s">
        <v>350</v>
      </c>
      <c r="H570" s="2"/>
      <c r="I570" s="3">
        <f t="shared" si="10"/>
        <v>493</v>
      </c>
    </row>
    <row r="571" spans="1:9" ht="60" x14ac:dyDescent="0.3">
      <c r="A571" s="2" t="s">
        <v>212</v>
      </c>
      <c r="B571" s="2" t="s">
        <v>8159</v>
      </c>
      <c r="C571" s="2" t="s">
        <v>1326</v>
      </c>
      <c r="D571" s="2" t="s">
        <v>9228</v>
      </c>
      <c r="E571" s="2" t="s">
        <v>39</v>
      </c>
      <c r="F571" s="2" t="s">
        <v>3082</v>
      </c>
      <c r="G571" s="2" t="s">
        <v>1717</v>
      </c>
      <c r="H571" s="2"/>
      <c r="I571" s="3">
        <f t="shared" si="10"/>
        <v>495</v>
      </c>
    </row>
    <row r="572" spans="1:9" ht="60" x14ac:dyDescent="0.3">
      <c r="A572" s="2" t="s">
        <v>212</v>
      </c>
      <c r="B572" s="2" t="s">
        <v>7012</v>
      </c>
      <c r="C572" s="2" t="s">
        <v>958</v>
      </c>
      <c r="D572" s="2" t="s">
        <v>9229</v>
      </c>
      <c r="E572" s="2" t="s">
        <v>2136</v>
      </c>
      <c r="F572" s="2" t="s">
        <v>4117</v>
      </c>
      <c r="G572" s="2" t="s">
        <v>350</v>
      </c>
      <c r="H572" s="2" t="s">
        <v>646</v>
      </c>
      <c r="I572" s="3">
        <f t="shared" si="10"/>
        <v>499</v>
      </c>
    </row>
    <row r="573" spans="1:9" ht="60" x14ac:dyDescent="0.3">
      <c r="A573" s="2" t="s">
        <v>212</v>
      </c>
      <c r="B573" s="2" t="s">
        <v>8162</v>
      </c>
      <c r="C573" s="2" t="s">
        <v>160</v>
      </c>
      <c r="D573" s="2" t="s">
        <v>8163</v>
      </c>
      <c r="E573" s="2" t="s">
        <v>39</v>
      </c>
      <c r="F573" s="2"/>
      <c r="G573" s="2"/>
      <c r="H573" s="2"/>
      <c r="I573" s="3">
        <f t="shared" si="10"/>
        <v>500</v>
      </c>
    </row>
    <row r="574" spans="1:9" ht="72" x14ac:dyDescent="0.3">
      <c r="A574" s="2" t="s">
        <v>212</v>
      </c>
      <c r="B574" s="2" t="s">
        <v>8175</v>
      </c>
      <c r="C574" s="2" t="s">
        <v>8069</v>
      </c>
      <c r="D574" s="2" t="s">
        <v>9230</v>
      </c>
      <c r="E574" s="2" t="s">
        <v>2524</v>
      </c>
      <c r="F574" s="2" t="s">
        <v>4117</v>
      </c>
      <c r="G574" s="2" t="s">
        <v>1717</v>
      </c>
      <c r="H574" s="2"/>
      <c r="I574" s="3">
        <f t="shared" si="10"/>
        <v>502</v>
      </c>
    </row>
    <row r="575" spans="1:9" ht="72" x14ac:dyDescent="0.3">
      <c r="A575" s="2" t="s">
        <v>212</v>
      </c>
      <c r="B575" s="2" t="s">
        <v>8178</v>
      </c>
      <c r="C575" s="2" t="s">
        <v>480</v>
      </c>
      <c r="D575" s="2" t="s">
        <v>9231</v>
      </c>
      <c r="E575" s="2" t="s">
        <v>3545</v>
      </c>
      <c r="F575" s="2" t="s">
        <v>4117</v>
      </c>
      <c r="G575" s="2" t="s">
        <v>1717</v>
      </c>
      <c r="H575" s="2" t="s">
        <v>646</v>
      </c>
      <c r="I575" s="3">
        <f t="shared" si="10"/>
        <v>504</v>
      </c>
    </row>
    <row r="576" spans="1:9" ht="72" x14ac:dyDescent="0.3">
      <c r="A576" s="2" t="s">
        <v>212</v>
      </c>
      <c r="B576" s="2" t="s">
        <v>8176</v>
      </c>
      <c r="C576" s="2" t="s">
        <v>1255</v>
      </c>
      <c r="D576" s="2" t="s">
        <v>8177</v>
      </c>
      <c r="E576" s="2" t="s">
        <v>39</v>
      </c>
      <c r="F576" s="2"/>
      <c r="G576" s="2"/>
      <c r="H576" s="2"/>
      <c r="I576" s="3">
        <f t="shared" si="10"/>
        <v>506</v>
      </c>
    </row>
    <row r="577" spans="1:9" ht="60" x14ac:dyDescent="0.3">
      <c r="A577" s="2" t="s">
        <v>212</v>
      </c>
      <c r="B577" s="2" t="s">
        <v>8185</v>
      </c>
      <c r="C577" s="2" t="s">
        <v>70</v>
      </c>
      <c r="D577" s="2" t="s">
        <v>9232</v>
      </c>
      <c r="E577" s="2" t="s">
        <v>39</v>
      </c>
      <c r="F577" s="2" t="s">
        <v>3082</v>
      </c>
      <c r="G577" s="2" t="s">
        <v>1717</v>
      </c>
      <c r="H577" s="2" t="s">
        <v>646</v>
      </c>
      <c r="I577" s="3">
        <f t="shared" si="10"/>
        <v>509</v>
      </c>
    </row>
    <row r="578" spans="1:9" ht="60" x14ac:dyDescent="0.3">
      <c r="A578" s="2" t="s">
        <v>212</v>
      </c>
      <c r="B578" s="2" t="s">
        <v>8182</v>
      </c>
      <c r="C578" s="2"/>
      <c r="D578" s="2" t="s">
        <v>8183</v>
      </c>
      <c r="E578" s="2" t="s">
        <v>39</v>
      </c>
      <c r="F578" s="2"/>
      <c r="G578" s="2"/>
      <c r="H578" s="2"/>
      <c r="I578" s="3">
        <f t="shared" si="10"/>
        <v>511</v>
      </c>
    </row>
    <row r="579" spans="1:9" ht="72" x14ac:dyDescent="0.3">
      <c r="A579" s="2" t="s">
        <v>212</v>
      </c>
      <c r="B579" s="2" t="s">
        <v>8175</v>
      </c>
      <c r="C579" s="2" t="s">
        <v>8069</v>
      </c>
      <c r="D579" s="2" t="s">
        <v>9233</v>
      </c>
      <c r="E579" s="2" t="s">
        <v>4552</v>
      </c>
      <c r="F579" s="2" t="s">
        <v>4117</v>
      </c>
      <c r="G579" s="2" t="s">
        <v>1717</v>
      </c>
      <c r="H579" s="2"/>
      <c r="I579" s="3">
        <f t="shared" si="10"/>
        <v>513</v>
      </c>
    </row>
    <row r="580" spans="1:9" ht="72" x14ac:dyDescent="0.3">
      <c r="A580" s="2" t="s">
        <v>212</v>
      </c>
      <c r="B580" s="2" t="s">
        <v>8192</v>
      </c>
      <c r="C580" s="2" t="s">
        <v>8193</v>
      </c>
      <c r="D580" s="2" t="s">
        <v>9234</v>
      </c>
      <c r="E580" s="2" t="s">
        <v>39</v>
      </c>
      <c r="F580" s="2" t="s">
        <v>1778</v>
      </c>
      <c r="G580" s="2" t="s">
        <v>1717</v>
      </c>
      <c r="H580" s="2" t="s">
        <v>1176</v>
      </c>
      <c r="I580" s="3">
        <f t="shared" si="10"/>
        <v>513</v>
      </c>
    </row>
    <row r="581" spans="1:9" ht="72" x14ac:dyDescent="0.3">
      <c r="A581" s="2" t="s">
        <v>212</v>
      </c>
      <c r="B581" s="2" t="s">
        <v>8207</v>
      </c>
      <c r="C581" s="2" t="s">
        <v>446</v>
      </c>
      <c r="D581" s="2" t="s">
        <v>9235</v>
      </c>
      <c r="E581" s="2" t="s">
        <v>674</v>
      </c>
      <c r="F581" s="2" t="s">
        <v>4117</v>
      </c>
      <c r="G581" s="2" t="s">
        <v>1717</v>
      </c>
      <c r="H581" s="2"/>
      <c r="I581" s="3">
        <f t="shared" si="10"/>
        <v>527</v>
      </c>
    </row>
    <row r="582" spans="1:9" ht="60" x14ac:dyDescent="0.3">
      <c r="A582" s="2" t="s">
        <v>212</v>
      </c>
      <c r="B582" s="2" t="s">
        <v>8224</v>
      </c>
      <c r="C582" s="2" t="s">
        <v>8225</v>
      </c>
      <c r="D582" s="2" t="s">
        <v>9236</v>
      </c>
      <c r="E582" s="2" t="s">
        <v>39</v>
      </c>
      <c r="F582" s="2" t="s">
        <v>350</v>
      </c>
      <c r="G582" s="2" t="s">
        <v>350</v>
      </c>
      <c r="H582" s="2" t="s">
        <v>1176</v>
      </c>
      <c r="I582" s="3">
        <f t="shared" si="10"/>
        <v>530</v>
      </c>
    </row>
    <row r="583" spans="1:9" ht="72" x14ac:dyDescent="0.3">
      <c r="A583" s="2" t="s">
        <v>212</v>
      </c>
      <c r="B583" s="2" t="s">
        <v>8226</v>
      </c>
      <c r="C583" s="2" t="s">
        <v>8227</v>
      </c>
      <c r="D583" s="2" t="s">
        <v>9237</v>
      </c>
      <c r="E583" s="2" t="s">
        <v>3980</v>
      </c>
      <c r="F583" s="2" t="s">
        <v>4117</v>
      </c>
      <c r="G583" s="2" t="s">
        <v>1717</v>
      </c>
      <c r="H583" s="2"/>
      <c r="I583" s="3">
        <f t="shared" si="10"/>
        <v>532</v>
      </c>
    </row>
    <row r="584" spans="1:9" ht="72" x14ac:dyDescent="0.3">
      <c r="A584" s="2" t="s">
        <v>212</v>
      </c>
      <c r="B584" s="2" t="s">
        <v>8235</v>
      </c>
      <c r="C584" s="2" t="s">
        <v>332</v>
      </c>
      <c r="D584" s="2" t="s">
        <v>8236</v>
      </c>
      <c r="E584" s="2" t="s">
        <v>3643</v>
      </c>
      <c r="F584" s="2"/>
      <c r="G584" s="2"/>
      <c r="H584" s="2" t="s">
        <v>1176</v>
      </c>
      <c r="I584" s="3">
        <f t="shared" si="10"/>
        <v>539</v>
      </c>
    </row>
    <row r="585" spans="1:9" ht="72" x14ac:dyDescent="0.3">
      <c r="A585" s="2" t="s">
        <v>212</v>
      </c>
      <c r="B585" s="2" t="s">
        <v>8244</v>
      </c>
      <c r="C585" s="2" t="s">
        <v>5920</v>
      </c>
      <c r="D585" s="2" t="s">
        <v>9238</v>
      </c>
      <c r="E585" s="2" t="s">
        <v>39</v>
      </c>
      <c r="F585" s="2" t="s">
        <v>1778</v>
      </c>
      <c r="G585" s="2" t="s">
        <v>1717</v>
      </c>
      <c r="H585" s="2"/>
      <c r="I585" s="3">
        <f t="shared" si="10"/>
        <v>539</v>
      </c>
    </row>
    <row r="586" spans="1:9" ht="72" x14ac:dyDescent="0.3">
      <c r="A586" s="2" t="s">
        <v>212</v>
      </c>
      <c r="B586" s="2" t="s">
        <v>5666</v>
      </c>
      <c r="C586" s="2" t="s">
        <v>7267</v>
      </c>
      <c r="D586" s="2" t="s">
        <v>9239</v>
      </c>
      <c r="E586" s="2" t="s">
        <v>5639</v>
      </c>
      <c r="F586" s="2" t="s">
        <v>1778</v>
      </c>
      <c r="G586" s="2" t="s">
        <v>1717</v>
      </c>
      <c r="H586" s="2" t="s">
        <v>646</v>
      </c>
      <c r="I586" s="3">
        <f t="shared" ref="I586:I617" si="11">LEN(D586)</f>
        <v>539</v>
      </c>
    </row>
    <row r="587" spans="1:9" ht="72" x14ac:dyDescent="0.3">
      <c r="A587" s="2" t="s">
        <v>212</v>
      </c>
      <c r="B587" s="2" t="s">
        <v>8245</v>
      </c>
      <c r="C587" s="2" t="s">
        <v>8246</v>
      </c>
      <c r="D587" s="2" t="s">
        <v>9240</v>
      </c>
      <c r="E587" s="2" t="s">
        <v>39</v>
      </c>
      <c r="F587" s="2" t="s">
        <v>350</v>
      </c>
      <c r="G587" s="2" t="s">
        <v>1717</v>
      </c>
      <c r="H587" s="2"/>
      <c r="I587" s="3">
        <f t="shared" si="11"/>
        <v>541</v>
      </c>
    </row>
    <row r="588" spans="1:9" ht="72" x14ac:dyDescent="0.3">
      <c r="A588" s="2" t="s">
        <v>212</v>
      </c>
      <c r="B588" s="2" t="s">
        <v>8247</v>
      </c>
      <c r="C588" s="2" t="s">
        <v>81</v>
      </c>
      <c r="D588" s="2" t="s">
        <v>9241</v>
      </c>
      <c r="E588" s="2" t="s">
        <v>39</v>
      </c>
      <c r="F588" s="2" t="s">
        <v>350</v>
      </c>
      <c r="G588" s="2" t="s">
        <v>1717</v>
      </c>
      <c r="H588" s="2"/>
      <c r="I588" s="3">
        <f t="shared" si="11"/>
        <v>541</v>
      </c>
    </row>
    <row r="589" spans="1:9" ht="72" x14ac:dyDescent="0.3">
      <c r="A589" s="2" t="s">
        <v>212</v>
      </c>
      <c r="B589" s="2" t="s">
        <v>8252</v>
      </c>
      <c r="C589" s="2" t="s">
        <v>8253</v>
      </c>
      <c r="D589" s="2" t="s">
        <v>8254</v>
      </c>
      <c r="E589" s="2" t="s">
        <v>39</v>
      </c>
      <c r="F589" s="2"/>
      <c r="G589" s="2"/>
      <c r="H589" s="2" t="s">
        <v>537</v>
      </c>
      <c r="I589" s="3">
        <f t="shared" si="11"/>
        <v>545</v>
      </c>
    </row>
    <row r="590" spans="1:9" ht="72" x14ac:dyDescent="0.3">
      <c r="A590" s="2" t="s">
        <v>212</v>
      </c>
      <c r="B590" s="2" t="s">
        <v>6598</v>
      </c>
      <c r="C590" s="2" t="s">
        <v>8263</v>
      </c>
      <c r="D590" s="2" t="s">
        <v>9242</v>
      </c>
      <c r="E590" s="2" t="s">
        <v>2824</v>
      </c>
      <c r="F590" s="2" t="s">
        <v>2281</v>
      </c>
      <c r="G590" s="2" t="s">
        <v>1717</v>
      </c>
      <c r="H590" s="2" t="s">
        <v>1644</v>
      </c>
      <c r="I590" s="3">
        <f t="shared" si="11"/>
        <v>546</v>
      </c>
    </row>
    <row r="591" spans="1:9" ht="72" x14ac:dyDescent="0.3">
      <c r="A591" s="2" t="s">
        <v>212</v>
      </c>
      <c r="B591" s="2" t="s">
        <v>8266</v>
      </c>
      <c r="C591" s="2" t="s">
        <v>8267</v>
      </c>
      <c r="D591" s="2" t="s">
        <v>9243</v>
      </c>
      <c r="E591" s="2" t="s">
        <v>39</v>
      </c>
      <c r="F591" s="2" t="s">
        <v>1778</v>
      </c>
      <c r="G591" s="2" t="s">
        <v>1717</v>
      </c>
      <c r="H591" s="2"/>
      <c r="I591" s="3">
        <f t="shared" si="11"/>
        <v>548</v>
      </c>
    </row>
    <row r="592" spans="1:9" ht="72" x14ac:dyDescent="0.3">
      <c r="A592" s="2" t="s">
        <v>212</v>
      </c>
      <c r="B592" s="2" t="s">
        <v>8277</v>
      </c>
      <c r="C592" s="2" t="s">
        <v>446</v>
      </c>
      <c r="D592" s="2" t="s">
        <v>9244</v>
      </c>
      <c r="E592" s="2" t="s">
        <v>674</v>
      </c>
      <c r="F592" s="2" t="s">
        <v>4117</v>
      </c>
      <c r="G592" s="2" t="s">
        <v>1717</v>
      </c>
      <c r="H592" s="2"/>
      <c r="I592" s="3">
        <f t="shared" si="11"/>
        <v>554</v>
      </c>
    </row>
    <row r="593" spans="1:9" ht="72" x14ac:dyDescent="0.3">
      <c r="A593" s="2" t="s">
        <v>212</v>
      </c>
      <c r="B593" s="2" t="s">
        <v>8278</v>
      </c>
      <c r="C593" s="2" t="s">
        <v>8279</v>
      </c>
      <c r="D593" s="2" t="s">
        <v>9245</v>
      </c>
      <c r="E593" s="2" t="s">
        <v>39</v>
      </c>
      <c r="F593" s="2" t="s">
        <v>1778</v>
      </c>
      <c r="G593" s="2" t="s">
        <v>1717</v>
      </c>
      <c r="H593" s="2"/>
      <c r="I593" s="3">
        <f t="shared" si="11"/>
        <v>554</v>
      </c>
    </row>
    <row r="594" spans="1:9" ht="72" x14ac:dyDescent="0.3">
      <c r="A594" s="2" t="s">
        <v>212</v>
      </c>
      <c r="B594" s="2" t="s">
        <v>8284</v>
      </c>
      <c r="C594" s="2" t="s">
        <v>8285</v>
      </c>
      <c r="D594" s="2" t="s">
        <v>9246</v>
      </c>
      <c r="E594" s="2" t="s">
        <v>2693</v>
      </c>
      <c r="F594" s="2" t="s">
        <v>1778</v>
      </c>
      <c r="G594" s="2" t="s">
        <v>1717</v>
      </c>
      <c r="H594" s="2"/>
      <c r="I594" s="3">
        <f t="shared" si="11"/>
        <v>556</v>
      </c>
    </row>
    <row r="595" spans="1:9" ht="72" x14ac:dyDescent="0.3">
      <c r="A595" s="2" t="s">
        <v>212</v>
      </c>
      <c r="B595" s="2" t="s">
        <v>8282</v>
      </c>
      <c r="C595" s="2"/>
      <c r="D595" s="2" t="s">
        <v>8283</v>
      </c>
      <c r="E595" s="2" t="s">
        <v>39</v>
      </c>
      <c r="F595" s="2"/>
      <c r="G595" s="2"/>
      <c r="H595" s="2"/>
      <c r="I595" s="3">
        <f t="shared" si="11"/>
        <v>557</v>
      </c>
    </row>
    <row r="596" spans="1:9" ht="72" x14ac:dyDescent="0.3">
      <c r="A596" s="2" t="s">
        <v>212</v>
      </c>
      <c r="B596" s="2" t="s">
        <v>8288</v>
      </c>
      <c r="C596" s="2"/>
      <c r="D596" s="2" t="s">
        <v>9247</v>
      </c>
      <c r="E596" s="2" t="s">
        <v>39</v>
      </c>
      <c r="F596" s="2" t="s">
        <v>4841</v>
      </c>
      <c r="G596" s="2" t="s">
        <v>1717</v>
      </c>
      <c r="H596" s="2" t="s">
        <v>1176</v>
      </c>
      <c r="I596" s="3">
        <f t="shared" si="11"/>
        <v>558</v>
      </c>
    </row>
    <row r="597" spans="1:9" ht="72" x14ac:dyDescent="0.3">
      <c r="A597" s="2" t="s">
        <v>212</v>
      </c>
      <c r="B597" s="2" t="s">
        <v>8293</v>
      </c>
      <c r="C597" s="2" t="s">
        <v>7705</v>
      </c>
      <c r="D597" s="2" t="s">
        <v>8294</v>
      </c>
      <c r="E597" s="2" t="s">
        <v>39</v>
      </c>
      <c r="F597" s="2"/>
      <c r="G597" s="2" t="s">
        <v>1717</v>
      </c>
      <c r="H597" s="2" t="s">
        <v>1176</v>
      </c>
      <c r="I597" s="3">
        <f t="shared" si="11"/>
        <v>563</v>
      </c>
    </row>
    <row r="598" spans="1:9" ht="72" x14ac:dyDescent="0.3">
      <c r="A598" s="2" t="s">
        <v>212</v>
      </c>
      <c r="B598" s="2" t="s">
        <v>8297</v>
      </c>
      <c r="C598" s="2" t="s">
        <v>8298</v>
      </c>
      <c r="D598" s="2" t="s">
        <v>8299</v>
      </c>
      <c r="E598" s="2" t="s">
        <v>3251</v>
      </c>
      <c r="F598" s="2"/>
      <c r="G598" s="2" t="s">
        <v>1717</v>
      </c>
      <c r="H598" s="2" t="s">
        <v>1176</v>
      </c>
      <c r="I598" s="3">
        <f t="shared" si="11"/>
        <v>564</v>
      </c>
    </row>
    <row r="599" spans="1:9" ht="72" x14ac:dyDescent="0.3">
      <c r="A599" s="2" t="s">
        <v>212</v>
      </c>
      <c r="B599" s="2" t="s">
        <v>8300</v>
      </c>
      <c r="C599" s="2" t="s">
        <v>8301</v>
      </c>
      <c r="D599" s="2" t="s">
        <v>8302</v>
      </c>
      <c r="E599" s="2" t="s">
        <v>3643</v>
      </c>
      <c r="F599" s="2"/>
      <c r="G599" s="2"/>
      <c r="H599" s="2" t="s">
        <v>194</v>
      </c>
      <c r="I599" s="3">
        <f t="shared" si="11"/>
        <v>564</v>
      </c>
    </row>
    <row r="600" spans="1:9" ht="72" x14ac:dyDescent="0.3">
      <c r="A600" s="2" t="s">
        <v>212</v>
      </c>
      <c r="B600" s="2" t="s">
        <v>8305</v>
      </c>
      <c r="C600" s="2" t="s">
        <v>8306</v>
      </c>
      <c r="D600" s="2" t="s">
        <v>9248</v>
      </c>
      <c r="E600" s="2" t="s">
        <v>39</v>
      </c>
      <c r="F600" s="2" t="s">
        <v>2281</v>
      </c>
      <c r="G600" s="2" t="s">
        <v>4507</v>
      </c>
      <c r="H600" s="2" t="s">
        <v>537</v>
      </c>
      <c r="I600" s="3">
        <f t="shared" si="11"/>
        <v>564</v>
      </c>
    </row>
    <row r="601" spans="1:9" ht="72" x14ac:dyDescent="0.3">
      <c r="A601" s="2" t="s">
        <v>212</v>
      </c>
      <c r="B601" s="2" t="s">
        <v>8307</v>
      </c>
      <c r="C601" s="2" t="s">
        <v>7265</v>
      </c>
      <c r="D601" s="2" t="s">
        <v>9249</v>
      </c>
      <c r="E601" s="2" t="s">
        <v>39</v>
      </c>
      <c r="F601" s="2" t="s">
        <v>350</v>
      </c>
      <c r="G601" s="2" t="s">
        <v>350</v>
      </c>
      <c r="H601" s="2"/>
      <c r="I601" s="3">
        <f t="shared" si="11"/>
        <v>564</v>
      </c>
    </row>
    <row r="602" spans="1:9" ht="72" x14ac:dyDescent="0.3">
      <c r="A602" s="2" t="s">
        <v>212</v>
      </c>
      <c r="B602" s="2" t="s">
        <v>7927</v>
      </c>
      <c r="C602" s="2" t="s">
        <v>8310</v>
      </c>
      <c r="D602" s="2" t="s">
        <v>9250</v>
      </c>
      <c r="E602" s="2" t="s">
        <v>8311</v>
      </c>
      <c r="F602" s="2" t="s">
        <v>4117</v>
      </c>
      <c r="G602" s="2" t="s">
        <v>1717</v>
      </c>
      <c r="H602" s="2" t="s">
        <v>86</v>
      </c>
      <c r="I602" s="3">
        <f t="shared" si="11"/>
        <v>565</v>
      </c>
    </row>
    <row r="603" spans="1:9" ht="72" x14ac:dyDescent="0.3">
      <c r="A603" s="2" t="s">
        <v>212</v>
      </c>
      <c r="B603" s="2" t="s">
        <v>8314</v>
      </c>
      <c r="C603" s="2" t="s">
        <v>8315</v>
      </c>
      <c r="D603" s="2" t="s">
        <v>9251</v>
      </c>
      <c r="E603" s="2" t="s">
        <v>39</v>
      </c>
      <c r="F603" s="2" t="s">
        <v>1778</v>
      </c>
      <c r="G603" s="2" t="s">
        <v>1717</v>
      </c>
      <c r="H603" s="2" t="s">
        <v>1176</v>
      </c>
      <c r="I603" s="3">
        <f t="shared" si="11"/>
        <v>566</v>
      </c>
    </row>
    <row r="604" spans="1:9" ht="72" x14ac:dyDescent="0.3">
      <c r="A604" s="2" t="s">
        <v>212</v>
      </c>
      <c r="B604" s="2" t="s">
        <v>1634</v>
      </c>
      <c r="C604" s="2" t="s">
        <v>8312</v>
      </c>
      <c r="D604" s="2" t="s">
        <v>8711</v>
      </c>
      <c r="E604" s="2" t="s">
        <v>8313</v>
      </c>
      <c r="F604" s="2"/>
      <c r="G604" s="2" t="s">
        <v>1717</v>
      </c>
      <c r="H604" s="2" t="s">
        <v>216</v>
      </c>
      <c r="I604" s="3">
        <f t="shared" si="11"/>
        <v>567</v>
      </c>
    </row>
    <row r="605" spans="1:9" ht="72" x14ac:dyDescent="0.3">
      <c r="A605" s="2" t="s">
        <v>212</v>
      </c>
      <c r="B605" s="2" t="s">
        <v>8320</v>
      </c>
      <c r="C605" s="2" t="s">
        <v>389</v>
      </c>
      <c r="D605" s="2" t="s">
        <v>9252</v>
      </c>
      <c r="E605" s="2" t="s">
        <v>616</v>
      </c>
      <c r="F605" s="2" t="s">
        <v>2281</v>
      </c>
      <c r="G605" s="2" t="s">
        <v>1717</v>
      </c>
      <c r="H605" s="2"/>
      <c r="I605" s="3">
        <f t="shared" si="11"/>
        <v>571</v>
      </c>
    </row>
    <row r="606" spans="1:9" ht="72" x14ac:dyDescent="0.3">
      <c r="A606" s="2" t="s">
        <v>212</v>
      </c>
      <c r="B606" s="2" t="s">
        <v>8328</v>
      </c>
      <c r="C606" s="2" t="s">
        <v>437</v>
      </c>
      <c r="D606" s="2" t="s">
        <v>9253</v>
      </c>
      <c r="E606" s="2" t="s">
        <v>39</v>
      </c>
      <c r="F606" s="2" t="s">
        <v>2281</v>
      </c>
      <c r="G606" s="2" t="s">
        <v>4507</v>
      </c>
      <c r="H606" s="2"/>
      <c r="I606" s="3">
        <f t="shared" si="11"/>
        <v>578</v>
      </c>
    </row>
    <row r="607" spans="1:9" ht="72" x14ac:dyDescent="0.3">
      <c r="A607" s="2" t="s">
        <v>212</v>
      </c>
      <c r="B607" s="2" t="s">
        <v>8331</v>
      </c>
      <c r="C607" s="2" t="s">
        <v>7348</v>
      </c>
      <c r="D607" s="2" t="s">
        <v>9254</v>
      </c>
      <c r="E607" s="2" t="s">
        <v>39</v>
      </c>
      <c r="F607" s="2" t="s">
        <v>1778</v>
      </c>
      <c r="G607" s="2" t="s">
        <v>1717</v>
      </c>
      <c r="H607" s="2" t="s">
        <v>194</v>
      </c>
      <c r="I607" s="3">
        <f t="shared" si="11"/>
        <v>579</v>
      </c>
    </row>
    <row r="608" spans="1:9" ht="72" x14ac:dyDescent="0.3">
      <c r="A608" s="2" t="s">
        <v>212</v>
      </c>
      <c r="B608" s="2" t="s">
        <v>8332</v>
      </c>
      <c r="C608" s="2" t="s">
        <v>3656</v>
      </c>
      <c r="D608" s="2" t="s">
        <v>9255</v>
      </c>
      <c r="E608" s="2" t="s">
        <v>2568</v>
      </c>
      <c r="F608" s="2" t="s">
        <v>8333</v>
      </c>
      <c r="G608" s="2" t="s">
        <v>350</v>
      </c>
      <c r="H608" s="2"/>
      <c r="I608" s="3">
        <f t="shared" si="11"/>
        <v>583</v>
      </c>
    </row>
    <row r="609" spans="1:9" ht="72" x14ac:dyDescent="0.3">
      <c r="A609" s="2" t="s">
        <v>212</v>
      </c>
      <c r="B609" s="2" t="s">
        <v>8341</v>
      </c>
      <c r="C609" s="2"/>
      <c r="D609" s="2" t="s">
        <v>9256</v>
      </c>
      <c r="E609" s="2" t="s">
        <v>39</v>
      </c>
      <c r="F609" s="2" t="s">
        <v>2281</v>
      </c>
      <c r="G609" s="2" t="s">
        <v>1717</v>
      </c>
      <c r="H609" s="2" t="s">
        <v>646</v>
      </c>
      <c r="I609" s="3">
        <f t="shared" si="11"/>
        <v>589</v>
      </c>
    </row>
    <row r="610" spans="1:9" ht="72" x14ac:dyDescent="0.3">
      <c r="A610" s="2" t="s">
        <v>212</v>
      </c>
      <c r="B610" s="2" t="s">
        <v>8342</v>
      </c>
      <c r="C610" s="2" t="s">
        <v>8343</v>
      </c>
      <c r="D610" s="2" t="s">
        <v>9257</v>
      </c>
      <c r="E610" s="2" t="s">
        <v>39</v>
      </c>
      <c r="F610" s="2" t="s">
        <v>4117</v>
      </c>
      <c r="G610" s="2" t="s">
        <v>350</v>
      </c>
      <c r="H610" s="2" t="s">
        <v>646</v>
      </c>
      <c r="I610" s="3">
        <f t="shared" si="11"/>
        <v>591</v>
      </c>
    </row>
    <row r="611" spans="1:9" ht="72" x14ac:dyDescent="0.3">
      <c r="A611" s="2" t="s">
        <v>212</v>
      </c>
      <c r="B611" s="2" t="s">
        <v>8344</v>
      </c>
      <c r="C611" s="2"/>
      <c r="D611" s="2" t="s">
        <v>9258</v>
      </c>
      <c r="E611" s="2" t="s">
        <v>39</v>
      </c>
      <c r="F611" s="2" t="s">
        <v>4117</v>
      </c>
      <c r="G611" s="2" t="s">
        <v>1717</v>
      </c>
      <c r="H611" s="2"/>
      <c r="I611" s="3">
        <f t="shared" si="11"/>
        <v>591</v>
      </c>
    </row>
    <row r="612" spans="1:9" ht="72" x14ac:dyDescent="0.3">
      <c r="A612" s="2" t="s">
        <v>212</v>
      </c>
      <c r="B612" s="2" t="s">
        <v>8359</v>
      </c>
      <c r="C612" s="2" t="s">
        <v>7845</v>
      </c>
      <c r="D612" s="2" t="s">
        <v>9259</v>
      </c>
      <c r="E612" s="2" t="s">
        <v>2693</v>
      </c>
      <c r="F612" s="2" t="s">
        <v>350</v>
      </c>
      <c r="G612" s="2" t="s">
        <v>1717</v>
      </c>
      <c r="H612" s="2" t="s">
        <v>1176</v>
      </c>
      <c r="I612" s="3">
        <f t="shared" si="11"/>
        <v>599</v>
      </c>
    </row>
    <row r="613" spans="1:9" ht="72" x14ac:dyDescent="0.3">
      <c r="A613" s="2" t="s">
        <v>212</v>
      </c>
      <c r="B613" s="2" t="s">
        <v>8300</v>
      </c>
      <c r="C613" s="2" t="s">
        <v>8357</v>
      </c>
      <c r="D613" s="2" t="s">
        <v>8358</v>
      </c>
      <c r="E613" s="2" t="s">
        <v>3643</v>
      </c>
      <c r="F613" s="2"/>
      <c r="G613" s="2"/>
      <c r="H613" s="2" t="s">
        <v>646</v>
      </c>
      <c r="I613" s="3">
        <f t="shared" si="11"/>
        <v>600</v>
      </c>
    </row>
    <row r="614" spans="1:9" ht="72" x14ac:dyDescent="0.3">
      <c r="A614" s="2" t="s">
        <v>212</v>
      </c>
      <c r="B614" s="2" t="s">
        <v>8369</v>
      </c>
      <c r="C614" s="2"/>
      <c r="D614" s="2" t="s">
        <v>8370</v>
      </c>
      <c r="E614" s="2" t="s">
        <v>39</v>
      </c>
      <c r="F614" s="2"/>
      <c r="G614" s="2" t="s">
        <v>1717</v>
      </c>
      <c r="H614" s="2"/>
      <c r="I614" s="3">
        <f t="shared" si="11"/>
        <v>608</v>
      </c>
    </row>
    <row r="615" spans="1:9" ht="72" x14ac:dyDescent="0.3">
      <c r="A615" s="2" t="s">
        <v>212</v>
      </c>
      <c r="B615" s="2" t="s">
        <v>8371</v>
      </c>
      <c r="C615" s="2"/>
      <c r="D615" s="2" t="s">
        <v>9260</v>
      </c>
      <c r="E615" s="2"/>
      <c r="F615" s="2" t="s">
        <v>4117</v>
      </c>
      <c r="G615" s="2" t="s">
        <v>1717</v>
      </c>
      <c r="H615" s="2" t="s">
        <v>646</v>
      </c>
      <c r="I615" s="3">
        <f t="shared" si="11"/>
        <v>609</v>
      </c>
    </row>
    <row r="616" spans="1:9" ht="84" x14ac:dyDescent="0.3">
      <c r="A616" s="2" t="s">
        <v>212</v>
      </c>
      <c r="B616" s="2" t="s">
        <v>8380</v>
      </c>
      <c r="C616" s="2" t="s">
        <v>7697</v>
      </c>
      <c r="D616" s="2" t="s">
        <v>9261</v>
      </c>
      <c r="E616" s="2" t="s">
        <v>8381</v>
      </c>
      <c r="F616" s="2" t="s">
        <v>4117</v>
      </c>
      <c r="G616" s="2" t="s">
        <v>1717</v>
      </c>
      <c r="H616" s="2" t="s">
        <v>1176</v>
      </c>
      <c r="I616" s="3">
        <f t="shared" si="11"/>
        <v>612</v>
      </c>
    </row>
    <row r="617" spans="1:9" ht="84" x14ac:dyDescent="0.3">
      <c r="A617" s="2" t="s">
        <v>212</v>
      </c>
      <c r="B617" s="2" t="s">
        <v>7516</v>
      </c>
      <c r="C617" s="2" t="s">
        <v>95</v>
      </c>
      <c r="D617" s="2" t="s">
        <v>9262</v>
      </c>
      <c r="E617" s="2" t="s">
        <v>6316</v>
      </c>
      <c r="F617" s="2" t="s">
        <v>350</v>
      </c>
      <c r="G617" s="2" t="s">
        <v>1717</v>
      </c>
      <c r="H617" s="2" t="s">
        <v>646</v>
      </c>
      <c r="I617" s="3">
        <f t="shared" si="11"/>
        <v>615</v>
      </c>
    </row>
    <row r="618" spans="1:9" ht="84" x14ac:dyDescent="0.3">
      <c r="A618" s="2" t="s">
        <v>212</v>
      </c>
      <c r="B618" s="2" t="s">
        <v>8382</v>
      </c>
      <c r="C618" s="2"/>
      <c r="D618" s="2" t="s">
        <v>8383</v>
      </c>
      <c r="E618" s="2" t="s">
        <v>39</v>
      </c>
      <c r="F618" s="2"/>
      <c r="G618" s="2"/>
      <c r="H618" s="2" t="s">
        <v>646</v>
      </c>
      <c r="I618" s="3">
        <f t="shared" ref="I618:I649" si="12">LEN(D618)</f>
        <v>616</v>
      </c>
    </row>
    <row r="619" spans="1:9" ht="72" x14ac:dyDescent="0.3">
      <c r="A619" s="2" t="s">
        <v>212</v>
      </c>
      <c r="B619" s="2" t="s">
        <v>8384</v>
      </c>
      <c r="C619" s="2" t="s">
        <v>332</v>
      </c>
      <c r="D619" s="2" t="s">
        <v>8385</v>
      </c>
      <c r="E619" s="2" t="s">
        <v>39</v>
      </c>
      <c r="F619" s="2"/>
      <c r="G619" s="2"/>
      <c r="H619" s="2" t="s">
        <v>194</v>
      </c>
      <c r="I619" s="3">
        <f t="shared" si="12"/>
        <v>616</v>
      </c>
    </row>
    <row r="620" spans="1:9" ht="84" x14ac:dyDescent="0.3">
      <c r="A620" s="2" t="s">
        <v>212</v>
      </c>
      <c r="B620" s="2" t="s">
        <v>8388</v>
      </c>
      <c r="C620" s="2" t="s">
        <v>8389</v>
      </c>
      <c r="D620" s="2" t="s">
        <v>9263</v>
      </c>
      <c r="E620" s="2" t="s">
        <v>39</v>
      </c>
      <c r="F620" s="2" t="s">
        <v>4117</v>
      </c>
      <c r="G620" s="2" t="s">
        <v>1717</v>
      </c>
      <c r="H620" s="2" t="s">
        <v>1176</v>
      </c>
      <c r="I620" s="3">
        <f t="shared" si="12"/>
        <v>617</v>
      </c>
    </row>
    <row r="621" spans="1:9" ht="84" x14ac:dyDescent="0.3">
      <c r="A621" s="2" t="s">
        <v>212</v>
      </c>
      <c r="B621" s="2" t="s">
        <v>8390</v>
      </c>
      <c r="C621" s="2" t="s">
        <v>5048</v>
      </c>
      <c r="D621" s="2" t="s">
        <v>9264</v>
      </c>
      <c r="E621" s="2" t="s">
        <v>5017</v>
      </c>
      <c r="F621" s="2" t="s">
        <v>4117</v>
      </c>
      <c r="G621" s="2" t="s">
        <v>1717</v>
      </c>
      <c r="H621" s="2" t="s">
        <v>898</v>
      </c>
      <c r="I621" s="3">
        <f t="shared" si="12"/>
        <v>617</v>
      </c>
    </row>
    <row r="622" spans="1:9" ht="84" x14ac:dyDescent="0.3">
      <c r="A622" s="2" t="s">
        <v>212</v>
      </c>
      <c r="B622" s="2" t="s">
        <v>8400</v>
      </c>
      <c r="C622" s="2" t="s">
        <v>6284</v>
      </c>
      <c r="D622" s="2" t="s">
        <v>9265</v>
      </c>
      <c r="E622" s="2" t="s">
        <v>8401</v>
      </c>
      <c r="F622" s="2" t="s">
        <v>8402</v>
      </c>
      <c r="G622" s="2" t="s">
        <v>350</v>
      </c>
      <c r="H622" s="2"/>
      <c r="I622" s="3">
        <f t="shared" si="12"/>
        <v>626</v>
      </c>
    </row>
    <row r="623" spans="1:9" ht="84" x14ac:dyDescent="0.3">
      <c r="A623" s="2" t="s">
        <v>212</v>
      </c>
      <c r="B623" s="2" t="s">
        <v>8406</v>
      </c>
      <c r="C623" s="2" t="s">
        <v>45</v>
      </c>
      <c r="D623" s="2" t="s">
        <v>9266</v>
      </c>
      <c r="E623" s="2" t="s">
        <v>5171</v>
      </c>
      <c r="F623" s="2" t="s">
        <v>4117</v>
      </c>
      <c r="G623" s="2" t="s">
        <v>1717</v>
      </c>
      <c r="H623" s="2"/>
      <c r="I623" s="3">
        <f t="shared" si="12"/>
        <v>628</v>
      </c>
    </row>
    <row r="624" spans="1:9" ht="84" x14ac:dyDescent="0.3">
      <c r="A624" s="2" t="s">
        <v>212</v>
      </c>
      <c r="B624" s="2" t="s">
        <v>8407</v>
      </c>
      <c r="C624" s="2" t="s">
        <v>8408</v>
      </c>
      <c r="D624" s="2" t="s">
        <v>9267</v>
      </c>
      <c r="E624" s="2" t="s">
        <v>1188</v>
      </c>
      <c r="F624" s="2" t="s">
        <v>4117</v>
      </c>
      <c r="G624" s="2" t="s">
        <v>1717</v>
      </c>
      <c r="H624" s="2"/>
      <c r="I624" s="3">
        <f t="shared" si="12"/>
        <v>632</v>
      </c>
    </row>
    <row r="625" spans="1:9" ht="84" x14ac:dyDescent="0.3">
      <c r="A625" s="2" t="s">
        <v>212</v>
      </c>
      <c r="B625" s="2" t="s">
        <v>8411</v>
      </c>
      <c r="C625" s="2" t="s">
        <v>2057</v>
      </c>
      <c r="D625" s="2" t="s">
        <v>9268</v>
      </c>
      <c r="E625" s="2" t="s">
        <v>39</v>
      </c>
      <c r="F625" s="2" t="s">
        <v>4117</v>
      </c>
      <c r="G625" s="2" t="s">
        <v>1717</v>
      </c>
      <c r="H625" s="2" t="s">
        <v>194</v>
      </c>
      <c r="I625" s="3">
        <f t="shared" si="12"/>
        <v>634</v>
      </c>
    </row>
    <row r="626" spans="1:9" ht="84" x14ac:dyDescent="0.3">
      <c r="A626" s="2" t="s">
        <v>212</v>
      </c>
      <c r="B626" s="2" t="s">
        <v>8412</v>
      </c>
      <c r="C626" s="2" t="s">
        <v>535</v>
      </c>
      <c r="D626" s="2" t="s">
        <v>8413</v>
      </c>
      <c r="E626" s="2" t="s">
        <v>39</v>
      </c>
      <c r="F626" s="2"/>
      <c r="G626" s="2"/>
      <c r="H626" s="2" t="s">
        <v>537</v>
      </c>
      <c r="I626" s="3">
        <f t="shared" si="12"/>
        <v>636</v>
      </c>
    </row>
    <row r="627" spans="1:9" ht="84" x14ac:dyDescent="0.3">
      <c r="A627" s="2" t="s">
        <v>212</v>
      </c>
      <c r="B627" s="2" t="s">
        <v>8417</v>
      </c>
      <c r="C627" s="2" t="s">
        <v>8049</v>
      </c>
      <c r="D627" s="2" t="s">
        <v>8418</v>
      </c>
      <c r="E627" s="2" t="s">
        <v>39</v>
      </c>
      <c r="F627" s="2"/>
      <c r="G627" s="2" t="s">
        <v>350</v>
      </c>
      <c r="H627" s="2" t="s">
        <v>194</v>
      </c>
      <c r="I627" s="3">
        <f t="shared" si="12"/>
        <v>648</v>
      </c>
    </row>
    <row r="628" spans="1:9" ht="84" x14ac:dyDescent="0.3">
      <c r="A628" s="2" t="s">
        <v>212</v>
      </c>
      <c r="B628" s="2" t="s">
        <v>8419</v>
      </c>
      <c r="C628" s="2" t="s">
        <v>8420</v>
      </c>
      <c r="D628" s="2" t="s">
        <v>9269</v>
      </c>
      <c r="E628" s="2" t="s">
        <v>39</v>
      </c>
      <c r="F628" s="2" t="s">
        <v>1778</v>
      </c>
      <c r="G628" s="2" t="s">
        <v>1717</v>
      </c>
      <c r="H628" s="2" t="s">
        <v>646</v>
      </c>
      <c r="I628" s="3">
        <f t="shared" si="12"/>
        <v>649</v>
      </c>
    </row>
    <row r="629" spans="1:9" ht="84" x14ac:dyDescent="0.3">
      <c r="A629" s="2" t="s">
        <v>212</v>
      </c>
      <c r="B629" s="2" t="s">
        <v>8371</v>
      </c>
      <c r="C629" s="2" t="s">
        <v>113</v>
      </c>
      <c r="D629" s="2" t="s">
        <v>9270</v>
      </c>
      <c r="E629" s="2"/>
      <c r="F629" s="2" t="s">
        <v>4117</v>
      </c>
      <c r="G629" s="2" t="s">
        <v>1717</v>
      </c>
      <c r="H629" s="2"/>
      <c r="I629" s="3">
        <f t="shared" si="12"/>
        <v>663</v>
      </c>
    </row>
    <row r="630" spans="1:9" ht="84" x14ac:dyDescent="0.3">
      <c r="A630" s="2" t="s">
        <v>212</v>
      </c>
      <c r="B630" s="2" t="s">
        <v>8435</v>
      </c>
      <c r="C630" s="2" t="s">
        <v>535</v>
      </c>
      <c r="D630" s="2" t="s">
        <v>8436</v>
      </c>
      <c r="E630" s="2" t="s">
        <v>39</v>
      </c>
      <c r="F630" s="2"/>
      <c r="G630" s="2" t="s">
        <v>1717</v>
      </c>
      <c r="H630" s="2" t="s">
        <v>537</v>
      </c>
      <c r="I630" s="3">
        <f t="shared" si="12"/>
        <v>664</v>
      </c>
    </row>
    <row r="631" spans="1:9" ht="84" x14ac:dyDescent="0.3">
      <c r="A631" s="2" t="s">
        <v>212</v>
      </c>
      <c r="B631" s="2" t="s">
        <v>8438</v>
      </c>
      <c r="C631" s="2" t="s">
        <v>8439</v>
      </c>
      <c r="D631" s="2" t="s">
        <v>9271</v>
      </c>
      <c r="E631" s="2" t="s">
        <v>2568</v>
      </c>
      <c r="F631" s="2" t="s">
        <v>4117</v>
      </c>
      <c r="G631" s="2" t="s">
        <v>1717</v>
      </c>
      <c r="H631" s="2"/>
      <c r="I631" s="3">
        <f t="shared" si="12"/>
        <v>666</v>
      </c>
    </row>
    <row r="632" spans="1:9" ht="84" x14ac:dyDescent="0.3">
      <c r="A632" s="2" t="s">
        <v>212</v>
      </c>
      <c r="B632" s="2" t="s">
        <v>8440</v>
      </c>
      <c r="C632" s="2" t="s">
        <v>6522</v>
      </c>
      <c r="D632" s="2" t="s">
        <v>9272</v>
      </c>
      <c r="E632" s="2" t="s">
        <v>2136</v>
      </c>
      <c r="F632" s="2" t="s">
        <v>350</v>
      </c>
      <c r="G632" s="2" t="s">
        <v>350</v>
      </c>
      <c r="H632" s="2" t="s">
        <v>86</v>
      </c>
      <c r="I632" s="3">
        <f t="shared" si="12"/>
        <v>666</v>
      </c>
    </row>
    <row r="633" spans="1:9" ht="84" x14ac:dyDescent="0.3">
      <c r="A633" s="2" t="s">
        <v>212</v>
      </c>
      <c r="B633" s="2" t="s">
        <v>8457</v>
      </c>
      <c r="C633" s="2" t="s">
        <v>2879</v>
      </c>
      <c r="D633" s="2" t="s">
        <v>9273</v>
      </c>
      <c r="E633" s="2" t="s">
        <v>2524</v>
      </c>
      <c r="F633" s="2" t="s">
        <v>1778</v>
      </c>
      <c r="G633" s="2" t="s">
        <v>1717</v>
      </c>
      <c r="H633" s="2" t="s">
        <v>1176</v>
      </c>
      <c r="I633" s="3">
        <f t="shared" si="12"/>
        <v>691</v>
      </c>
    </row>
    <row r="634" spans="1:9" ht="84" x14ac:dyDescent="0.3">
      <c r="A634" s="2" t="s">
        <v>212</v>
      </c>
      <c r="B634" s="2" t="s">
        <v>8458</v>
      </c>
      <c r="C634" s="2" t="s">
        <v>8459</v>
      </c>
      <c r="D634" s="2" t="s">
        <v>8460</v>
      </c>
      <c r="E634" s="2" t="s">
        <v>39</v>
      </c>
      <c r="F634" s="2"/>
      <c r="G634" s="2"/>
      <c r="H634" s="2"/>
      <c r="I634" s="3">
        <f t="shared" si="12"/>
        <v>693</v>
      </c>
    </row>
    <row r="635" spans="1:9" ht="84" x14ac:dyDescent="0.3">
      <c r="A635" s="2" t="s">
        <v>212</v>
      </c>
      <c r="B635" s="2" t="s">
        <v>8465</v>
      </c>
      <c r="C635" s="2" t="s">
        <v>81</v>
      </c>
      <c r="D635" s="2" t="s">
        <v>9274</v>
      </c>
      <c r="E635" s="2" t="s">
        <v>3209</v>
      </c>
      <c r="F635" s="2" t="s">
        <v>350</v>
      </c>
      <c r="G635" s="2" t="s">
        <v>1717</v>
      </c>
      <c r="H635" s="2"/>
      <c r="I635" s="3">
        <f t="shared" si="12"/>
        <v>693</v>
      </c>
    </row>
    <row r="636" spans="1:9" ht="84" x14ac:dyDescent="0.3">
      <c r="A636" s="2" t="s">
        <v>212</v>
      </c>
      <c r="B636" s="2" t="s">
        <v>7715</v>
      </c>
      <c r="C636" s="2" t="s">
        <v>8461</v>
      </c>
      <c r="D636" s="2" t="s">
        <v>8462</v>
      </c>
      <c r="E636" s="2" t="s">
        <v>39</v>
      </c>
      <c r="F636" s="2"/>
      <c r="G636" s="2" t="s">
        <v>1717</v>
      </c>
      <c r="H636" s="2"/>
      <c r="I636" s="3">
        <f t="shared" si="12"/>
        <v>694</v>
      </c>
    </row>
    <row r="637" spans="1:9" ht="84" x14ac:dyDescent="0.3">
      <c r="A637" s="2" t="s">
        <v>212</v>
      </c>
      <c r="B637" s="2" t="s">
        <v>8467</v>
      </c>
      <c r="C637" s="2" t="s">
        <v>8468</v>
      </c>
      <c r="D637" s="2" t="s">
        <v>9275</v>
      </c>
      <c r="E637" s="2" t="s">
        <v>468</v>
      </c>
      <c r="F637" s="2" t="s">
        <v>1778</v>
      </c>
      <c r="G637" s="2" t="s">
        <v>1717</v>
      </c>
      <c r="H637" s="2" t="s">
        <v>194</v>
      </c>
      <c r="I637" s="3">
        <f t="shared" si="12"/>
        <v>700</v>
      </c>
    </row>
    <row r="638" spans="1:9" ht="84" x14ac:dyDescent="0.3">
      <c r="A638" s="2" t="s">
        <v>212</v>
      </c>
      <c r="B638" s="2" t="s">
        <v>8469</v>
      </c>
      <c r="C638" s="2" t="s">
        <v>95</v>
      </c>
      <c r="D638" s="2" t="s">
        <v>9276</v>
      </c>
      <c r="E638" s="2" t="s">
        <v>39</v>
      </c>
      <c r="F638" s="2" t="s">
        <v>4117</v>
      </c>
      <c r="G638" s="2" t="s">
        <v>1717</v>
      </c>
      <c r="H638" s="2"/>
      <c r="I638" s="3">
        <f t="shared" si="12"/>
        <v>703</v>
      </c>
    </row>
    <row r="639" spans="1:9" ht="84" x14ac:dyDescent="0.3">
      <c r="A639" s="2" t="s">
        <v>212</v>
      </c>
      <c r="B639" s="2" t="s">
        <v>8476</v>
      </c>
      <c r="C639" s="2" t="s">
        <v>8477</v>
      </c>
      <c r="D639" s="2" t="s">
        <v>8478</v>
      </c>
      <c r="E639" s="2" t="s">
        <v>2693</v>
      </c>
      <c r="F639" s="2"/>
      <c r="G639" s="2"/>
      <c r="H639" s="2" t="s">
        <v>646</v>
      </c>
      <c r="I639" s="3">
        <f t="shared" si="12"/>
        <v>709</v>
      </c>
    </row>
    <row r="640" spans="1:9" ht="84" x14ac:dyDescent="0.3">
      <c r="A640" s="2" t="s">
        <v>212</v>
      </c>
      <c r="B640" s="2" t="s">
        <v>8482</v>
      </c>
      <c r="C640" s="2" t="s">
        <v>8483</v>
      </c>
      <c r="D640" s="2" t="s">
        <v>9277</v>
      </c>
      <c r="E640" s="2" t="s">
        <v>8484</v>
      </c>
      <c r="F640" s="2" t="s">
        <v>1778</v>
      </c>
      <c r="G640" s="2" t="s">
        <v>350</v>
      </c>
      <c r="H640" s="2" t="s">
        <v>1176</v>
      </c>
      <c r="I640" s="3">
        <f t="shared" si="12"/>
        <v>713</v>
      </c>
    </row>
    <row r="641" spans="1:9" ht="84" x14ac:dyDescent="0.3">
      <c r="A641" s="2" t="s">
        <v>212</v>
      </c>
      <c r="B641" s="2" t="s">
        <v>8485</v>
      </c>
      <c r="C641" s="2" t="s">
        <v>8486</v>
      </c>
      <c r="D641" s="2" t="s">
        <v>9278</v>
      </c>
      <c r="E641" s="2" t="s">
        <v>39</v>
      </c>
      <c r="F641" s="2" t="s">
        <v>2281</v>
      </c>
      <c r="G641" s="2" t="s">
        <v>1717</v>
      </c>
      <c r="H641" s="2" t="s">
        <v>86</v>
      </c>
      <c r="I641" s="3">
        <f t="shared" si="12"/>
        <v>713</v>
      </c>
    </row>
    <row r="642" spans="1:9" ht="96" x14ac:dyDescent="0.3">
      <c r="A642" s="2" t="s">
        <v>212</v>
      </c>
      <c r="B642" s="2" t="s">
        <v>8490</v>
      </c>
      <c r="C642" s="2" t="s">
        <v>807</v>
      </c>
      <c r="D642" s="2" t="s">
        <v>9279</v>
      </c>
      <c r="E642" s="2" t="s">
        <v>1188</v>
      </c>
      <c r="F642" s="2" t="s">
        <v>4117</v>
      </c>
      <c r="G642" s="2" t="s">
        <v>1717</v>
      </c>
      <c r="H642" s="2"/>
      <c r="I642" s="3">
        <f t="shared" si="12"/>
        <v>716</v>
      </c>
    </row>
    <row r="643" spans="1:9" ht="96" x14ac:dyDescent="0.3">
      <c r="A643" s="2" t="s">
        <v>212</v>
      </c>
      <c r="B643" s="2" t="s">
        <v>8491</v>
      </c>
      <c r="C643" s="2" t="s">
        <v>6522</v>
      </c>
      <c r="D643" s="2" t="s">
        <v>9280</v>
      </c>
      <c r="E643" s="2" t="s">
        <v>2136</v>
      </c>
      <c r="F643" s="2" t="s">
        <v>4117</v>
      </c>
      <c r="G643" s="2" t="s">
        <v>1717</v>
      </c>
      <c r="H643" s="2" t="s">
        <v>86</v>
      </c>
      <c r="I643" s="3">
        <f t="shared" si="12"/>
        <v>719</v>
      </c>
    </row>
    <row r="644" spans="1:9" ht="96" x14ac:dyDescent="0.3">
      <c r="A644" s="2" t="s">
        <v>212</v>
      </c>
      <c r="B644" s="2" t="s">
        <v>8501</v>
      </c>
      <c r="C644" s="2" t="s">
        <v>389</v>
      </c>
      <c r="D644" s="2" t="s">
        <v>9281</v>
      </c>
      <c r="E644" s="2" t="s">
        <v>39</v>
      </c>
      <c r="F644" s="2" t="s">
        <v>1778</v>
      </c>
      <c r="G644" s="2" t="s">
        <v>1717</v>
      </c>
      <c r="H644" s="2"/>
      <c r="I644" s="3">
        <f t="shared" si="12"/>
        <v>741</v>
      </c>
    </row>
    <row r="645" spans="1:9" ht="96" x14ac:dyDescent="0.3">
      <c r="A645" s="2" t="s">
        <v>212</v>
      </c>
      <c r="B645" s="2" t="s">
        <v>8505</v>
      </c>
      <c r="C645" s="2" t="s">
        <v>8506</v>
      </c>
      <c r="D645" s="2" t="s">
        <v>9282</v>
      </c>
      <c r="E645" s="2" t="s">
        <v>2121</v>
      </c>
      <c r="F645" s="2" t="s">
        <v>4117</v>
      </c>
      <c r="G645" s="2" t="s">
        <v>1717</v>
      </c>
      <c r="H645" s="2"/>
      <c r="I645" s="3">
        <f t="shared" si="12"/>
        <v>751</v>
      </c>
    </row>
    <row r="646" spans="1:9" ht="96" x14ac:dyDescent="0.3">
      <c r="A646" s="2" t="s">
        <v>212</v>
      </c>
      <c r="B646" s="2" t="s">
        <v>8510</v>
      </c>
      <c r="C646" s="2" t="s">
        <v>8511</v>
      </c>
      <c r="D646" s="2" t="s">
        <v>9283</v>
      </c>
      <c r="E646" s="2" t="s">
        <v>39</v>
      </c>
      <c r="F646" s="2" t="s">
        <v>2281</v>
      </c>
      <c r="G646" s="2" t="s">
        <v>1717</v>
      </c>
      <c r="H646" s="2"/>
      <c r="I646" s="3">
        <f t="shared" si="12"/>
        <v>758</v>
      </c>
    </row>
    <row r="647" spans="1:9" ht="96" x14ac:dyDescent="0.3">
      <c r="A647" s="2" t="s">
        <v>212</v>
      </c>
      <c r="B647" s="2" t="s">
        <v>8514</v>
      </c>
      <c r="C647" s="2" t="s">
        <v>8515</v>
      </c>
      <c r="D647" s="2" t="s">
        <v>9284</v>
      </c>
      <c r="E647" s="2" t="s">
        <v>39</v>
      </c>
      <c r="F647" s="2" t="s">
        <v>350</v>
      </c>
      <c r="G647" s="2" t="s">
        <v>1717</v>
      </c>
      <c r="H647" s="2"/>
      <c r="I647" s="3">
        <f t="shared" si="12"/>
        <v>764</v>
      </c>
    </row>
    <row r="648" spans="1:9" ht="96" x14ac:dyDescent="0.3">
      <c r="A648" s="2" t="s">
        <v>212</v>
      </c>
      <c r="B648" s="2" t="s">
        <v>6631</v>
      </c>
      <c r="C648" s="2" t="s">
        <v>559</v>
      </c>
      <c r="D648" s="2" t="s">
        <v>8525</v>
      </c>
      <c r="E648" s="2" t="s">
        <v>39</v>
      </c>
      <c r="F648" s="2"/>
      <c r="G648" s="2"/>
      <c r="H648" s="2"/>
      <c r="I648" s="3">
        <f t="shared" si="12"/>
        <v>790</v>
      </c>
    </row>
    <row r="649" spans="1:9" ht="96" x14ac:dyDescent="0.3">
      <c r="A649" s="2" t="s">
        <v>212</v>
      </c>
      <c r="B649" s="2" t="s">
        <v>8266</v>
      </c>
      <c r="C649" s="2" t="s">
        <v>7568</v>
      </c>
      <c r="D649" s="2" t="s">
        <v>9285</v>
      </c>
      <c r="E649" s="2" t="s">
        <v>39</v>
      </c>
      <c r="F649" s="2" t="s">
        <v>4117</v>
      </c>
      <c r="G649" s="2" t="s">
        <v>1717</v>
      </c>
      <c r="H649" s="2" t="s">
        <v>646</v>
      </c>
      <c r="I649" s="3">
        <f t="shared" si="12"/>
        <v>807</v>
      </c>
    </row>
    <row r="650" spans="1:9" ht="108" x14ac:dyDescent="0.3">
      <c r="A650" s="2" t="s">
        <v>212</v>
      </c>
      <c r="B650" s="2" t="s">
        <v>8533</v>
      </c>
      <c r="C650" s="2" t="s">
        <v>8534</v>
      </c>
      <c r="D650" s="2" t="s">
        <v>9286</v>
      </c>
      <c r="E650" s="2" t="s">
        <v>8535</v>
      </c>
      <c r="F650" s="2" t="s">
        <v>1778</v>
      </c>
      <c r="G650" s="2" t="s">
        <v>1717</v>
      </c>
      <c r="H650" s="2" t="s">
        <v>646</v>
      </c>
      <c r="I650" s="3">
        <f t="shared" ref="I650:I676" si="13">LEN(D650)</f>
        <v>815</v>
      </c>
    </row>
    <row r="651" spans="1:9" ht="108" x14ac:dyDescent="0.3">
      <c r="A651" s="2" t="s">
        <v>212</v>
      </c>
      <c r="B651" s="2" t="s">
        <v>8543</v>
      </c>
      <c r="C651" s="2" t="s">
        <v>5363</v>
      </c>
      <c r="D651" s="2" t="s">
        <v>9287</v>
      </c>
      <c r="E651" s="2" t="s">
        <v>39</v>
      </c>
      <c r="F651" s="2" t="s">
        <v>1778</v>
      </c>
      <c r="G651" s="2" t="s">
        <v>1717</v>
      </c>
      <c r="H651" s="2" t="s">
        <v>194</v>
      </c>
      <c r="I651" s="3">
        <f t="shared" si="13"/>
        <v>826</v>
      </c>
    </row>
    <row r="652" spans="1:9" ht="108" x14ac:dyDescent="0.3">
      <c r="A652" s="2" t="s">
        <v>212</v>
      </c>
      <c r="B652" s="2" t="s">
        <v>8544</v>
      </c>
      <c r="C652" s="2" t="s">
        <v>8545</v>
      </c>
      <c r="D652" s="2" t="s">
        <v>9288</v>
      </c>
      <c r="E652" s="2" t="s">
        <v>2568</v>
      </c>
      <c r="F652" s="2" t="s">
        <v>4117</v>
      </c>
      <c r="G652" s="2" t="s">
        <v>1717</v>
      </c>
      <c r="H652" s="2" t="s">
        <v>402</v>
      </c>
      <c r="I652" s="3">
        <f t="shared" si="13"/>
        <v>827</v>
      </c>
    </row>
    <row r="653" spans="1:9" ht="108" x14ac:dyDescent="0.3">
      <c r="A653" s="2" t="s">
        <v>212</v>
      </c>
      <c r="B653" s="2" t="s">
        <v>8546</v>
      </c>
      <c r="C653" s="2" t="s">
        <v>8547</v>
      </c>
      <c r="D653" s="2" t="s">
        <v>9289</v>
      </c>
      <c r="E653" s="2" t="s">
        <v>5123</v>
      </c>
      <c r="F653" s="2" t="s">
        <v>8548</v>
      </c>
      <c r="G653" s="2" t="s">
        <v>1717</v>
      </c>
      <c r="H653" s="2"/>
      <c r="I653" s="3">
        <f t="shared" si="13"/>
        <v>829</v>
      </c>
    </row>
    <row r="654" spans="1:9" ht="108" x14ac:dyDescent="0.3">
      <c r="A654" s="2" t="s">
        <v>212</v>
      </c>
      <c r="B654" s="2" t="s">
        <v>8556</v>
      </c>
      <c r="C654" s="2" t="s">
        <v>437</v>
      </c>
      <c r="D654" s="2" t="s">
        <v>9292</v>
      </c>
      <c r="E654" s="2" t="s">
        <v>3643</v>
      </c>
      <c r="F654" s="2" t="s">
        <v>4117</v>
      </c>
      <c r="G654" s="2" t="s">
        <v>4507</v>
      </c>
      <c r="H654" s="2" t="s">
        <v>1176</v>
      </c>
      <c r="I654" s="3">
        <f t="shared" si="13"/>
        <v>840</v>
      </c>
    </row>
    <row r="655" spans="1:9" ht="108" x14ac:dyDescent="0.3">
      <c r="A655" s="2" t="s">
        <v>212</v>
      </c>
      <c r="B655" s="2" t="s">
        <v>8550</v>
      </c>
      <c r="C655" s="2"/>
      <c r="D655" s="2" t="s">
        <v>9290</v>
      </c>
      <c r="E655" s="2" t="s">
        <v>39</v>
      </c>
      <c r="F655" s="2" t="s">
        <v>2281</v>
      </c>
      <c r="G655" s="2" t="s">
        <v>1717</v>
      </c>
      <c r="H655" s="2" t="s">
        <v>194</v>
      </c>
      <c r="I655" s="3">
        <f t="shared" si="13"/>
        <v>844</v>
      </c>
    </row>
    <row r="656" spans="1:9" ht="108" x14ac:dyDescent="0.3">
      <c r="A656" s="2" t="s">
        <v>212</v>
      </c>
      <c r="B656" s="2" t="s">
        <v>8554</v>
      </c>
      <c r="C656" s="2" t="s">
        <v>8555</v>
      </c>
      <c r="D656" s="2" t="s">
        <v>9291</v>
      </c>
      <c r="E656" s="2" t="s">
        <v>7132</v>
      </c>
      <c r="F656" s="2" t="s">
        <v>350</v>
      </c>
      <c r="G656" s="2" t="s">
        <v>1717</v>
      </c>
      <c r="H656" s="2" t="s">
        <v>898</v>
      </c>
      <c r="I656" s="3">
        <f t="shared" si="13"/>
        <v>852</v>
      </c>
    </row>
    <row r="657" spans="1:9" ht="108" x14ac:dyDescent="0.3">
      <c r="A657" s="2" t="s">
        <v>212</v>
      </c>
      <c r="B657" s="2" t="s">
        <v>8557</v>
      </c>
      <c r="C657" s="2" t="s">
        <v>317</v>
      </c>
      <c r="D657" s="2" t="s">
        <v>9293</v>
      </c>
      <c r="E657" s="2" t="s">
        <v>39</v>
      </c>
      <c r="F657" s="2" t="s">
        <v>3082</v>
      </c>
      <c r="G657" s="2" t="s">
        <v>1717</v>
      </c>
      <c r="H657" s="2"/>
      <c r="I657" s="3">
        <f t="shared" si="13"/>
        <v>852</v>
      </c>
    </row>
    <row r="658" spans="1:9" ht="108" x14ac:dyDescent="0.3">
      <c r="A658" s="2" t="s">
        <v>212</v>
      </c>
      <c r="B658" s="2" t="s">
        <v>8561</v>
      </c>
      <c r="C658" s="2" t="s">
        <v>8562</v>
      </c>
      <c r="D658" s="2" t="s">
        <v>9294</v>
      </c>
      <c r="E658" s="2" t="s">
        <v>2121</v>
      </c>
      <c r="F658" s="2" t="s">
        <v>350</v>
      </c>
      <c r="G658" s="2" t="s">
        <v>1717</v>
      </c>
      <c r="H658" s="2" t="s">
        <v>1176</v>
      </c>
      <c r="I658" s="3">
        <f t="shared" si="13"/>
        <v>862</v>
      </c>
    </row>
    <row r="659" spans="1:9" ht="108" x14ac:dyDescent="0.3">
      <c r="A659" s="2" t="s">
        <v>212</v>
      </c>
      <c r="B659" s="2" t="s">
        <v>619</v>
      </c>
      <c r="C659" s="2" t="s">
        <v>8565</v>
      </c>
      <c r="D659" s="2" t="s">
        <v>8566</v>
      </c>
      <c r="E659" s="2" t="s">
        <v>39</v>
      </c>
      <c r="F659" s="2"/>
      <c r="G659" s="2"/>
      <c r="H659" s="2" t="s">
        <v>402</v>
      </c>
      <c r="I659" s="3">
        <f t="shared" si="13"/>
        <v>876</v>
      </c>
    </row>
    <row r="660" spans="1:9" ht="120" x14ac:dyDescent="0.3">
      <c r="A660" s="2" t="s">
        <v>212</v>
      </c>
      <c r="B660" s="2" t="s">
        <v>8581</v>
      </c>
      <c r="C660" s="2" t="s">
        <v>8582</v>
      </c>
      <c r="D660" s="2" t="s">
        <v>9295</v>
      </c>
      <c r="E660" s="2" t="s">
        <v>39</v>
      </c>
      <c r="F660" s="2" t="s">
        <v>350</v>
      </c>
      <c r="G660" s="2" t="s">
        <v>1717</v>
      </c>
      <c r="H660" s="2" t="s">
        <v>194</v>
      </c>
      <c r="I660" s="3">
        <f t="shared" si="13"/>
        <v>923</v>
      </c>
    </row>
    <row r="661" spans="1:9" ht="120" x14ac:dyDescent="0.3">
      <c r="A661" s="2" t="s">
        <v>212</v>
      </c>
      <c r="B661" s="2" t="s">
        <v>8583</v>
      </c>
      <c r="C661" s="2" t="s">
        <v>8584</v>
      </c>
      <c r="D661" s="2" t="s">
        <v>9296</v>
      </c>
      <c r="E661" s="2"/>
      <c r="F661" s="2" t="s">
        <v>350</v>
      </c>
      <c r="G661" s="2" t="s">
        <v>1717</v>
      </c>
      <c r="H661" s="2"/>
      <c r="I661" s="3">
        <f t="shared" si="13"/>
        <v>929</v>
      </c>
    </row>
    <row r="662" spans="1:9" ht="120" x14ac:dyDescent="0.3">
      <c r="A662" s="2" t="s">
        <v>212</v>
      </c>
      <c r="B662" s="2" t="s">
        <v>8587</v>
      </c>
      <c r="C662" s="2" t="s">
        <v>8588</v>
      </c>
      <c r="D662" s="2" t="s">
        <v>8589</v>
      </c>
      <c r="E662" s="2" t="s">
        <v>2693</v>
      </c>
      <c r="F662" s="2"/>
      <c r="G662" s="2"/>
      <c r="H662" s="2"/>
      <c r="I662" s="3">
        <f t="shared" si="13"/>
        <v>945</v>
      </c>
    </row>
    <row r="663" spans="1:9" ht="120" x14ac:dyDescent="0.3">
      <c r="A663" s="2" t="s">
        <v>212</v>
      </c>
      <c r="B663" s="2" t="s">
        <v>8593</v>
      </c>
      <c r="C663" s="2" t="s">
        <v>8594</v>
      </c>
      <c r="D663" s="2" t="s">
        <v>9297</v>
      </c>
      <c r="E663" s="2" t="s">
        <v>39</v>
      </c>
      <c r="F663" s="2" t="s">
        <v>4841</v>
      </c>
      <c r="G663" s="2" t="s">
        <v>1717</v>
      </c>
      <c r="H663" s="2" t="s">
        <v>194</v>
      </c>
      <c r="I663" s="3">
        <f t="shared" si="13"/>
        <v>953</v>
      </c>
    </row>
    <row r="664" spans="1:9" ht="120" x14ac:dyDescent="0.3">
      <c r="A664" s="2" t="s">
        <v>212</v>
      </c>
      <c r="B664" s="2" t="s">
        <v>8597</v>
      </c>
      <c r="C664" s="2" t="s">
        <v>8598</v>
      </c>
      <c r="D664" s="2" t="s">
        <v>9298</v>
      </c>
      <c r="E664" s="2" t="s">
        <v>2709</v>
      </c>
      <c r="F664" s="2" t="s">
        <v>1778</v>
      </c>
      <c r="G664" s="2" t="s">
        <v>1717</v>
      </c>
      <c r="H664" s="2"/>
      <c r="I664" s="3">
        <f t="shared" si="13"/>
        <v>961</v>
      </c>
    </row>
    <row r="665" spans="1:9" ht="120" x14ac:dyDescent="0.3">
      <c r="A665" s="2" t="s">
        <v>212</v>
      </c>
      <c r="B665" s="2" t="s">
        <v>8599</v>
      </c>
      <c r="C665" s="2" t="s">
        <v>8600</v>
      </c>
      <c r="D665" s="2" t="s">
        <v>9299</v>
      </c>
      <c r="E665" s="2" t="s">
        <v>39</v>
      </c>
      <c r="F665" s="2" t="s">
        <v>4117</v>
      </c>
      <c r="G665" s="2" t="s">
        <v>350</v>
      </c>
      <c r="H665" s="2" t="s">
        <v>86</v>
      </c>
      <c r="I665" s="3">
        <f t="shared" si="13"/>
        <v>987</v>
      </c>
    </row>
    <row r="666" spans="1:9" ht="120" x14ac:dyDescent="0.3">
      <c r="A666" s="2" t="s">
        <v>212</v>
      </c>
      <c r="B666" s="2" t="s">
        <v>8602</v>
      </c>
      <c r="C666" s="2" t="s">
        <v>7374</v>
      </c>
      <c r="D666" s="2" t="s">
        <v>9301</v>
      </c>
      <c r="E666" s="2" t="s">
        <v>2524</v>
      </c>
      <c r="F666" s="2" t="s">
        <v>8035</v>
      </c>
      <c r="G666" s="2" t="s">
        <v>1717</v>
      </c>
      <c r="H666" s="2"/>
      <c r="I666" s="3">
        <f t="shared" si="13"/>
        <v>996</v>
      </c>
    </row>
    <row r="667" spans="1:9" ht="120" x14ac:dyDescent="0.3">
      <c r="A667" s="2" t="s">
        <v>212</v>
      </c>
      <c r="B667" s="2" t="s">
        <v>8601</v>
      </c>
      <c r="C667" s="2" t="s">
        <v>70</v>
      </c>
      <c r="D667" s="2" t="s">
        <v>9300</v>
      </c>
      <c r="E667" s="2" t="s">
        <v>39</v>
      </c>
      <c r="F667" s="2" t="s">
        <v>2281</v>
      </c>
      <c r="G667" s="2" t="s">
        <v>1717</v>
      </c>
      <c r="H667" s="2" t="s">
        <v>646</v>
      </c>
      <c r="I667" s="3">
        <f t="shared" si="13"/>
        <v>997</v>
      </c>
    </row>
    <row r="668" spans="1:9" ht="132" x14ac:dyDescent="0.3">
      <c r="A668" s="2" t="s">
        <v>212</v>
      </c>
      <c r="B668" s="2" t="s">
        <v>8605</v>
      </c>
      <c r="C668" s="2" t="s">
        <v>4830</v>
      </c>
      <c r="D668" s="2" t="s">
        <v>9302</v>
      </c>
      <c r="E668" s="2" t="s">
        <v>39</v>
      </c>
      <c r="F668" s="2" t="s">
        <v>2281</v>
      </c>
      <c r="G668" s="2" t="s">
        <v>1717</v>
      </c>
      <c r="H668" s="2" t="s">
        <v>646</v>
      </c>
      <c r="I668" s="3">
        <f t="shared" si="13"/>
        <v>1025</v>
      </c>
    </row>
    <row r="669" spans="1:9" ht="132" x14ac:dyDescent="0.3">
      <c r="A669" s="2" t="s">
        <v>212</v>
      </c>
      <c r="B669" s="2" t="s">
        <v>8608</v>
      </c>
      <c r="C669" s="2" t="s">
        <v>8609</v>
      </c>
      <c r="D669" s="2" t="s">
        <v>9303</v>
      </c>
      <c r="E669" s="2" t="s">
        <v>39</v>
      </c>
      <c r="F669" s="2" t="s">
        <v>1778</v>
      </c>
      <c r="G669" s="2" t="s">
        <v>1717</v>
      </c>
      <c r="H669" s="2" t="s">
        <v>86</v>
      </c>
      <c r="I669" s="3">
        <f t="shared" si="13"/>
        <v>1054</v>
      </c>
    </row>
    <row r="670" spans="1:9" ht="132" x14ac:dyDescent="0.3">
      <c r="A670" s="2" t="s">
        <v>212</v>
      </c>
      <c r="B670" s="2" t="s">
        <v>8617</v>
      </c>
      <c r="C670" s="2" t="s">
        <v>535</v>
      </c>
      <c r="D670" s="2" t="s">
        <v>8618</v>
      </c>
      <c r="E670" s="2" t="s">
        <v>39</v>
      </c>
      <c r="F670" s="2"/>
      <c r="G670" s="2"/>
      <c r="H670" s="2"/>
      <c r="I670" s="3">
        <f t="shared" si="13"/>
        <v>1093</v>
      </c>
    </row>
    <row r="671" spans="1:9" ht="144" x14ac:dyDescent="0.3">
      <c r="A671" s="2" t="s">
        <v>212</v>
      </c>
      <c r="B671" s="2" t="s">
        <v>8623</v>
      </c>
      <c r="C671" s="2" t="s">
        <v>729</v>
      </c>
      <c r="D671" s="2" t="s">
        <v>9304</v>
      </c>
      <c r="E671" s="2" t="s">
        <v>6835</v>
      </c>
      <c r="F671" s="2" t="s">
        <v>2281</v>
      </c>
      <c r="G671" s="2" t="s">
        <v>1717</v>
      </c>
      <c r="H671" s="2" t="s">
        <v>194</v>
      </c>
      <c r="I671" s="3">
        <f t="shared" si="13"/>
        <v>1172</v>
      </c>
    </row>
    <row r="672" spans="1:9" ht="144" x14ac:dyDescent="0.3">
      <c r="A672" s="2" t="s">
        <v>212</v>
      </c>
      <c r="B672" s="2" t="s">
        <v>8628</v>
      </c>
      <c r="C672" s="2"/>
      <c r="D672" s="2" t="s">
        <v>9305</v>
      </c>
      <c r="E672" s="2" t="s">
        <v>39</v>
      </c>
      <c r="F672" s="2" t="s">
        <v>3082</v>
      </c>
      <c r="G672" s="2" t="s">
        <v>1717</v>
      </c>
      <c r="H672" s="2" t="s">
        <v>646</v>
      </c>
      <c r="I672" s="3">
        <f t="shared" si="13"/>
        <v>1253</v>
      </c>
    </row>
    <row r="673" spans="1:9" ht="156" x14ac:dyDescent="0.3">
      <c r="A673" s="2" t="s">
        <v>212</v>
      </c>
      <c r="B673" s="2" t="s">
        <v>8610</v>
      </c>
      <c r="C673" s="2" t="s">
        <v>7705</v>
      </c>
      <c r="D673" s="2" t="s">
        <v>8629</v>
      </c>
      <c r="E673" s="2" t="s">
        <v>1272</v>
      </c>
      <c r="F673" s="2"/>
      <c r="G673" s="2" t="s">
        <v>1717</v>
      </c>
      <c r="H673" s="2" t="s">
        <v>646</v>
      </c>
      <c r="I673" s="3">
        <f t="shared" si="13"/>
        <v>1257</v>
      </c>
    </row>
    <row r="674" spans="1:9" ht="156" x14ac:dyDescent="0.3">
      <c r="A674" s="2" t="s">
        <v>212</v>
      </c>
      <c r="B674" s="2" t="s">
        <v>8630</v>
      </c>
      <c r="C674" s="2" t="s">
        <v>3759</v>
      </c>
      <c r="D674" s="2" t="s">
        <v>9306</v>
      </c>
      <c r="E674" s="2" t="s">
        <v>39</v>
      </c>
      <c r="F674" s="2" t="s">
        <v>3082</v>
      </c>
      <c r="G674" s="2" t="s">
        <v>1717</v>
      </c>
      <c r="H674" s="2" t="s">
        <v>646</v>
      </c>
      <c r="I674" s="3">
        <f t="shared" si="13"/>
        <v>1282</v>
      </c>
    </row>
    <row r="675" spans="1:9" ht="180" x14ac:dyDescent="0.3">
      <c r="A675" s="2" t="s">
        <v>212</v>
      </c>
      <c r="B675" s="2" t="s">
        <v>8635</v>
      </c>
      <c r="C675" s="2" t="s">
        <v>8636</v>
      </c>
      <c r="D675" s="2" t="s">
        <v>9307</v>
      </c>
      <c r="E675" s="2" t="s">
        <v>8637</v>
      </c>
      <c r="F675" s="2" t="s">
        <v>8638</v>
      </c>
      <c r="G675" s="2" t="s">
        <v>1717</v>
      </c>
      <c r="H675" s="2" t="s">
        <v>646</v>
      </c>
      <c r="I675" s="3">
        <f t="shared" si="13"/>
        <v>1446</v>
      </c>
    </row>
    <row r="676" spans="1:9" ht="216" x14ac:dyDescent="0.3">
      <c r="A676" s="2" t="s">
        <v>212</v>
      </c>
      <c r="B676" s="2" t="s">
        <v>8644</v>
      </c>
      <c r="C676" s="2" t="s">
        <v>8645</v>
      </c>
      <c r="D676" s="2" t="s">
        <v>9308</v>
      </c>
      <c r="E676" s="2" t="s">
        <v>39</v>
      </c>
      <c r="F676" s="2" t="s">
        <v>8646</v>
      </c>
      <c r="G676" s="2" t="s">
        <v>1717</v>
      </c>
      <c r="H676" s="2" t="s">
        <v>646</v>
      </c>
      <c r="I676" s="3">
        <f t="shared" si="13"/>
        <v>1783</v>
      </c>
    </row>
  </sheetData>
  <autoFilter ref="A1:I542" xr:uid="{00000000-0009-0000-0000-000000000000}">
    <sortState xmlns:xlrd2="http://schemas.microsoft.com/office/spreadsheetml/2017/richdata2" ref="A2:I676">
      <sortCondition ref="I1:I542"/>
    </sortState>
  </autoFilter>
  <conditionalFormatting sqref="H1:H676">
    <cfRule type="notContainsBlanks" dxfId="12" priority="1">
      <formula>LEN(TRIM(H1))&gt;0</formula>
    </cfRule>
  </conditionalFormatting>
  <dataValidations count="3">
    <dataValidation type="list" allowBlank="1" sqref="H2:H676" xr:uid="{45D8D03A-E364-4107-AE4D-1BA163AFF25E}">
      <formula1>#REF!</formula1>
    </dataValidation>
    <dataValidation type="list" allowBlank="1" showErrorMessage="1" sqref="C2:C542" xr:uid="{7E9C8346-730A-4AE9-B06C-5B0FE31E8953}">
      <formula1>#REF!</formula1>
    </dataValidation>
    <dataValidation allowBlank="1" showErrorMessage="1" sqref="C543:C676" xr:uid="{BE3DCF04-1CAC-4BE8-AC09-60B3AE966B2D}"/>
  </dataValidations>
  <pageMargins left="0.7" right="0.7" top="0.75" bottom="0.75" header="0" footer="0"/>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76E87-E463-419D-9379-4E76502E60C3}">
  <dimension ref="A1:I1836"/>
  <sheetViews>
    <sheetView workbookViewId="0">
      <pane ySplit="1" topLeftCell="A2" activePane="bottomLeft" state="frozen"/>
      <selection pane="bottomLeft" activeCell="D28" sqref="D28"/>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146</v>
      </c>
      <c r="B2" s="2" t="s">
        <v>147</v>
      </c>
      <c r="C2" s="2" t="s">
        <v>148</v>
      </c>
      <c r="D2" s="2" t="s">
        <v>149</v>
      </c>
      <c r="E2" s="2" t="s">
        <v>39</v>
      </c>
      <c r="F2" s="2"/>
      <c r="G2" s="2"/>
      <c r="H2" s="2"/>
      <c r="I2" s="3">
        <f t="shared" ref="I2:I65" si="0">LEN(D2)</f>
        <v>21</v>
      </c>
    </row>
    <row r="3" spans="1:9" x14ac:dyDescent="0.3">
      <c r="A3" s="2" t="s">
        <v>146</v>
      </c>
      <c r="B3" s="2" t="s">
        <v>177</v>
      </c>
      <c r="C3" s="2" t="s">
        <v>178</v>
      </c>
      <c r="D3" s="2" t="s">
        <v>179</v>
      </c>
      <c r="E3" s="2" t="s">
        <v>39</v>
      </c>
      <c r="F3" s="2"/>
      <c r="G3" s="2"/>
      <c r="H3" s="2"/>
      <c r="I3" s="3">
        <f t="shared" si="0"/>
        <v>23</v>
      </c>
    </row>
    <row r="4" spans="1:9" x14ac:dyDescent="0.3">
      <c r="A4" s="2" t="s">
        <v>146</v>
      </c>
      <c r="B4" s="2" t="s">
        <v>203</v>
      </c>
      <c r="C4" s="2"/>
      <c r="D4" s="2" t="s">
        <v>204</v>
      </c>
      <c r="E4" s="2" t="s">
        <v>39</v>
      </c>
      <c r="F4" s="2"/>
      <c r="G4" s="2"/>
      <c r="H4" s="2"/>
      <c r="I4" s="3">
        <f t="shared" si="0"/>
        <v>24</v>
      </c>
    </row>
    <row r="5" spans="1:9" x14ac:dyDescent="0.3">
      <c r="A5" s="2" t="s">
        <v>146</v>
      </c>
      <c r="B5" s="2" t="s">
        <v>232</v>
      </c>
      <c r="C5" s="2"/>
      <c r="D5" s="2" t="s">
        <v>233</v>
      </c>
      <c r="E5" s="2" t="s">
        <v>39</v>
      </c>
      <c r="F5" s="2"/>
      <c r="G5" s="2"/>
      <c r="H5" s="2"/>
      <c r="I5" s="3">
        <f t="shared" si="0"/>
        <v>27</v>
      </c>
    </row>
    <row r="6" spans="1:9" x14ac:dyDescent="0.3">
      <c r="A6" s="2" t="s">
        <v>146</v>
      </c>
      <c r="B6" s="2" t="s">
        <v>256</v>
      </c>
      <c r="C6" s="2"/>
      <c r="D6" s="2" t="s">
        <v>257</v>
      </c>
      <c r="E6" s="2" t="s">
        <v>39</v>
      </c>
      <c r="F6" s="2"/>
      <c r="G6" s="2"/>
      <c r="H6" s="2"/>
      <c r="I6" s="3">
        <f t="shared" si="0"/>
        <v>29</v>
      </c>
    </row>
    <row r="7" spans="1:9" x14ac:dyDescent="0.3">
      <c r="A7" s="2" t="s">
        <v>146</v>
      </c>
      <c r="B7" s="2" t="s">
        <v>280</v>
      </c>
      <c r="C7" s="2"/>
      <c r="D7" s="2" t="s">
        <v>281</v>
      </c>
      <c r="E7" s="2" t="s">
        <v>39</v>
      </c>
      <c r="F7" s="2"/>
      <c r="G7" s="2"/>
      <c r="H7" s="2"/>
      <c r="I7" s="3">
        <f t="shared" si="0"/>
        <v>30</v>
      </c>
    </row>
    <row r="8" spans="1:9" x14ac:dyDescent="0.3">
      <c r="A8" s="2" t="s">
        <v>146</v>
      </c>
      <c r="B8" s="2" t="s">
        <v>296</v>
      </c>
      <c r="C8" s="2"/>
      <c r="D8" s="2" t="s">
        <v>297</v>
      </c>
      <c r="E8" s="2" t="s">
        <v>39</v>
      </c>
      <c r="F8" s="2"/>
      <c r="G8" s="2"/>
      <c r="H8" s="2"/>
      <c r="I8" s="3">
        <f t="shared" si="0"/>
        <v>31</v>
      </c>
    </row>
    <row r="9" spans="1:9" x14ac:dyDescent="0.3">
      <c r="A9" s="2" t="s">
        <v>146</v>
      </c>
      <c r="B9" s="2" t="s">
        <v>326</v>
      </c>
      <c r="C9" s="2"/>
      <c r="D9" s="2" t="s">
        <v>327</v>
      </c>
      <c r="E9" s="2" t="s">
        <v>39</v>
      </c>
      <c r="F9" s="2"/>
      <c r="G9" s="2"/>
      <c r="H9" s="2"/>
      <c r="I9" s="3">
        <f t="shared" si="0"/>
        <v>33</v>
      </c>
    </row>
    <row r="10" spans="1:9" x14ac:dyDescent="0.3">
      <c r="A10" s="2" t="s">
        <v>146</v>
      </c>
      <c r="B10" s="2" t="s">
        <v>364</v>
      </c>
      <c r="C10" s="2"/>
      <c r="D10" s="2" t="s">
        <v>365</v>
      </c>
      <c r="E10" s="2"/>
      <c r="F10" s="2"/>
      <c r="G10" s="2"/>
      <c r="H10" s="2"/>
      <c r="I10" s="3">
        <f t="shared" si="0"/>
        <v>34</v>
      </c>
    </row>
    <row r="11" spans="1:9" x14ac:dyDescent="0.3">
      <c r="A11" s="2" t="s">
        <v>146</v>
      </c>
      <c r="B11" s="2" t="s">
        <v>366</v>
      </c>
      <c r="C11" s="2"/>
      <c r="D11" s="2" t="s">
        <v>367</v>
      </c>
      <c r="E11" s="2" t="s">
        <v>39</v>
      </c>
      <c r="F11" s="2"/>
      <c r="G11" s="2"/>
      <c r="H11" s="2"/>
      <c r="I11" s="3">
        <f t="shared" si="0"/>
        <v>34</v>
      </c>
    </row>
    <row r="12" spans="1:9" x14ac:dyDescent="0.3">
      <c r="A12" s="2" t="s">
        <v>146</v>
      </c>
      <c r="B12" s="2" t="s">
        <v>380</v>
      </c>
      <c r="C12" s="2"/>
      <c r="D12" s="2" t="s">
        <v>381</v>
      </c>
      <c r="E12" s="2" t="s">
        <v>39</v>
      </c>
      <c r="F12" s="2"/>
      <c r="G12" s="2"/>
      <c r="H12" s="2"/>
      <c r="I12" s="3">
        <f t="shared" si="0"/>
        <v>35</v>
      </c>
    </row>
    <row r="13" spans="1:9" x14ac:dyDescent="0.3">
      <c r="A13" s="2" t="s">
        <v>146</v>
      </c>
      <c r="B13" s="2" t="s">
        <v>397</v>
      </c>
      <c r="C13" s="2"/>
      <c r="D13" s="2" t="s">
        <v>398</v>
      </c>
      <c r="E13" s="2" t="s">
        <v>39</v>
      </c>
      <c r="F13" s="2"/>
      <c r="G13" s="2"/>
      <c r="H13" s="2"/>
      <c r="I13" s="3">
        <f t="shared" si="0"/>
        <v>36</v>
      </c>
    </row>
    <row r="14" spans="1:9" x14ac:dyDescent="0.3">
      <c r="A14" s="2" t="s">
        <v>146</v>
      </c>
      <c r="B14" s="2" t="s">
        <v>403</v>
      </c>
      <c r="C14" s="2" t="s">
        <v>95</v>
      </c>
      <c r="D14" s="2" t="s">
        <v>404</v>
      </c>
      <c r="E14" s="2" t="s">
        <v>39</v>
      </c>
      <c r="F14" s="2"/>
      <c r="G14" s="2"/>
      <c r="H14" s="2"/>
      <c r="I14" s="3">
        <f t="shared" si="0"/>
        <v>36</v>
      </c>
    </row>
    <row r="15" spans="1:9" x14ac:dyDescent="0.3">
      <c r="A15" s="2" t="s">
        <v>146</v>
      </c>
      <c r="B15" s="2" t="s">
        <v>436</v>
      </c>
      <c r="C15" s="2" t="s">
        <v>437</v>
      </c>
      <c r="D15" s="2" t="s">
        <v>438</v>
      </c>
      <c r="E15" s="2" t="s">
        <v>39</v>
      </c>
      <c r="F15" s="2"/>
      <c r="G15" s="2"/>
      <c r="H15" s="2"/>
      <c r="I15" s="3">
        <f t="shared" si="0"/>
        <v>38</v>
      </c>
    </row>
    <row r="16" spans="1:9" x14ac:dyDescent="0.3">
      <c r="A16" s="2" t="s">
        <v>146</v>
      </c>
      <c r="B16" s="2" t="s">
        <v>439</v>
      </c>
      <c r="C16" s="2" t="s">
        <v>437</v>
      </c>
      <c r="D16" s="2" t="s">
        <v>440</v>
      </c>
      <c r="E16" s="2" t="s">
        <v>39</v>
      </c>
      <c r="F16" s="2"/>
      <c r="G16" s="2"/>
      <c r="H16" s="2"/>
      <c r="I16" s="3">
        <f t="shared" si="0"/>
        <v>38</v>
      </c>
    </row>
    <row r="17" spans="1:9" x14ac:dyDescent="0.3">
      <c r="A17" s="2" t="s">
        <v>146</v>
      </c>
      <c r="B17" s="2" t="s">
        <v>441</v>
      </c>
      <c r="C17" s="2"/>
      <c r="D17" s="2" t="s">
        <v>442</v>
      </c>
      <c r="E17" s="2" t="s">
        <v>39</v>
      </c>
      <c r="F17" s="2"/>
      <c r="G17" s="2"/>
      <c r="H17" s="2"/>
      <c r="I17" s="3">
        <f t="shared" si="0"/>
        <v>38</v>
      </c>
    </row>
    <row r="18" spans="1:9" x14ac:dyDescent="0.3">
      <c r="A18" s="2" t="s">
        <v>146</v>
      </c>
      <c r="B18" s="2" t="s">
        <v>443</v>
      </c>
      <c r="C18" s="2" t="s">
        <v>95</v>
      </c>
      <c r="D18" s="2" t="s">
        <v>444</v>
      </c>
      <c r="E18" s="2" t="s">
        <v>39</v>
      </c>
      <c r="F18" s="2"/>
      <c r="G18" s="2"/>
      <c r="H18" s="2"/>
      <c r="I18" s="3">
        <f t="shared" si="0"/>
        <v>38</v>
      </c>
    </row>
    <row r="19" spans="1:9" x14ac:dyDescent="0.3">
      <c r="A19" s="2" t="s">
        <v>146</v>
      </c>
      <c r="B19" s="2" t="s">
        <v>445</v>
      </c>
      <c r="C19" s="2" t="s">
        <v>446</v>
      </c>
      <c r="D19" s="2" t="s">
        <v>447</v>
      </c>
      <c r="E19" s="2" t="s">
        <v>39</v>
      </c>
      <c r="F19" s="2"/>
      <c r="G19" s="2"/>
      <c r="H19" s="2"/>
      <c r="I19" s="3">
        <f t="shared" si="0"/>
        <v>38</v>
      </c>
    </row>
    <row r="20" spans="1:9" x14ac:dyDescent="0.3">
      <c r="A20" s="2" t="s">
        <v>146</v>
      </c>
      <c r="B20" s="2" t="s">
        <v>448</v>
      </c>
      <c r="C20" s="2" t="s">
        <v>446</v>
      </c>
      <c r="D20" s="2" t="s">
        <v>449</v>
      </c>
      <c r="E20" s="2" t="s">
        <v>39</v>
      </c>
      <c r="F20" s="2"/>
      <c r="G20" s="2"/>
      <c r="H20" s="2"/>
      <c r="I20" s="3">
        <f t="shared" si="0"/>
        <v>38</v>
      </c>
    </row>
    <row r="21" spans="1:9" x14ac:dyDescent="0.3">
      <c r="A21" s="2" t="s">
        <v>146</v>
      </c>
      <c r="B21" s="2" t="s">
        <v>470</v>
      </c>
      <c r="C21" s="2" t="s">
        <v>471</v>
      </c>
      <c r="D21" s="2" t="s">
        <v>472</v>
      </c>
      <c r="E21" s="2" t="s">
        <v>39</v>
      </c>
      <c r="F21" s="2"/>
      <c r="G21" s="2"/>
      <c r="H21" s="2"/>
      <c r="I21" s="3">
        <f t="shared" si="0"/>
        <v>39</v>
      </c>
    </row>
    <row r="22" spans="1:9" x14ac:dyDescent="0.3">
      <c r="A22" s="2" t="s">
        <v>146</v>
      </c>
      <c r="B22" s="2" t="s">
        <v>473</v>
      </c>
      <c r="C22" s="2" t="s">
        <v>437</v>
      </c>
      <c r="D22" s="2" t="s">
        <v>474</v>
      </c>
      <c r="E22" s="2" t="s">
        <v>39</v>
      </c>
      <c r="F22" s="2"/>
      <c r="G22" s="2"/>
      <c r="H22" s="2"/>
      <c r="I22" s="3">
        <f t="shared" si="0"/>
        <v>39</v>
      </c>
    </row>
    <row r="23" spans="1:9" x14ac:dyDescent="0.3">
      <c r="A23" s="2" t="s">
        <v>146</v>
      </c>
      <c r="B23" s="2" t="s">
        <v>475</v>
      </c>
      <c r="C23" s="2"/>
      <c r="D23" s="2" t="s">
        <v>476</v>
      </c>
      <c r="E23" s="2" t="s">
        <v>39</v>
      </c>
      <c r="F23" s="2"/>
      <c r="G23" s="2"/>
      <c r="H23" s="2"/>
      <c r="I23" s="3">
        <f t="shared" si="0"/>
        <v>39</v>
      </c>
    </row>
    <row r="24" spans="1:9" x14ac:dyDescent="0.3">
      <c r="A24" s="2" t="s">
        <v>146</v>
      </c>
      <c r="B24" s="2" t="s">
        <v>479</v>
      </c>
      <c r="C24" s="2" t="s">
        <v>480</v>
      </c>
      <c r="D24" s="2" t="s">
        <v>481</v>
      </c>
      <c r="E24" s="2" t="s">
        <v>39</v>
      </c>
      <c r="F24" s="2"/>
      <c r="G24" s="2"/>
      <c r="H24" s="2"/>
      <c r="I24" s="3">
        <f t="shared" si="0"/>
        <v>39</v>
      </c>
    </row>
    <row r="25" spans="1:9" x14ac:dyDescent="0.3">
      <c r="A25" s="2" t="s">
        <v>146</v>
      </c>
      <c r="B25" s="2" t="s">
        <v>499</v>
      </c>
      <c r="C25" s="2" t="s">
        <v>500</v>
      </c>
      <c r="D25" s="2" t="s">
        <v>501</v>
      </c>
      <c r="E25" s="2" t="s">
        <v>39</v>
      </c>
      <c r="F25" s="2"/>
      <c r="G25" s="2"/>
      <c r="H25" s="2" t="s">
        <v>402</v>
      </c>
      <c r="I25" s="3">
        <f t="shared" si="0"/>
        <v>40</v>
      </c>
    </row>
    <row r="26" spans="1:9" x14ac:dyDescent="0.3">
      <c r="A26" s="2" t="s">
        <v>146</v>
      </c>
      <c r="B26" s="2" t="s">
        <v>502</v>
      </c>
      <c r="C26" s="2"/>
      <c r="D26" s="2" t="s">
        <v>503</v>
      </c>
      <c r="E26" s="2" t="s">
        <v>39</v>
      </c>
      <c r="F26" s="2"/>
      <c r="G26" s="2"/>
      <c r="H26" s="2"/>
      <c r="I26" s="3">
        <f t="shared" si="0"/>
        <v>40</v>
      </c>
    </row>
    <row r="27" spans="1:9" x14ac:dyDescent="0.3">
      <c r="A27" s="2" t="s">
        <v>146</v>
      </c>
      <c r="B27" s="2" t="s">
        <v>528</v>
      </c>
      <c r="C27" s="2"/>
      <c r="D27" s="2" t="s">
        <v>529</v>
      </c>
      <c r="E27" s="2" t="s">
        <v>39</v>
      </c>
      <c r="F27" s="2"/>
      <c r="G27" s="2"/>
      <c r="H27" s="2"/>
      <c r="I27" s="3">
        <f t="shared" si="0"/>
        <v>41</v>
      </c>
    </row>
    <row r="28" spans="1:9" x14ac:dyDescent="0.3">
      <c r="A28" s="2" t="s">
        <v>146</v>
      </c>
      <c r="B28" s="2" t="s">
        <v>542</v>
      </c>
      <c r="C28" s="2" t="s">
        <v>64</v>
      </c>
      <c r="D28" s="2" t="s">
        <v>543</v>
      </c>
      <c r="E28" s="2" t="s">
        <v>39</v>
      </c>
      <c r="F28" s="2"/>
      <c r="G28" s="2"/>
      <c r="H28" s="2"/>
      <c r="I28" s="3">
        <f t="shared" si="0"/>
        <v>42</v>
      </c>
    </row>
    <row r="29" spans="1:9" x14ac:dyDescent="0.3">
      <c r="A29" s="2" t="s">
        <v>146</v>
      </c>
      <c r="B29" s="2" t="s">
        <v>544</v>
      </c>
      <c r="C29" s="2"/>
      <c r="D29" s="2" t="s">
        <v>545</v>
      </c>
      <c r="E29" s="2" t="s">
        <v>39</v>
      </c>
      <c r="F29" s="2"/>
      <c r="G29" s="2"/>
      <c r="H29" s="2" t="s">
        <v>194</v>
      </c>
      <c r="I29" s="3">
        <f t="shared" si="0"/>
        <v>42</v>
      </c>
    </row>
    <row r="30" spans="1:9" x14ac:dyDescent="0.3">
      <c r="A30" s="2" t="s">
        <v>146</v>
      </c>
      <c r="B30" s="2" t="s">
        <v>558</v>
      </c>
      <c r="C30" s="2" t="s">
        <v>559</v>
      </c>
      <c r="D30" s="2" t="s">
        <v>560</v>
      </c>
      <c r="E30" s="2" t="s">
        <v>39</v>
      </c>
      <c r="F30" s="2"/>
      <c r="G30" s="2"/>
      <c r="H30" s="2"/>
      <c r="I30" s="3">
        <f t="shared" si="0"/>
        <v>42</v>
      </c>
    </row>
    <row r="31" spans="1:9" x14ac:dyDescent="0.3">
      <c r="A31" s="2" t="s">
        <v>146</v>
      </c>
      <c r="B31" s="2" t="s">
        <v>565</v>
      </c>
      <c r="C31" s="2"/>
      <c r="D31" s="2" t="s">
        <v>566</v>
      </c>
      <c r="E31" s="2" t="s">
        <v>39</v>
      </c>
      <c r="F31" s="2"/>
      <c r="G31" s="2"/>
      <c r="H31" s="2" t="s">
        <v>194</v>
      </c>
      <c r="I31" s="3">
        <f t="shared" si="0"/>
        <v>42</v>
      </c>
    </row>
    <row r="32" spans="1:9" x14ac:dyDescent="0.3">
      <c r="A32" s="2" t="s">
        <v>146</v>
      </c>
      <c r="B32" s="2" t="s">
        <v>600</v>
      </c>
      <c r="C32" s="2"/>
      <c r="D32" s="2" t="s">
        <v>601</v>
      </c>
      <c r="E32" s="2" t="s">
        <v>39</v>
      </c>
      <c r="F32" s="2"/>
      <c r="G32" s="2"/>
      <c r="H32" s="2"/>
      <c r="I32" s="3">
        <f t="shared" si="0"/>
        <v>43</v>
      </c>
    </row>
    <row r="33" spans="1:9" x14ac:dyDescent="0.3">
      <c r="A33" s="2" t="s">
        <v>146</v>
      </c>
      <c r="B33" s="2" t="s">
        <v>617</v>
      </c>
      <c r="C33" s="2" t="s">
        <v>491</v>
      </c>
      <c r="D33" s="2" t="s">
        <v>618</v>
      </c>
      <c r="E33" s="2" t="s">
        <v>39</v>
      </c>
      <c r="F33" s="2"/>
      <c r="G33" s="2"/>
      <c r="H33" s="2"/>
      <c r="I33" s="3">
        <f t="shared" si="0"/>
        <v>44</v>
      </c>
    </row>
    <row r="34" spans="1:9" x14ac:dyDescent="0.3">
      <c r="A34" s="2" t="s">
        <v>146</v>
      </c>
      <c r="B34" s="2" t="s">
        <v>644</v>
      </c>
      <c r="C34" s="2"/>
      <c r="D34" s="2" t="s">
        <v>645</v>
      </c>
      <c r="E34" s="2" t="s">
        <v>39</v>
      </c>
      <c r="F34" s="2"/>
      <c r="G34" s="2"/>
      <c r="H34" s="2" t="s">
        <v>646</v>
      </c>
      <c r="I34" s="3">
        <f t="shared" si="0"/>
        <v>45</v>
      </c>
    </row>
    <row r="35" spans="1:9" x14ac:dyDescent="0.3">
      <c r="A35" s="2" t="s">
        <v>146</v>
      </c>
      <c r="B35" s="2" t="s">
        <v>647</v>
      </c>
      <c r="C35" s="2" t="s">
        <v>544</v>
      </c>
      <c r="D35" s="2" t="s">
        <v>648</v>
      </c>
      <c r="E35" s="2" t="s">
        <v>39</v>
      </c>
      <c r="F35" s="2"/>
      <c r="G35" s="2"/>
      <c r="H35" s="2"/>
      <c r="I35" s="3">
        <f t="shared" si="0"/>
        <v>45</v>
      </c>
    </row>
    <row r="36" spans="1:9" x14ac:dyDescent="0.3">
      <c r="A36" s="2" t="s">
        <v>146</v>
      </c>
      <c r="B36" s="2" t="s">
        <v>663</v>
      </c>
      <c r="C36" s="2" t="s">
        <v>214</v>
      </c>
      <c r="D36" s="2" t="s">
        <v>664</v>
      </c>
      <c r="E36" s="2" t="s">
        <v>39</v>
      </c>
      <c r="F36" s="2"/>
      <c r="G36" s="2"/>
      <c r="H36" s="2" t="s">
        <v>216</v>
      </c>
      <c r="I36" s="3">
        <f t="shared" si="0"/>
        <v>46</v>
      </c>
    </row>
    <row r="37" spans="1:9" x14ac:dyDescent="0.3">
      <c r="A37" s="2" t="s">
        <v>146</v>
      </c>
      <c r="B37" s="2" t="s">
        <v>675</v>
      </c>
      <c r="C37" s="2" t="s">
        <v>515</v>
      </c>
      <c r="D37" s="2" t="s">
        <v>676</v>
      </c>
      <c r="E37" s="2" t="s">
        <v>39</v>
      </c>
      <c r="F37" s="2"/>
      <c r="G37" s="2"/>
      <c r="H37" s="2"/>
      <c r="I37" s="3">
        <f t="shared" si="0"/>
        <v>46</v>
      </c>
    </row>
    <row r="38" spans="1:9" x14ac:dyDescent="0.3">
      <c r="A38" s="2" t="s">
        <v>146</v>
      </c>
      <c r="B38" s="2" t="s">
        <v>296</v>
      </c>
      <c r="C38" s="2"/>
      <c r="D38" s="2" t="s">
        <v>677</v>
      </c>
      <c r="E38" s="2" t="s">
        <v>39</v>
      </c>
      <c r="F38" s="2"/>
      <c r="G38" s="2"/>
      <c r="H38" s="2"/>
      <c r="I38" s="3">
        <f t="shared" si="0"/>
        <v>46</v>
      </c>
    </row>
    <row r="39" spans="1:9" x14ac:dyDescent="0.3">
      <c r="A39" s="2" t="s">
        <v>146</v>
      </c>
      <c r="B39" s="2" t="s">
        <v>678</v>
      </c>
      <c r="C39" s="2"/>
      <c r="D39" s="2" t="s">
        <v>679</v>
      </c>
      <c r="E39" s="2" t="s">
        <v>39</v>
      </c>
      <c r="F39" s="2"/>
      <c r="G39" s="2"/>
      <c r="H39" s="2"/>
      <c r="I39" s="3">
        <f t="shared" si="0"/>
        <v>46</v>
      </c>
    </row>
    <row r="40" spans="1:9" x14ac:dyDescent="0.3">
      <c r="A40" s="2" t="s">
        <v>146</v>
      </c>
      <c r="B40" s="2" t="s">
        <v>680</v>
      </c>
      <c r="C40" s="2"/>
      <c r="D40" s="2" t="s">
        <v>681</v>
      </c>
      <c r="E40" s="2" t="s">
        <v>39</v>
      </c>
      <c r="F40" s="2"/>
      <c r="G40" s="2"/>
      <c r="H40" s="2"/>
      <c r="I40" s="3">
        <f t="shared" si="0"/>
        <v>46</v>
      </c>
    </row>
    <row r="41" spans="1:9" x14ac:dyDescent="0.3">
      <c r="A41" s="2" t="s">
        <v>146</v>
      </c>
      <c r="B41" s="2" t="s">
        <v>690</v>
      </c>
      <c r="C41" s="2" t="s">
        <v>691</v>
      </c>
      <c r="D41" s="2" t="s">
        <v>692</v>
      </c>
      <c r="E41" s="2" t="s">
        <v>39</v>
      </c>
      <c r="F41" s="2"/>
      <c r="G41" s="2"/>
      <c r="H41" s="2" t="s">
        <v>646</v>
      </c>
      <c r="I41" s="3">
        <f t="shared" si="0"/>
        <v>47</v>
      </c>
    </row>
    <row r="42" spans="1:9" x14ac:dyDescent="0.3">
      <c r="A42" s="2" t="s">
        <v>146</v>
      </c>
      <c r="B42" s="2" t="s">
        <v>693</v>
      </c>
      <c r="C42" s="2" t="s">
        <v>515</v>
      </c>
      <c r="D42" s="2" t="s">
        <v>694</v>
      </c>
      <c r="E42" s="2" t="s">
        <v>39</v>
      </c>
      <c r="F42" s="2"/>
      <c r="G42" s="2"/>
      <c r="H42" s="2"/>
      <c r="I42" s="3">
        <f t="shared" si="0"/>
        <v>47</v>
      </c>
    </row>
    <row r="43" spans="1:9" x14ac:dyDescent="0.3">
      <c r="A43" s="2" t="s">
        <v>146</v>
      </c>
      <c r="B43" s="2" t="s">
        <v>695</v>
      </c>
      <c r="C43" s="2"/>
      <c r="D43" s="2" t="s">
        <v>696</v>
      </c>
      <c r="E43" s="2" t="s">
        <v>39</v>
      </c>
      <c r="F43" s="2"/>
      <c r="G43" s="2"/>
      <c r="H43" s="2"/>
      <c r="I43" s="3">
        <f t="shared" si="0"/>
        <v>47</v>
      </c>
    </row>
    <row r="44" spans="1:9" x14ac:dyDescent="0.3">
      <c r="A44" s="2" t="s">
        <v>146</v>
      </c>
      <c r="B44" s="2" t="s">
        <v>700</v>
      </c>
      <c r="C44" s="2"/>
      <c r="D44" s="2" t="s">
        <v>701</v>
      </c>
      <c r="E44" s="2" t="s">
        <v>39</v>
      </c>
      <c r="F44" s="2"/>
      <c r="G44" s="2"/>
      <c r="H44" s="2"/>
      <c r="I44" s="3">
        <f t="shared" si="0"/>
        <v>47</v>
      </c>
    </row>
    <row r="45" spans="1:9" x14ac:dyDescent="0.3">
      <c r="A45" s="2" t="s">
        <v>146</v>
      </c>
      <c r="B45" s="2" t="s">
        <v>713</v>
      </c>
      <c r="C45" s="2" t="s">
        <v>515</v>
      </c>
      <c r="D45" s="2" t="s">
        <v>714</v>
      </c>
      <c r="E45" s="2" t="s">
        <v>39</v>
      </c>
      <c r="F45" s="2"/>
      <c r="G45" s="2"/>
      <c r="H45" s="2"/>
      <c r="I45" s="3">
        <f t="shared" si="0"/>
        <v>48</v>
      </c>
    </row>
    <row r="46" spans="1:9" x14ac:dyDescent="0.3">
      <c r="A46" s="2" t="s">
        <v>146</v>
      </c>
      <c r="B46" s="2" t="s">
        <v>722</v>
      </c>
      <c r="C46" s="2"/>
      <c r="D46" s="2" t="s">
        <v>723</v>
      </c>
      <c r="E46" s="2" t="s">
        <v>39</v>
      </c>
      <c r="F46" s="2"/>
      <c r="G46" s="2"/>
      <c r="H46" s="2"/>
      <c r="I46" s="3">
        <f t="shared" si="0"/>
        <v>48</v>
      </c>
    </row>
    <row r="47" spans="1:9" x14ac:dyDescent="0.3">
      <c r="A47" s="2" t="s">
        <v>146</v>
      </c>
      <c r="B47" s="2" t="s">
        <v>749</v>
      </c>
      <c r="C47" s="2" t="s">
        <v>389</v>
      </c>
      <c r="D47" s="2" t="s">
        <v>750</v>
      </c>
      <c r="E47" s="2" t="s">
        <v>39</v>
      </c>
      <c r="F47" s="2"/>
      <c r="G47" s="2"/>
      <c r="H47" s="2"/>
      <c r="I47" s="3">
        <f t="shared" si="0"/>
        <v>49</v>
      </c>
    </row>
    <row r="48" spans="1:9" x14ac:dyDescent="0.3">
      <c r="A48" s="2" t="s">
        <v>146</v>
      </c>
      <c r="B48" s="2" t="s">
        <v>760</v>
      </c>
      <c r="C48" s="2" t="s">
        <v>214</v>
      </c>
      <c r="D48" s="2" t="s">
        <v>761</v>
      </c>
      <c r="E48" s="2" t="s">
        <v>39</v>
      </c>
      <c r="F48" s="2"/>
      <c r="G48" s="2"/>
      <c r="H48" s="2"/>
      <c r="I48" s="3">
        <f t="shared" si="0"/>
        <v>49</v>
      </c>
    </row>
    <row r="49" spans="1:9" x14ac:dyDescent="0.3">
      <c r="A49" s="2" t="s">
        <v>146</v>
      </c>
      <c r="B49" s="2" t="s">
        <v>765</v>
      </c>
      <c r="C49" s="2"/>
      <c r="D49" s="2" t="s">
        <v>766</v>
      </c>
      <c r="E49" s="2" t="s">
        <v>39</v>
      </c>
      <c r="F49" s="2"/>
      <c r="G49" s="2"/>
      <c r="H49" s="2"/>
      <c r="I49" s="3">
        <f t="shared" si="0"/>
        <v>49</v>
      </c>
    </row>
    <row r="50" spans="1:9" x14ac:dyDescent="0.3">
      <c r="A50" s="2" t="s">
        <v>146</v>
      </c>
      <c r="B50" s="2" t="s">
        <v>767</v>
      </c>
      <c r="C50" s="2"/>
      <c r="D50" s="2" t="s">
        <v>768</v>
      </c>
      <c r="E50" s="2" t="s">
        <v>39</v>
      </c>
      <c r="F50" s="2"/>
      <c r="G50" s="2"/>
      <c r="H50" s="2"/>
      <c r="I50" s="3">
        <f t="shared" si="0"/>
        <v>49</v>
      </c>
    </row>
    <row r="51" spans="1:9" x14ac:dyDescent="0.3">
      <c r="A51" s="2" t="s">
        <v>146</v>
      </c>
      <c r="B51" s="2" t="s">
        <v>787</v>
      </c>
      <c r="C51" s="2" t="s">
        <v>788</v>
      </c>
      <c r="D51" s="2" t="s">
        <v>789</v>
      </c>
      <c r="E51" s="2" t="s">
        <v>39</v>
      </c>
      <c r="F51" s="2"/>
      <c r="G51" s="2"/>
      <c r="H51" s="2"/>
      <c r="I51" s="3">
        <f t="shared" si="0"/>
        <v>50</v>
      </c>
    </row>
    <row r="52" spans="1:9" x14ac:dyDescent="0.3">
      <c r="A52" s="2" t="s">
        <v>146</v>
      </c>
      <c r="B52" s="2" t="s">
        <v>794</v>
      </c>
      <c r="C52" s="2" t="s">
        <v>95</v>
      </c>
      <c r="D52" s="2" t="s">
        <v>795</v>
      </c>
      <c r="E52" s="2" t="s">
        <v>39</v>
      </c>
      <c r="F52" s="2"/>
      <c r="G52" s="2"/>
      <c r="H52" s="2"/>
      <c r="I52" s="3">
        <f t="shared" si="0"/>
        <v>50</v>
      </c>
    </row>
    <row r="53" spans="1:9" x14ac:dyDescent="0.3">
      <c r="A53" s="2" t="s">
        <v>146</v>
      </c>
      <c r="B53" s="2" t="s">
        <v>796</v>
      </c>
      <c r="C53" s="2" t="s">
        <v>437</v>
      </c>
      <c r="D53" s="2" t="s">
        <v>797</v>
      </c>
      <c r="E53" s="2" t="s">
        <v>39</v>
      </c>
      <c r="F53" s="2"/>
      <c r="G53" s="2"/>
      <c r="H53" s="2"/>
      <c r="I53" s="3">
        <f t="shared" si="0"/>
        <v>50</v>
      </c>
    </row>
    <row r="54" spans="1:9" x14ac:dyDescent="0.3">
      <c r="A54" s="2" t="s">
        <v>146</v>
      </c>
      <c r="B54" s="2" t="s">
        <v>798</v>
      </c>
      <c r="C54" s="2"/>
      <c r="D54" s="2" t="s">
        <v>799</v>
      </c>
      <c r="E54" s="2" t="s">
        <v>39</v>
      </c>
      <c r="F54" s="2"/>
      <c r="G54" s="2"/>
      <c r="H54" s="2"/>
      <c r="I54" s="3">
        <f t="shared" si="0"/>
        <v>50</v>
      </c>
    </row>
    <row r="55" spans="1:9" x14ac:dyDescent="0.3">
      <c r="A55" s="2" t="s">
        <v>146</v>
      </c>
      <c r="B55" s="2" t="s">
        <v>800</v>
      </c>
      <c r="C55" s="2"/>
      <c r="D55" s="2" t="s">
        <v>801</v>
      </c>
      <c r="E55" s="2" t="s">
        <v>379</v>
      </c>
      <c r="F55" s="2"/>
      <c r="G55" s="2"/>
      <c r="H55" s="2"/>
      <c r="I55" s="3">
        <f t="shared" si="0"/>
        <v>50</v>
      </c>
    </row>
    <row r="56" spans="1:9" x14ac:dyDescent="0.3">
      <c r="A56" s="2" t="s">
        <v>146</v>
      </c>
      <c r="B56" s="2" t="s">
        <v>802</v>
      </c>
      <c r="C56" s="2" t="s">
        <v>178</v>
      </c>
      <c r="D56" s="2" t="s">
        <v>803</v>
      </c>
      <c r="E56" s="2" t="s">
        <v>39</v>
      </c>
      <c r="F56" s="2"/>
      <c r="G56" s="2"/>
      <c r="H56" s="2"/>
      <c r="I56" s="3">
        <f t="shared" si="0"/>
        <v>50</v>
      </c>
    </row>
    <row r="57" spans="1:9" x14ac:dyDescent="0.3">
      <c r="A57" s="2" t="s">
        <v>146</v>
      </c>
      <c r="B57" s="2" t="s">
        <v>819</v>
      </c>
      <c r="C57" s="2" t="s">
        <v>559</v>
      </c>
      <c r="D57" s="2" t="s">
        <v>820</v>
      </c>
      <c r="E57" s="2" t="s">
        <v>39</v>
      </c>
      <c r="F57" s="2"/>
      <c r="G57" s="2"/>
      <c r="H57" s="2"/>
      <c r="I57" s="3">
        <f t="shared" si="0"/>
        <v>51</v>
      </c>
    </row>
    <row r="58" spans="1:9" x14ac:dyDescent="0.3">
      <c r="A58" s="2" t="s">
        <v>146</v>
      </c>
      <c r="B58" s="2" t="s">
        <v>838</v>
      </c>
      <c r="C58" s="2"/>
      <c r="D58" s="2" t="s">
        <v>839</v>
      </c>
      <c r="E58" s="2" t="s">
        <v>39</v>
      </c>
      <c r="F58" s="2"/>
      <c r="G58" s="2"/>
      <c r="H58" s="2"/>
      <c r="I58" s="3">
        <f t="shared" si="0"/>
        <v>51</v>
      </c>
    </row>
    <row r="59" spans="1:9" x14ac:dyDescent="0.3">
      <c r="A59" s="2" t="s">
        <v>146</v>
      </c>
      <c r="B59" s="2" t="s">
        <v>840</v>
      </c>
      <c r="C59" s="2"/>
      <c r="D59" s="2" t="s">
        <v>841</v>
      </c>
      <c r="E59" s="2" t="s">
        <v>39</v>
      </c>
      <c r="F59" s="2"/>
      <c r="G59" s="2"/>
      <c r="H59" s="2"/>
      <c r="I59" s="3">
        <f t="shared" si="0"/>
        <v>51</v>
      </c>
    </row>
    <row r="60" spans="1:9" x14ac:dyDescent="0.3">
      <c r="A60" s="2" t="s">
        <v>146</v>
      </c>
      <c r="B60" s="2" t="s">
        <v>765</v>
      </c>
      <c r="C60" s="2"/>
      <c r="D60" s="2" t="s">
        <v>844</v>
      </c>
      <c r="E60" s="2" t="s">
        <v>39</v>
      </c>
      <c r="F60" s="2"/>
      <c r="G60" s="2"/>
      <c r="H60" s="2"/>
      <c r="I60" s="3">
        <f t="shared" si="0"/>
        <v>51</v>
      </c>
    </row>
    <row r="61" spans="1:9" x14ac:dyDescent="0.3">
      <c r="A61" s="2" t="s">
        <v>146</v>
      </c>
      <c r="B61" s="2" t="s">
        <v>851</v>
      </c>
      <c r="C61" s="2" t="s">
        <v>178</v>
      </c>
      <c r="D61" s="2" t="s">
        <v>852</v>
      </c>
      <c r="E61" s="2" t="s">
        <v>39</v>
      </c>
      <c r="F61" s="2"/>
      <c r="G61" s="2"/>
      <c r="H61" s="2"/>
      <c r="I61" s="3">
        <f t="shared" si="0"/>
        <v>51</v>
      </c>
    </row>
    <row r="62" spans="1:9" x14ac:dyDescent="0.3">
      <c r="A62" s="2" t="s">
        <v>146</v>
      </c>
      <c r="B62" s="2" t="s">
        <v>855</v>
      </c>
      <c r="C62" s="2" t="s">
        <v>856</v>
      </c>
      <c r="D62" s="2" t="s">
        <v>857</v>
      </c>
      <c r="E62" s="2"/>
      <c r="F62" s="2"/>
      <c r="G62" s="2"/>
      <c r="H62" s="2"/>
      <c r="I62" s="3">
        <f t="shared" si="0"/>
        <v>51</v>
      </c>
    </row>
    <row r="63" spans="1:9" x14ac:dyDescent="0.3">
      <c r="A63" s="2" t="s">
        <v>146</v>
      </c>
      <c r="B63" s="2" t="s">
        <v>865</v>
      </c>
      <c r="C63" s="2" t="s">
        <v>866</v>
      </c>
      <c r="D63" s="2" t="s">
        <v>867</v>
      </c>
      <c r="E63" s="2" t="s">
        <v>39</v>
      </c>
      <c r="F63" s="2"/>
      <c r="G63" s="2"/>
      <c r="H63" s="2"/>
      <c r="I63" s="3">
        <f t="shared" si="0"/>
        <v>52</v>
      </c>
    </row>
    <row r="64" spans="1:9" x14ac:dyDescent="0.3">
      <c r="A64" s="2" t="s">
        <v>146</v>
      </c>
      <c r="B64" s="2" t="s">
        <v>870</v>
      </c>
      <c r="C64" s="2"/>
      <c r="D64" s="2" t="s">
        <v>871</v>
      </c>
      <c r="E64" s="2" t="s">
        <v>39</v>
      </c>
      <c r="F64" s="2"/>
      <c r="G64" s="2"/>
      <c r="H64" s="2"/>
      <c r="I64" s="3">
        <f t="shared" si="0"/>
        <v>52</v>
      </c>
    </row>
    <row r="65" spans="1:9" x14ac:dyDescent="0.3">
      <c r="A65" s="2" t="s">
        <v>146</v>
      </c>
      <c r="B65" s="2" t="s">
        <v>872</v>
      </c>
      <c r="C65" s="2" t="s">
        <v>178</v>
      </c>
      <c r="D65" s="2" t="s">
        <v>873</v>
      </c>
      <c r="E65" s="2" t="s">
        <v>39</v>
      </c>
      <c r="F65" s="2"/>
      <c r="G65" s="2"/>
      <c r="H65" s="2"/>
      <c r="I65" s="3">
        <f t="shared" si="0"/>
        <v>52</v>
      </c>
    </row>
    <row r="66" spans="1:9" x14ac:dyDescent="0.3">
      <c r="A66" s="2" t="s">
        <v>146</v>
      </c>
      <c r="B66" s="2" t="s">
        <v>879</v>
      </c>
      <c r="C66" s="2" t="s">
        <v>148</v>
      </c>
      <c r="D66" s="2" t="s">
        <v>880</v>
      </c>
      <c r="E66" s="2" t="s">
        <v>39</v>
      </c>
      <c r="F66" s="2"/>
      <c r="G66" s="2"/>
      <c r="H66" s="2"/>
      <c r="I66" s="3">
        <f t="shared" ref="I66:I129" si="1">LEN(D66)</f>
        <v>52</v>
      </c>
    </row>
    <row r="67" spans="1:9" x14ac:dyDescent="0.3">
      <c r="A67" s="2" t="s">
        <v>146</v>
      </c>
      <c r="B67" s="2" t="s">
        <v>881</v>
      </c>
      <c r="C67" s="2" t="s">
        <v>240</v>
      </c>
      <c r="D67" s="2" t="s">
        <v>882</v>
      </c>
      <c r="E67" s="2" t="s">
        <v>383</v>
      </c>
      <c r="F67" s="2"/>
      <c r="G67" s="2"/>
      <c r="H67" s="2"/>
      <c r="I67" s="3">
        <f t="shared" si="1"/>
        <v>52</v>
      </c>
    </row>
    <row r="68" spans="1:9" x14ac:dyDescent="0.3">
      <c r="A68" s="2" t="s">
        <v>146</v>
      </c>
      <c r="B68" s="2" t="s">
        <v>901</v>
      </c>
      <c r="C68" s="2" t="s">
        <v>389</v>
      </c>
      <c r="D68" s="2" t="s">
        <v>902</v>
      </c>
      <c r="E68" s="2" t="s">
        <v>39</v>
      </c>
      <c r="F68" s="2"/>
      <c r="G68" s="2"/>
      <c r="H68" s="2"/>
      <c r="I68" s="3">
        <f t="shared" si="1"/>
        <v>53</v>
      </c>
    </row>
    <row r="69" spans="1:9" x14ac:dyDescent="0.3">
      <c r="A69" s="2" t="s">
        <v>146</v>
      </c>
      <c r="B69" s="2" t="s">
        <v>910</v>
      </c>
      <c r="C69" s="3" t="s">
        <v>911</v>
      </c>
      <c r="D69" s="2" t="s">
        <v>912</v>
      </c>
      <c r="E69" s="2"/>
      <c r="F69" s="2"/>
      <c r="G69" s="2"/>
      <c r="H69" s="2"/>
      <c r="I69" s="3">
        <f t="shared" si="1"/>
        <v>53</v>
      </c>
    </row>
    <row r="70" spans="1:9" x14ac:dyDescent="0.3">
      <c r="A70" s="2" t="s">
        <v>146</v>
      </c>
      <c r="B70" s="2" t="s">
        <v>919</v>
      </c>
      <c r="C70" s="2" t="s">
        <v>95</v>
      </c>
      <c r="D70" s="2" t="s">
        <v>920</v>
      </c>
      <c r="E70" s="2" t="s">
        <v>39</v>
      </c>
      <c r="F70" s="2"/>
      <c r="G70" s="2"/>
      <c r="H70" s="2"/>
      <c r="I70" s="3">
        <f t="shared" si="1"/>
        <v>53</v>
      </c>
    </row>
    <row r="71" spans="1:9" x14ac:dyDescent="0.3">
      <c r="A71" s="2" t="s">
        <v>146</v>
      </c>
      <c r="B71" s="2" t="s">
        <v>921</v>
      </c>
      <c r="C71" s="2" t="s">
        <v>214</v>
      </c>
      <c r="D71" s="2" t="s">
        <v>922</v>
      </c>
      <c r="E71" s="2" t="s">
        <v>39</v>
      </c>
      <c r="F71" s="2"/>
      <c r="G71" s="2"/>
      <c r="H71" s="2"/>
      <c r="I71" s="3">
        <f t="shared" si="1"/>
        <v>53</v>
      </c>
    </row>
    <row r="72" spans="1:9" x14ac:dyDescent="0.3">
      <c r="A72" s="2" t="s">
        <v>146</v>
      </c>
      <c r="B72" s="2" t="s">
        <v>925</v>
      </c>
      <c r="C72" s="2" t="s">
        <v>437</v>
      </c>
      <c r="D72" s="2" t="s">
        <v>926</v>
      </c>
      <c r="E72" s="2"/>
      <c r="F72" s="2"/>
      <c r="G72" s="2"/>
      <c r="H72" s="2"/>
      <c r="I72" s="3">
        <f t="shared" si="1"/>
        <v>53</v>
      </c>
    </row>
    <row r="73" spans="1:9" x14ac:dyDescent="0.3">
      <c r="A73" s="2" t="s">
        <v>146</v>
      </c>
      <c r="B73" s="2" t="s">
        <v>927</v>
      </c>
      <c r="C73" s="2"/>
      <c r="D73" s="2" t="s">
        <v>928</v>
      </c>
      <c r="E73" s="2" t="s">
        <v>39</v>
      </c>
      <c r="F73" s="2"/>
      <c r="G73" s="2"/>
      <c r="H73" s="2"/>
      <c r="I73" s="3">
        <f t="shared" si="1"/>
        <v>53</v>
      </c>
    </row>
    <row r="74" spans="1:9" x14ac:dyDescent="0.3">
      <c r="A74" s="2" t="s">
        <v>146</v>
      </c>
      <c r="B74" s="2" t="s">
        <v>931</v>
      </c>
      <c r="C74" s="2" t="s">
        <v>178</v>
      </c>
      <c r="D74" s="2" t="s">
        <v>932</v>
      </c>
      <c r="E74" s="2" t="s">
        <v>39</v>
      </c>
      <c r="F74" s="2"/>
      <c r="G74" s="2"/>
      <c r="H74" s="2"/>
      <c r="I74" s="3">
        <f t="shared" si="1"/>
        <v>53</v>
      </c>
    </row>
    <row r="75" spans="1:9" x14ac:dyDescent="0.3">
      <c r="A75" s="2" t="s">
        <v>146</v>
      </c>
      <c r="B75" s="2" t="s">
        <v>933</v>
      </c>
      <c r="C75" s="2"/>
      <c r="D75" s="2" t="s">
        <v>934</v>
      </c>
      <c r="E75" s="2" t="s">
        <v>39</v>
      </c>
      <c r="F75" s="2"/>
      <c r="G75" s="2"/>
      <c r="H75" s="2"/>
      <c r="I75" s="3">
        <f t="shared" si="1"/>
        <v>53</v>
      </c>
    </row>
    <row r="76" spans="1:9" x14ac:dyDescent="0.3">
      <c r="A76" s="2" t="s">
        <v>146</v>
      </c>
      <c r="B76" s="2" t="s">
        <v>935</v>
      </c>
      <c r="C76" s="2" t="s">
        <v>437</v>
      </c>
      <c r="D76" s="2" t="s">
        <v>936</v>
      </c>
      <c r="E76" s="2" t="s">
        <v>39</v>
      </c>
      <c r="F76" s="2"/>
      <c r="G76" s="2"/>
      <c r="H76" s="2"/>
      <c r="I76" s="3">
        <f t="shared" si="1"/>
        <v>53</v>
      </c>
    </row>
    <row r="77" spans="1:9" x14ac:dyDescent="0.3">
      <c r="A77" s="2" t="s">
        <v>146</v>
      </c>
      <c r="B77" s="2" t="s">
        <v>941</v>
      </c>
      <c r="C77" s="2" t="s">
        <v>515</v>
      </c>
      <c r="D77" s="2" t="s">
        <v>942</v>
      </c>
      <c r="E77" s="2" t="s">
        <v>39</v>
      </c>
      <c r="F77" s="2"/>
      <c r="G77" s="2"/>
      <c r="H77" s="2"/>
      <c r="I77" s="3">
        <f t="shared" si="1"/>
        <v>53</v>
      </c>
    </row>
    <row r="78" spans="1:9" x14ac:dyDescent="0.3">
      <c r="A78" s="2" t="s">
        <v>146</v>
      </c>
      <c r="B78" s="2" t="s">
        <v>943</v>
      </c>
      <c r="C78" s="2" t="s">
        <v>95</v>
      </c>
      <c r="D78" s="2" t="s">
        <v>944</v>
      </c>
      <c r="E78" s="2" t="s">
        <v>39</v>
      </c>
      <c r="F78" s="2"/>
      <c r="G78" s="2"/>
      <c r="H78" s="2"/>
      <c r="I78" s="3">
        <f t="shared" si="1"/>
        <v>53</v>
      </c>
    </row>
    <row r="79" spans="1:9" x14ac:dyDescent="0.3">
      <c r="A79" s="2" t="s">
        <v>146</v>
      </c>
      <c r="B79" s="2" t="s">
        <v>961</v>
      </c>
      <c r="C79" s="2"/>
      <c r="D79" s="2" t="s">
        <v>962</v>
      </c>
      <c r="E79" s="2" t="s">
        <v>39</v>
      </c>
      <c r="F79" s="2"/>
      <c r="G79" s="2"/>
      <c r="H79" s="2"/>
      <c r="I79" s="3">
        <f t="shared" si="1"/>
        <v>54</v>
      </c>
    </row>
    <row r="80" spans="1:9" x14ac:dyDescent="0.3">
      <c r="A80" s="2" t="s">
        <v>146</v>
      </c>
      <c r="B80" s="2" t="s">
        <v>963</v>
      </c>
      <c r="C80" s="2" t="s">
        <v>491</v>
      </c>
      <c r="D80" s="2" t="s">
        <v>964</v>
      </c>
      <c r="E80" s="2" t="s">
        <v>39</v>
      </c>
      <c r="F80" s="2"/>
      <c r="G80" s="2"/>
      <c r="H80" s="2"/>
      <c r="I80" s="3">
        <f t="shared" si="1"/>
        <v>54</v>
      </c>
    </row>
    <row r="81" spans="1:9" x14ac:dyDescent="0.3">
      <c r="A81" s="2" t="s">
        <v>146</v>
      </c>
      <c r="B81" s="2" t="s">
        <v>965</v>
      </c>
      <c r="C81" s="2" t="s">
        <v>491</v>
      </c>
      <c r="D81" s="2" t="s">
        <v>966</v>
      </c>
      <c r="E81" s="2" t="s">
        <v>39</v>
      </c>
      <c r="F81" s="2"/>
      <c r="G81" s="2"/>
      <c r="H81" s="2"/>
      <c r="I81" s="3">
        <f t="shared" si="1"/>
        <v>54</v>
      </c>
    </row>
    <row r="82" spans="1:9" x14ac:dyDescent="0.3">
      <c r="A82" s="2" t="s">
        <v>146</v>
      </c>
      <c r="B82" s="2" t="s">
        <v>967</v>
      </c>
      <c r="C82" s="2" t="s">
        <v>491</v>
      </c>
      <c r="D82" s="2" t="s">
        <v>968</v>
      </c>
      <c r="E82" s="2" t="s">
        <v>39</v>
      </c>
      <c r="F82" s="2"/>
      <c r="G82" s="2"/>
      <c r="H82" s="2"/>
      <c r="I82" s="3">
        <f t="shared" si="1"/>
        <v>54</v>
      </c>
    </row>
    <row r="83" spans="1:9" x14ac:dyDescent="0.3">
      <c r="A83" s="2" t="s">
        <v>146</v>
      </c>
      <c r="B83" s="2" t="s">
        <v>971</v>
      </c>
      <c r="C83" s="2" t="s">
        <v>144</v>
      </c>
      <c r="D83" s="2" t="s">
        <v>972</v>
      </c>
      <c r="E83" s="2" t="s">
        <v>39</v>
      </c>
      <c r="F83" s="2"/>
      <c r="G83" s="2"/>
      <c r="H83" s="2"/>
      <c r="I83" s="3">
        <f t="shared" si="1"/>
        <v>54</v>
      </c>
    </row>
    <row r="84" spans="1:9" x14ac:dyDescent="0.3">
      <c r="A84" s="2" t="s">
        <v>146</v>
      </c>
      <c r="B84" s="2" t="s">
        <v>973</v>
      </c>
      <c r="C84" s="2" t="s">
        <v>437</v>
      </c>
      <c r="D84" s="2" t="s">
        <v>974</v>
      </c>
      <c r="E84" s="2" t="s">
        <v>39</v>
      </c>
      <c r="F84" s="2"/>
      <c r="G84" s="2"/>
      <c r="H84" s="2"/>
      <c r="I84" s="3">
        <f t="shared" si="1"/>
        <v>54</v>
      </c>
    </row>
    <row r="85" spans="1:9" x14ac:dyDescent="0.3">
      <c r="A85" s="2" t="s">
        <v>146</v>
      </c>
      <c r="B85" s="2" t="s">
        <v>979</v>
      </c>
      <c r="C85" s="2" t="s">
        <v>178</v>
      </c>
      <c r="D85" s="2" t="s">
        <v>980</v>
      </c>
      <c r="E85" s="2" t="s">
        <v>39</v>
      </c>
      <c r="F85" s="2"/>
      <c r="G85" s="2"/>
      <c r="H85" s="2"/>
      <c r="I85" s="3">
        <f t="shared" si="1"/>
        <v>54</v>
      </c>
    </row>
    <row r="86" spans="1:9" x14ac:dyDescent="0.3">
      <c r="A86" s="2" t="s">
        <v>146</v>
      </c>
      <c r="B86" s="2" t="s">
        <v>991</v>
      </c>
      <c r="C86" s="2"/>
      <c r="D86" s="2" t="s">
        <v>992</v>
      </c>
      <c r="E86" s="2" t="s">
        <v>39</v>
      </c>
      <c r="F86" s="2"/>
      <c r="G86" s="2"/>
      <c r="H86" s="2" t="s">
        <v>216</v>
      </c>
      <c r="I86" s="3">
        <f t="shared" si="1"/>
        <v>55</v>
      </c>
    </row>
    <row r="87" spans="1:9" x14ac:dyDescent="0.3">
      <c r="A87" s="2" t="s">
        <v>146</v>
      </c>
      <c r="B87" s="2" t="s">
        <v>1000</v>
      </c>
      <c r="C87" s="2" t="s">
        <v>515</v>
      </c>
      <c r="D87" s="2" t="s">
        <v>1001</v>
      </c>
      <c r="E87" s="2" t="s">
        <v>39</v>
      </c>
      <c r="F87" s="2"/>
      <c r="G87" s="2"/>
      <c r="H87" s="2"/>
      <c r="I87" s="3">
        <f t="shared" si="1"/>
        <v>55</v>
      </c>
    </row>
    <row r="88" spans="1:9" x14ac:dyDescent="0.3">
      <c r="A88" s="2" t="s">
        <v>146</v>
      </c>
      <c r="B88" s="2" t="s">
        <v>1003</v>
      </c>
      <c r="C88" s="2" t="s">
        <v>95</v>
      </c>
      <c r="D88" s="2" t="s">
        <v>1004</v>
      </c>
      <c r="E88" s="2" t="s">
        <v>39</v>
      </c>
      <c r="F88" s="2"/>
      <c r="G88" s="2"/>
      <c r="H88" s="2"/>
      <c r="I88" s="3">
        <f t="shared" si="1"/>
        <v>55</v>
      </c>
    </row>
    <row r="89" spans="1:9" x14ac:dyDescent="0.3">
      <c r="A89" s="2" t="s">
        <v>146</v>
      </c>
      <c r="B89" s="2" t="s">
        <v>1007</v>
      </c>
      <c r="C89" s="2" t="s">
        <v>491</v>
      </c>
      <c r="D89" s="2" t="s">
        <v>1008</v>
      </c>
      <c r="E89" s="2" t="s">
        <v>39</v>
      </c>
      <c r="F89" s="2"/>
      <c r="G89" s="2"/>
      <c r="H89" s="2"/>
      <c r="I89" s="3">
        <f t="shared" si="1"/>
        <v>55</v>
      </c>
    </row>
    <row r="90" spans="1:9" x14ac:dyDescent="0.3">
      <c r="A90" s="2" t="s">
        <v>146</v>
      </c>
      <c r="B90" s="2" t="s">
        <v>1009</v>
      </c>
      <c r="C90" s="2" t="s">
        <v>491</v>
      </c>
      <c r="D90" s="2" t="s">
        <v>1010</v>
      </c>
      <c r="E90" s="2" t="s">
        <v>39</v>
      </c>
      <c r="F90" s="2"/>
      <c r="G90" s="2"/>
      <c r="H90" s="2"/>
      <c r="I90" s="3">
        <f t="shared" si="1"/>
        <v>55</v>
      </c>
    </row>
    <row r="91" spans="1:9" x14ac:dyDescent="0.3">
      <c r="A91" s="2" t="s">
        <v>146</v>
      </c>
      <c r="B91" s="2" t="s">
        <v>1011</v>
      </c>
      <c r="C91" s="2"/>
      <c r="D91" s="2" t="s">
        <v>1012</v>
      </c>
      <c r="E91" s="2" t="s">
        <v>39</v>
      </c>
      <c r="F91" s="2"/>
      <c r="G91" s="2"/>
      <c r="H91" s="2"/>
      <c r="I91" s="3">
        <f t="shared" si="1"/>
        <v>55</v>
      </c>
    </row>
    <row r="92" spans="1:9" x14ac:dyDescent="0.3">
      <c r="A92" s="2" t="s">
        <v>146</v>
      </c>
      <c r="B92" s="2" t="s">
        <v>1013</v>
      </c>
      <c r="C92" s="2"/>
      <c r="D92" s="2" t="s">
        <v>1014</v>
      </c>
      <c r="E92" s="2"/>
      <c r="F92" s="2"/>
      <c r="G92" s="2"/>
      <c r="H92" s="2"/>
      <c r="I92" s="3">
        <f t="shared" si="1"/>
        <v>55</v>
      </c>
    </row>
    <row r="93" spans="1:9" x14ac:dyDescent="0.3">
      <c r="A93" s="2" t="s">
        <v>146</v>
      </c>
      <c r="B93" s="2" t="s">
        <v>1015</v>
      </c>
      <c r="C93" s="2"/>
      <c r="D93" s="2" t="s">
        <v>1016</v>
      </c>
      <c r="E93" s="2" t="s">
        <v>39</v>
      </c>
      <c r="F93" s="2"/>
      <c r="G93" s="2"/>
      <c r="H93" s="2"/>
      <c r="I93" s="3">
        <f t="shared" si="1"/>
        <v>55</v>
      </c>
    </row>
    <row r="94" spans="1:9" x14ac:dyDescent="0.3">
      <c r="A94" s="2" t="s">
        <v>146</v>
      </c>
      <c r="B94" s="2" t="s">
        <v>1022</v>
      </c>
      <c r="C94" s="2" t="s">
        <v>178</v>
      </c>
      <c r="D94" s="2" t="s">
        <v>1023</v>
      </c>
      <c r="E94" s="2" t="s">
        <v>39</v>
      </c>
      <c r="F94" s="2"/>
      <c r="G94" s="2"/>
      <c r="H94" s="2"/>
      <c r="I94" s="3">
        <f t="shared" si="1"/>
        <v>55</v>
      </c>
    </row>
    <row r="95" spans="1:9" x14ac:dyDescent="0.3">
      <c r="A95" s="2" t="s">
        <v>146</v>
      </c>
      <c r="B95" s="2" t="s">
        <v>1034</v>
      </c>
      <c r="C95" s="2"/>
      <c r="D95" s="2" t="s">
        <v>1035</v>
      </c>
      <c r="E95" s="2" t="s">
        <v>39</v>
      </c>
      <c r="F95" s="2"/>
      <c r="G95" s="2"/>
      <c r="H95" s="2"/>
      <c r="I95" s="3">
        <f t="shared" si="1"/>
        <v>56</v>
      </c>
    </row>
    <row r="96" spans="1:9" x14ac:dyDescent="0.3">
      <c r="A96" s="2" t="s">
        <v>146</v>
      </c>
      <c r="B96" s="2" t="s">
        <v>1036</v>
      </c>
      <c r="C96" s="2" t="s">
        <v>437</v>
      </c>
      <c r="D96" s="2" t="s">
        <v>1037</v>
      </c>
      <c r="E96" s="2"/>
      <c r="F96" s="2"/>
      <c r="G96" s="2"/>
      <c r="H96" s="2"/>
      <c r="I96" s="3">
        <f t="shared" si="1"/>
        <v>56</v>
      </c>
    </row>
    <row r="97" spans="1:9" x14ac:dyDescent="0.3">
      <c r="A97" s="2" t="s">
        <v>146</v>
      </c>
      <c r="B97" s="2" t="s">
        <v>1058</v>
      </c>
      <c r="C97" s="2" t="s">
        <v>389</v>
      </c>
      <c r="D97" s="2" t="s">
        <v>1059</v>
      </c>
      <c r="E97" s="2" t="s">
        <v>39</v>
      </c>
      <c r="F97" s="2"/>
      <c r="G97" s="2"/>
      <c r="H97" s="2"/>
      <c r="I97" s="3">
        <f t="shared" si="1"/>
        <v>56</v>
      </c>
    </row>
    <row r="98" spans="1:9" x14ac:dyDescent="0.3">
      <c r="A98" s="2" t="s">
        <v>146</v>
      </c>
      <c r="B98" s="2" t="s">
        <v>1065</v>
      </c>
      <c r="C98" s="2"/>
      <c r="D98" s="2" t="s">
        <v>1066</v>
      </c>
      <c r="E98" s="2" t="s">
        <v>39</v>
      </c>
      <c r="F98" s="2"/>
      <c r="G98" s="2"/>
      <c r="H98" s="2"/>
      <c r="I98" s="3">
        <f t="shared" si="1"/>
        <v>56</v>
      </c>
    </row>
    <row r="99" spans="1:9" x14ac:dyDescent="0.3">
      <c r="A99" s="2" t="s">
        <v>146</v>
      </c>
      <c r="B99" s="2" t="s">
        <v>1069</v>
      </c>
      <c r="C99" s="2" t="s">
        <v>95</v>
      </c>
      <c r="D99" s="2" t="s">
        <v>1070</v>
      </c>
      <c r="E99" s="2" t="s">
        <v>39</v>
      </c>
      <c r="F99" s="2"/>
      <c r="G99" s="2"/>
      <c r="H99" s="2"/>
      <c r="I99" s="3">
        <f t="shared" si="1"/>
        <v>56</v>
      </c>
    </row>
    <row r="100" spans="1:9" x14ac:dyDescent="0.3">
      <c r="A100" s="2" t="s">
        <v>146</v>
      </c>
      <c r="B100" s="2" t="s">
        <v>1071</v>
      </c>
      <c r="C100" s="2"/>
      <c r="D100" s="2" t="s">
        <v>1072</v>
      </c>
      <c r="E100" s="2" t="s">
        <v>39</v>
      </c>
      <c r="F100" s="2"/>
      <c r="G100" s="2"/>
      <c r="H100" s="2"/>
      <c r="I100" s="3">
        <f t="shared" si="1"/>
        <v>56</v>
      </c>
    </row>
    <row r="101" spans="1:9" x14ac:dyDescent="0.3">
      <c r="A101" s="2" t="s">
        <v>146</v>
      </c>
      <c r="B101" s="2" t="s">
        <v>1073</v>
      </c>
      <c r="C101" s="2"/>
      <c r="D101" s="2" t="s">
        <v>1074</v>
      </c>
      <c r="E101" s="2" t="s">
        <v>39</v>
      </c>
      <c r="F101" s="2"/>
      <c r="G101" s="2"/>
      <c r="H101" s="2"/>
      <c r="I101" s="3">
        <f t="shared" si="1"/>
        <v>56</v>
      </c>
    </row>
    <row r="102" spans="1:9" x14ac:dyDescent="0.3">
      <c r="A102" s="2" t="s">
        <v>146</v>
      </c>
      <c r="B102" s="2" t="s">
        <v>1075</v>
      </c>
      <c r="C102" s="2"/>
      <c r="D102" s="2" t="s">
        <v>1076</v>
      </c>
      <c r="E102" s="2" t="s">
        <v>39</v>
      </c>
      <c r="F102" s="2"/>
      <c r="G102" s="2"/>
      <c r="H102" s="2"/>
      <c r="I102" s="3">
        <f t="shared" si="1"/>
        <v>56</v>
      </c>
    </row>
    <row r="103" spans="1:9" x14ac:dyDescent="0.3">
      <c r="A103" s="2" t="s">
        <v>146</v>
      </c>
      <c r="B103" s="2" t="s">
        <v>558</v>
      </c>
      <c r="C103" s="2"/>
      <c r="D103" s="2" t="s">
        <v>1077</v>
      </c>
      <c r="E103" s="2" t="s">
        <v>39</v>
      </c>
      <c r="F103" s="2"/>
      <c r="G103" s="2"/>
      <c r="H103" s="2"/>
      <c r="I103" s="3">
        <f t="shared" si="1"/>
        <v>56</v>
      </c>
    </row>
    <row r="104" spans="1:9" x14ac:dyDescent="0.3">
      <c r="A104" s="2" t="s">
        <v>146</v>
      </c>
      <c r="B104" s="2" t="s">
        <v>1078</v>
      </c>
      <c r="C104" s="2"/>
      <c r="D104" s="2" t="s">
        <v>1079</v>
      </c>
      <c r="E104" s="2" t="s">
        <v>39</v>
      </c>
      <c r="F104" s="2"/>
      <c r="G104" s="2"/>
      <c r="H104" s="2"/>
      <c r="I104" s="3">
        <f t="shared" si="1"/>
        <v>56</v>
      </c>
    </row>
    <row r="105" spans="1:9" x14ac:dyDescent="0.3">
      <c r="A105" s="2" t="s">
        <v>146</v>
      </c>
      <c r="B105" s="2" t="s">
        <v>1099</v>
      </c>
      <c r="C105" s="2" t="s">
        <v>515</v>
      </c>
      <c r="D105" s="2" t="s">
        <v>1100</v>
      </c>
      <c r="E105" s="2" t="s">
        <v>39</v>
      </c>
      <c r="F105" s="2"/>
      <c r="G105" s="2"/>
      <c r="H105" s="2"/>
      <c r="I105" s="3">
        <f t="shared" si="1"/>
        <v>57</v>
      </c>
    </row>
    <row r="106" spans="1:9" x14ac:dyDescent="0.3">
      <c r="A106" s="2" t="s">
        <v>146</v>
      </c>
      <c r="B106" s="2" t="s">
        <v>1101</v>
      </c>
      <c r="C106" s="2" t="s">
        <v>116</v>
      </c>
      <c r="D106" s="2" t="s">
        <v>1102</v>
      </c>
      <c r="E106" s="2" t="s">
        <v>39</v>
      </c>
      <c r="F106" s="2"/>
      <c r="G106" s="2"/>
      <c r="H106" s="2"/>
      <c r="I106" s="3">
        <f t="shared" si="1"/>
        <v>57</v>
      </c>
    </row>
    <row r="107" spans="1:9" x14ac:dyDescent="0.3">
      <c r="A107" s="2" t="s">
        <v>146</v>
      </c>
      <c r="B107" s="2" t="s">
        <v>1103</v>
      </c>
      <c r="C107" s="2" t="s">
        <v>544</v>
      </c>
      <c r="D107" s="2" t="s">
        <v>1104</v>
      </c>
      <c r="E107" s="2" t="s">
        <v>39</v>
      </c>
      <c r="F107" s="2"/>
      <c r="G107" s="2"/>
      <c r="H107" s="2"/>
      <c r="I107" s="3">
        <f t="shared" si="1"/>
        <v>57</v>
      </c>
    </row>
    <row r="108" spans="1:9" x14ac:dyDescent="0.3">
      <c r="A108" s="2" t="s">
        <v>146</v>
      </c>
      <c r="B108" s="2" t="s">
        <v>1107</v>
      </c>
      <c r="C108" s="2" t="s">
        <v>95</v>
      </c>
      <c r="D108" s="2" t="s">
        <v>1108</v>
      </c>
      <c r="E108" s="2" t="s">
        <v>39</v>
      </c>
      <c r="F108" s="2"/>
      <c r="G108" s="2"/>
      <c r="H108" s="2"/>
      <c r="I108" s="3">
        <f t="shared" si="1"/>
        <v>57</v>
      </c>
    </row>
    <row r="109" spans="1:9" x14ac:dyDescent="0.3">
      <c r="A109" s="2" t="s">
        <v>146</v>
      </c>
      <c r="B109" s="2" t="s">
        <v>1109</v>
      </c>
      <c r="C109" s="2"/>
      <c r="D109" s="2" t="s">
        <v>1110</v>
      </c>
      <c r="E109" s="2" t="s">
        <v>39</v>
      </c>
      <c r="F109" s="2"/>
      <c r="G109" s="2"/>
      <c r="H109" s="2"/>
      <c r="I109" s="3">
        <f t="shared" si="1"/>
        <v>57</v>
      </c>
    </row>
    <row r="110" spans="1:9" x14ac:dyDescent="0.3">
      <c r="A110" s="2" t="s">
        <v>146</v>
      </c>
      <c r="B110" s="2" t="s">
        <v>1113</v>
      </c>
      <c r="C110" s="2" t="s">
        <v>437</v>
      </c>
      <c r="D110" s="2" t="s">
        <v>1114</v>
      </c>
      <c r="E110" s="2" t="s">
        <v>39</v>
      </c>
      <c r="F110" s="2"/>
      <c r="G110" s="2"/>
      <c r="H110" s="2"/>
      <c r="I110" s="3">
        <f t="shared" si="1"/>
        <v>57</v>
      </c>
    </row>
    <row r="111" spans="1:9" x14ac:dyDescent="0.3">
      <c r="A111" s="2" t="s">
        <v>146</v>
      </c>
      <c r="B111" s="2" t="s">
        <v>1115</v>
      </c>
      <c r="C111" s="2" t="s">
        <v>437</v>
      </c>
      <c r="D111" s="2" t="s">
        <v>1116</v>
      </c>
      <c r="E111" s="2" t="s">
        <v>39</v>
      </c>
      <c r="F111" s="2"/>
      <c r="G111" s="2"/>
      <c r="H111" s="2"/>
      <c r="I111" s="3">
        <f t="shared" si="1"/>
        <v>57</v>
      </c>
    </row>
    <row r="112" spans="1:9" x14ac:dyDescent="0.3">
      <c r="A112" s="2" t="s">
        <v>146</v>
      </c>
      <c r="B112" s="2" t="s">
        <v>1117</v>
      </c>
      <c r="C112" s="2"/>
      <c r="D112" s="2" t="s">
        <v>1118</v>
      </c>
      <c r="E112" s="2" t="s">
        <v>39</v>
      </c>
      <c r="F112" s="2"/>
      <c r="G112" s="2"/>
      <c r="H112" s="2"/>
      <c r="I112" s="3">
        <f t="shared" si="1"/>
        <v>57</v>
      </c>
    </row>
    <row r="113" spans="1:9" x14ac:dyDescent="0.3">
      <c r="A113" s="2" t="s">
        <v>146</v>
      </c>
      <c r="B113" s="2" t="s">
        <v>1119</v>
      </c>
      <c r="C113" s="2"/>
      <c r="D113" s="2" t="s">
        <v>1120</v>
      </c>
      <c r="E113" s="2" t="s">
        <v>39</v>
      </c>
      <c r="F113" s="2"/>
      <c r="G113" s="2"/>
      <c r="H113" s="2"/>
      <c r="I113" s="3">
        <f t="shared" si="1"/>
        <v>57</v>
      </c>
    </row>
    <row r="114" spans="1:9" x14ac:dyDescent="0.3">
      <c r="A114" s="2" t="s">
        <v>146</v>
      </c>
      <c r="B114" s="2" t="s">
        <v>1121</v>
      </c>
      <c r="C114" s="2" t="s">
        <v>515</v>
      </c>
      <c r="D114" s="2" t="s">
        <v>1122</v>
      </c>
      <c r="E114" s="2" t="s">
        <v>39</v>
      </c>
      <c r="F114" s="2"/>
      <c r="G114" s="2"/>
      <c r="H114" s="2"/>
      <c r="I114" s="3">
        <f t="shared" si="1"/>
        <v>57</v>
      </c>
    </row>
    <row r="115" spans="1:9" x14ac:dyDescent="0.3">
      <c r="A115" s="2" t="s">
        <v>146</v>
      </c>
      <c r="B115" s="2" t="s">
        <v>1150</v>
      </c>
      <c r="C115" s="2" t="s">
        <v>491</v>
      </c>
      <c r="D115" s="2" t="s">
        <v>1151</v>
      </c>
      <c r="E115" s="2" t="s">
        <v>39</v>
      </c>
      <c r="F115" s="2"/>
      <c r="G115" s="2"/>
      <c r="H115" s="2"/>
      <c r="I115" s="3">
        <f t="shared" si="1"/>
        <v>58</v>
      </c>
    </row>
    <row r="116" spans="1:9" x14ac:dyDescent="0.3">
      <c r="A116" s="2" t="s">
        <v>146</v>
      </c>
      <c r="B116" s="2" t="s">
        <v>1152</v>
      </c>
      <c r="C116" s="2" t="s">
        <v>95</v>
      </c>
      <c r="D116" s="2" t="s">
        <v>1153</v>
      </c>
      <c r="E116" s="2" t="s">
        <v>39</v>
      </c>
      <c r="F116" s="2"/>
      <c r="G116" s="2"/>
      <c r="H116" s="2"/>
      <c r="I116" s="3">
        <f t="shared" si="1"/>
        <v>58</v>
      </c>
    </row>
    <row r="117" spans="1:9" x14ac:dyDescent="0.3">
      <c r="A117" s="2" t="s">
        <v>146</v>
      </c>
      <c r="B117" s="2" t="s">
        <v>1154</v>
      </c>
      <c r="C117" s="2" t="s">
        <v>437</v>
      </c>
      <c r="D117" s="2" t="s">
        <v>1155</v>
      </c>
      <c r="E117" s="2" t="s">
        <v>39</v>
      </c>
      <c r="F117" s="2"/>
      <c r="G117" s="2"/>
      <c r="H117" s="2"/>
      <c r="I117" s="3">
        <f t="shared" si="1"/>
        <v>58</v>
      </c>
    </row>
    <row r="118" spans="1:9" x14ac:dyDescent="0.3">
      <c r="A118" s="2" t="s">
        <v>146</v>
      </c>
      <c r="B118" s="2" t="s">
        <v>1156</v>
      </c>
      <c r="C118" s="2" t="s">
        <v>332</v>
      </c>
      <c r="D118" s="2" t="s">
        <v>1157</v>
      </c>
      <c r="E118" s="2" t="s">
        <v>39</v>
      </c>
      <c r="F118" s="2"/>
      <c r="G118" s="2"/>
      <c r="H118" s="2"/>
      <c r="I118" s="3">
        <f t="shared" si="1"/>
        <v>58</v>
      </c>
    </row>
    <row r="119" spans="1:9" x14ac:dyDescent="0.3">
      <c r="A119" s="2" t="s">
        <v>146</v>
      </c>
      <c r="B119" s="2" t="s">
        <v>1158</v>
      </c>
      <c r="C119" s="2" t="s">
        <v>95</v>
      </c>
      <c r="D119" s="2" t="s">
        <v>1159</v>
      </c>
      <c r="E119" s="2" t="s">
        <v>39</v>
      </c>
      <c r="F119" s="2"/>
      <c r="G119" s="2"/>
      <c r="H119" s="2"/>
      <c r="I119" s="3">
        <f t="shared" si="1"/>
        <v>58</v>
      </c>
    </row>
    <row r="120" spans="1:9" x14ac:dyDescent="0.3">
      <c r="A120" s="2" t="s">
        <v>146</v>
      </c>
      <c r="B120" s="2" t="s">
        <v>1180</v>
      </c>
      <c r="C120" s="2"/>
      <c r="D120" s="2" t="s">
        <v>1181</v>
      </c>
      <c r="E120" s="2" t="s">
        <v>39</v>
      </c>
      <c r="F120" s="2"/>
      <c r="G120" s="2"/>
      <c r="H120" s="2"/>
      <c r="I120" s="3">
        <f t="shared" si="1"/>
        <v>59</v>
      </c>
    </row>
    <row r="121" spans="1:9" ht="24" x14ac:dyDescent="0.3">
      <c r="A121" s="2" t="s">
        <v>146</v>
      </c>
      <c r="B121" s="2" t="s">
        <v>1200</v>
      </c>
      <c r="C121" s="2" t="s">
        <v>1201</v>
      </c>
      <c r="D121" s="2" t="s">
        <v>1202</v>
      </c>
      <c r="E121" s="2"/>
      <c r="F121" s="2"/>
      <c r="G121" s="2"/>
      <c r="H121" s="2"/>
      <c r="I121" s="3">
        <f t="shared" si="1"/>
        <v>59</v>
      </c>
    </row>
    <row r="122" spans="1:9" x14ac:dyDescent="0.3">
      <c r="A122" s="2" t="s">
        <v>146</v>
      </c>
      <c r="B122" s="2" t="s">
        <v>1207</v>
      </c>
      <c r="C122" s="2" t="s">
        <v>240</v>
      </c>
      <c r="D122" s="2" t="s">
        <v>1208</v>
      </c>
      <c r="E122" s="2" t="s">
        <v>39</v>
      </c>
      <c r="F122" s="2"/>
      <c r="G122" s="2"/>
      <c r="H122" s="2"/>
      <c r="I122" s="3">
        <f t="shared" si="1"/>
        <v>59</v>
      </c>
    </row>
    <row r="123" spans="1:9" x14ac:dyDescent="0.3">
      <c r="A123" s="2" t="s">
        <v>146</v>
      </c>
      <c r="B123" s="2" t="s">
        <v>1217</v>
      </c>
      <c r="C123" s="2" t="s">
        <v>515</v>
      </c>
      <c r="D123" s="2" t="s">
        <v>1218</v>
      </c>
      <c r="E123" s="2" t="s">
        <v>39</v>
      </c>
      <c r="F123" s="2"/>
      <c r="G123" s="2"/>
      <c r="H123" s="2"/>
      <c r="I123" s="3">
        <f t="shared" si="1"/>
        <v>59</v>
      </c>
    </row>
    <row r="124" spans="1:9" ht="24" x14ac:dyDescent="0.3">
      <c r="A124" s="2" t="s">
        <v>146</v>
      </c>
      <c r="B124" s="2" t="s">
        <v>1219</v>
      </c>
      <c r="C124" s="2"/>
      <c r="D124" s="2" t="s">
        <v>1220</v>
      </c>
      <c r="E124" s="2" t="s">
        <v>39</v>
      </c>
      <c r="F124" s="2"/>
      <c r="G124" s="2"/>
      <c r="H124" s="2"/>
      <c r="I124" s="3">
        <f t="shared" si="1"/>
        <v>59</v>
      </c>
    </row>
    <row r="125" spans="1:9" x14ac:dyDescent="0.3">
      <c r="A125" s="2" t="s">
        <v>146</v>
      </c>
      <c r="B125" s="2" t="s">
        <v>177</v>
      </c>
      <c r="C125" s="2" t="s">
        <v>178</v>
      </c>
      <c r="D125" s="2" t="s">
        <v>1221</v>
      </c>
      <c r="E125" s="2" t="s">
        <v>39</v>
      </c>
      <c r="F125" s="2"/>
      <c r="G125" s="2"/>
      <c r="H125" s="2"/>
      <c r="I125" s="3">
        <f t="shared" si="1"/>
        <v>59</v>
      </c>
    </row>
    <row r="126" spans="1:9" x14ac:dyDescent="0.3">
      <c r="A126" s="2" t="s">
        <v>146</v>
      </c>
      <c r="B126" s="2" t="s">
        <v>1224</v>
      </c>
      <c r="C126" s="2" t="s">
        <v>1225</v>
      </c>
      <c r="D126" s="2" t="s">
        <v>1226</v>
      </c>
      <c r="E126" s="2" t="s">
        <v>39</v>
      </c>
      <c r="F126" s="2"/>
      <c r="G126" s="2"/>
      <c r="H126" s="2"/>
      <c r="I126" s="3">
        <f t="shared" si="1"/>
        <v>59</v>
      </c>
    </row>
    <row r="127" spans="1:9" x14ac:dyDescent="0.3">
      <c r="A127" s="2" t="s">
        <v>146</v>
      </c>
      <c r="B127" s="2" t="s">
        <v>1233</v>
      </c>
      <c r="C127" s="2"/>
      <c r="D127" s="2" t="s">
        <v>1234</v>
      </c>
      <c r="E127" s="2" t="s">
        <v>39</v>
      </c>
      <c r="F127" s="2"/>
      <c r="G127" s="2"/>
      <c r="H127" s="2"/>
      <c r="I127" s="3">
        <f t="shared" si="1"/>
        <v>59</v>
      </c>
    </row>
    <row r="128" spans="1:9" x14ac:dyDescent="0.3">
      <c r="A128" s="2" t="s">
        <v>146</v>
      </c>
      <c r="B128" s="2" t="s">
        <v>1235</v>
      </c>
      <c r="C128" s="2" t="s">
        <v>1236</v>
      </c>
      <c r="D128" s="2" t="s">
        <v>1237</v>
      </c>
      <c r="E128" s="2" t="s">
        <v>39</v>
      </c>
      <c r="F128" s="2"/>
      <c r="G128" s="2"/>
      <c r="H128" s="2" t="s">
        <v>1176</v>
      </c>
      <c r="I128" s="3">
        <f t="shared" si="1"/>
        <v>59</v>
      </c>
    </row>
    <row r="129" spans="1:9" x14ac:dyDescent="0.3">
      <c r="A129" s="2" t="s">
        <v>146</v>
      </c>
      <c r="B129" s="2" t="s">
        <v>1268</v>
      </c>
      <c r="C129" s="2" t="s">
        <v>389</v>
      </c>
      <c r="D129" s="2" t="s">
        <v>1269</v>
      </c>
      <c r="E129" s="2" t="s">
        <v>39</v>
      </c>
      <c r="F129" s="2"/>
      <c r="G129" s="2"/>
      <c r="H129" s="2"/>
      <c r="I129" s="3">
        <f t="shared" si="1"/>
        <v>60</v>
      </c>
    </row>
    <row r="130" spans="1:9" x14ac:dyDescent="0.3">
      <c r="A130" s="2" t="s">
        <v>146</v>
      </c>
      <c r="B130" s="2" t="s">
        <v>1275</v>
      </c>
      <c r="C130" s="2" t="s">
        <v>491</v>
      </c>
      <c r="D130" s="2" t="s">
        <v>1276</v>
      </c>
      <c r="E130" s="2" t="s">
        <v>39</v>
      </c>
      <c r="F130" s="2"/>
      <c r="G130" s="2"/>
      <c r="H130" s="2"/>
      <c r="I130" s="3">
        <f t="shared" ref="I130:I193" si="2">LEN(D130)</f>
        <v>60</v>
      </c>
    </row>
    <row r="131" spans="1:9" x14ac:dyDescent="0.3">
      <c r="A131" s="2" t="s">
        <v>146</v>
      </c>
      <c r="B131" s="2" t="s">
        <v>1290</v>
      </c>
      <c r="C131" s="2" t="s">
        <v>35</v>
      </c>
      <c r="D131" s="2" t="s">
        <v>1291</v>
      </c>
      <c r="E131" s="2" t="s">
        <v>39</v>
      </c>
      <c r="F131" s="2"/>
      <c r="G131" s="2"/>
      <c r="H131" s="2"/>
      <c r="I131" s="3">
        <f t="shared" si="2"/>
        <v>61</v>
      </c>
    </row>
    <row r="132" spans="1:9" x14ac:dyDescent="0.3">
      <c r="A132" s="2" t="s">
        <v>146</v>
      </c>
      <c r="B132" s="2" t="s">
        <v>445</v>
      </c>
      <c r="C132" s="2"/>
      <c r="D132" s="2" t="s">
        <v>1298</v>
      </c>
      <c r="E132" s="2" t="s">
        <v>39</v>
      </c>
      <c r="F132" s="2"/>
      <c r="G132" s="2"/>
      <c r="H132" s="2"/>
      <c r="I132" s="3">
        <f t="shared" si="2"/>
        <v>61</v>
      </c>
    </row>
    <row r="133" spans="1:9" x14ac:dyDescent="0.3">
      <c r="A133" s="2" t="s">
        <v>146</v>
      </c>
      <c r="B133" s="2" t="s">
        <v>1305</v>
      </c>
      <c r="C133" s="2" t="s">
        <v>389</v>
      </c>
      <c r="D133" s="2" t="s">
        <v>1306</v>
      </c>
      <c r="E133" s="2" t="s">
        <v>39</v>
      </c>
      <c r="F133" s="2"/>
      <c r="G133" s="2"/>
      <c r="H133" s="2"/>
      <c r="I133" s="3">
        <f t="shared" si="2"/>
        <v>61</v>
      </c>
    </row>
    <row r="134" spans="1:9" x14ac:dyDescent="0.3">
      <c r="A134" s="2" t="s">
        <v>146</v>
      </c>
      <c r="B134" s="2" t="s">
        <v>1307</v>
      </c>
      <c r="C134" s="2" t="s">
        <v>544</v>
      </c>
      <c r="D134" s="2" t="s">
        <v>1308</v>
      </c>
      <c r="E134" s="2" t="s">
        <v>39</v>
      </c>
      <c r="F134" s="2"/>
      <c r="G134" s="2"/>
      <c r="H134" s="2"/>
      <c r="I134" s="3">
        <f t="shared" si="2"/>
        <v>61</v>
      </c>
    </row>
    <row r="135" spans="1:9" x14ac:dyDescent="0.3">
      <c r="A135" s="2" t="s">
        <v>146</v>
      </c>
      <c r="B135" s="2" t="s">
        <v>1310</v>
      </c>
      <c r="C135" s="2"/>
      <c r="D135" s="2" t="s">
        <v>1311</v>
      </c>
      <c r="E135" s="2"/>
      <c r="F135" s="2"/>
      <c r="G135" s="2"/>
      <c r="H135" s="2"/>
      <c r="I135" s="3">
        <f t="shared" si="2"/>
        <v>61</v>
      </c>
    </row>
    <row r="136" spans="1:9" x14ac:dyDescent="0.3">
      <c r="A136" s="2" t="s">
        <v>146</v>
      </c>
      <c r="B136" s="2" t="s">
        <v>1315</v>
      </c>
      <c r="C136" s="2"/>
      <c r="D136" s="2" t="s">
        <v>1316</v>
      </c>
      <c r="E136" s="2" t="s">
        <v>39</v>
      </c>
      <c r="F136" s="2"/>
      <c r="G136" s="2"/>
      <c r="H136" s="2"/>
      <c r="I136" s="3">
        <f t="shared" si="2"/>
        <v>61</v>
      </c>
    </row>
    <row r="137" spans="1:9" x14ac:dyDescent="0.3">
      <c r="A137" s="2" t="s">
        <v>146</v>
      </c>
      <c r="B137" s="2" t="s">
        <v>1317</v>
      </c>
      <c r="C137" s="2"/>
      <c r="D137" s="2" t="s">
        <v>1318</v>
      </c>
      <c r="E137" s="2" t="s">
        <v>39</v>
      </c>
      <c r="F137" s="2"/>
      <c r="G137" s="2"/>
      <c r="H137" s="2"/>
      <c r="I137" s="3">
        <f t="shared" si="2"/>
        <v>61</v>
      </c>
    </row>
    <row r="138" spans="1:9" x14ac:dyDescent="0.3">
      <c r="A138" s="2" t="s">
        <v>146</v>
      </c>
      <c r="B138" s="2" t="s">
        <v>1321</v>
      </c>
      <c r="C138" s="2"/>
      <c r="D138" s="2" t="s">
        <v>1322</v>
      </c>
      <c r="E138" s="2"/>
      <c r="F138" s="2"/>
      <c r="G138" s="2"/>
      <c r="H138" s="2"/>
      <c r="I138" s="3">
        <f t="shared" si="2"/>
        <v>61</v>
      </c>
    </row>
    <row r="139" spans="1:9" x14ac:dyDescent="0.3">
      <c r="A139" s="2" t="s">
        <v>146</v>
      </c>
      <c r="B139" s="2" t="s">
        <v>1334</v>
      </c>
      <c r="C139" s="2"/>
      <c r="D139" s="2" t="s">
        <v>1335</v>
      </c>
      <c r="E139" s="2" t="s">
        <v>39</v>
      </c>
      <c r="F139" s="2"/>
      <c r="G139" s="2"/>
      <c r="H139" s="2"/>
      <c r="I139" s="3">
        <f t="shared" si="2"/>
        <v>61</v>
      </c>
    </row>
    <row r="140" spans="1:9" x14ac:dyDescent="0.3">
      <c r="A140" s="2" t="s">
        <v>146</v>
      </c>
      <c r="B140" s="2" t="s">
        <v>1338</v>
      </c>
      <c r="C140" s="2"/>
      <c r="D140" s="2" t="s">
        <v>1339</v>
      </c>
      <c r="E140" s="2" t="s">
        <v>1188</v>
      </c>
      <c r="F140" s="2"/>
      <c r="G140" s="2"/>
      <c r="H140" s="2"/>
      <c r="I140" s="3">
        <f t="shared" si="2"/>
        <v>62</v>
      </c>
    </row>
    <row r="141" spans="1:9" x14ac:dyDescent="0.3">
      <c r="A141" s="2" t="s">
        <v>146</v>
      </c>
      <c r="B141" s="2" t="s">
        <v>1366</v>
      </c>
      <c r="C141" s="2"/>
      <c r="D141" s="2" t="s">
        <v>1367</v>
      </c>
      <c r="E141" s="2"/>
      <c r="F141" s="2"/>
      <c r="G141" s="2"/>
      <c r="H141" s="2"/>
      <c r="I141" s="3">
        <f t="shared" si="2"/>
        <v>62</v>
      </c>
    </row>
    <row r="142" spans="1:9" x14ac:dyDescent="0.3">
      <c r="A142" s="2" t="s">
        <v>146</v>
      </c>
      <c r="B142" s="2" t="s">
        <v>1375</v>
      </c>
      <c r="C142" s="2"/>
      <c r="D142" s="2" t="s">
        <v>1376</v>
      </c>
      <c r="E142" s="2" t="s">
        <v>39</v>
      </c>
      <c r="F142" s="2"/>
      <c r="G142" s="2"/>
      <c r="H142" s="2"/>
      <c r="I142" s="3">
        <f t="shared" si="2"/>
        <v>62</v>
      </c>
    </row>
    <row r="143" spans="1:9" x14ac:dyDescent="0.3">
      <c r="A143" s="2" t="s">
        <v>146</v>
      </c>
      <c r="B143" s="2" t="s">
        <v>1381</v>
      </c>
      <c r="C143" s="2" t="s">
        <v>491</v>
      </c>
      <c r="D143" s="2" t="s">
        <v>1382</v>
      </c>
      <c r="E143" s="2" t="s">
        <v>39</v>
      </c>
      <c r="F143" s="2"/>
      <c r="G143" s="2"/>
      <c r="H143" s="2"/>
      <c r="I143" s="3">
        <f t="shared" si="2"/>
        <v>62</v>
      </c>
    </row>
    <row r="144" spans="1:9" x14ac:dyDescent="0.3">
      <c r="A144" s="2" t="s">
        <v>146</v>
      </c>
      <c r="B144" s="2" t="s">
        <v>1386</v>
      </c>
      <c r="C144" s="2" t="s">
        <v>437</v>
      </c>
      <c r="D144" s="2" t="s">
        <v>1387</v>
      </c>
      <c r="E144" s="2" t="s">
        <v>39</v>
      </c>
      <c r="F144" s="2"/>
      <c r="G144" s="2"/>
      <c r="H144" s="2"/>
      <c r="I144" s="3">
        <f t="shared" si="2"/>
        <v>62</v>
      </c>
    </row>
    <row r="145" spans="1:9" x14ac:dyDescent="0.3">
      <c r="A145" s="2" t="s">
        <v>146</v>
      </c>
      <c r="B145" s="2" t="s">
        <v>1388</v>
      </c>
      <c r="C145" s="2"/>
      <c r="D145" s="2" t="s">
        <v>1389</v>
      </c>
      <c r="E145" s="2" t="s">
        <v>39</v>
      </c>
      <c r="F145" s="2"/>
      <c r="G145" s="2"/>
      <c r="H145" s="2"/>
      <c r="I145" s="3">
        <f t="shared" si="2"/>
        <v>62</v>
      </c>
    </row>
    <row r="146" spans="1:9" x14ac:dyDescent="0.3">
      <c r="A146" s="2" t="s">
        <v>146</v>
      </c>
      <c r="B146" s="2" t="s">
        <v>1408</v>
      </c>
      <c r="C146" s="2" t="s">
        <v>178</v>
      </c>
      <c r="D146" s="2" t="s">
        <v>1409</v>
      </c>
      <c r="E146" s="2" t="s">
        <v>39</v>
      </c>
      <c r="F146" s="2"/>
      <c r="G146" s="2"/>
      <c r="H146" s="2"/>
      <c r="I146" s="3">
        <f t="shared" si="2"/>
        <v>62</v>
      </c>
    </row>
    <row r="147" spans="1:9" ht="24" x14ac:dyDescent="0.3">
      <c r="A147" s="2" t="s">
        <v>146</v>
      </c>
      <c r="B147" s="2" t="s">
        <v>1410</v>
      </c>
      <c r="C147" s="2"/>
      <c r="D147" s="2" t="s">
        <v>1411</v>
      </c>
      <c r="E147" s="2" t="s">
        <v>39</v>
      </c>
      <c r="F147" s="2"/>
      <c r="G147" s="2"/>
      <c r="H147" s="2"/>
      <c r="I147" s="3">
        <f t="shared" si="2"/>
        <v>63</v>
      </c>
    </row>
    <row r="148" spans="1:9" x14ac:dyDescent="0.3">
      <c r="A148" s="2" t="s">
        <v>146</v>
      </c>
      <c r="B148" s="2" t="s">
        <v>1419</v>
      </c>
      <c r="C148" s="2" t="s">
        <v>1420</v>
      </c>
      <c r="D148" s="2" t="s">
        <v>1421</v>
      </c>
      <c r="E148" s="2" t="s">
        <v>39</v>
      </c>
      <c r="F148" s="2"/>
      <c r="G148" s="2"/>
      <c r="H148" s="2"/>
      <c r="I148" s="3">
        <f t="shared" si="2"/>
        <v>63</v>
      </c>
    </row>
    <row r="149" spans="1:9" x14ac:dyDescent="0.3">
      <c r="A149" s="2" t="s">
        <v>146</v>
      </c>
      <c r="B149" s="2" t="s">
        <v>1429</v>
      </c>
      <c r="C149" s="2"/>
      <c r="D149" s="2" t="s">
        <v>1430</v>
      </c>
      <c r="E149" s="2" t="s">
        <v>39</v>
      </c>
      <c r="F149" s="2"/>
      <c r="G149" s="2"/>
      <c r="H149" s="2"/>
      <c r="I149" s="3">
        <f t="shared" si="2"/>
        <v>63</v>
      </c>
    </row>
    <row r="150" spans="1:9" x14ac:dyDescent="0.3">
      <c r="A150" s="2" t="s">
        <v>146</v>
      </c>
      <c r="B150" s="2" t="s">
        <v>1433</v>
      </c>
      <c r="C150" s="2" t="s">
        <v>95</v>
      </c>
      <c r="D150" s="2" t="s">
        <v>1434</v>
      </c>
      <c r="E150" s="2" t="s">
        <v>39</v>
      </c>
      <c r="F150" s="2"/>
      <c r="G150" s="2"/>
      <c r="H150" s="2"/>
      <c r="I150" s="3">
        <f t="shared" si="2"/>
        <v>63</v>
      </c>
    </row>
    <row r="151" spans="1:9" x14ac:dyDescent="0.3">
      <c r="A151" s="2" t="s">
        <v>146</v>
      </c>
      <c r="B151" s="2" t="s">
        <v>1435</v>
      </c>
      <c r="C151" s="2"/>
      <c r="D151" s="2" t="s">
        <v>1436</v>
      </c>
      <c r="E151" s="2" t="s">
        <v>39</v>
      </c>
      <c r="F151" s="2"/>
      <c r="G151" s="2"/>
      <c r="H151" s="2"/>
      <c r="I151" s="3">
        <f t="shared" si="2"/>
        <v>63</v>
      </c>
    </row>
    <row r="152" spans="1:9" x14ac:dyDescent="0.3">
      <c r="A152" s="2" t="s">
        <v>146</v>
      </c>
      <c r="B152" s="2" t="s">
        <v>1437</v>
      </c>
      <c r="C152" s="2"/>
      <c r="D152" s="2" t="s">
        <v>1438</v>
      </c>
      <c r="E152" s="2" t="s">
        <v>39</v>
      </c>
      <c r="F152" s="2"/>
      <c r="G152" s="2"/>
      <c r="H152" s="2"/>
      <c r="I152" s="3">
        <f t="shared" si="2"/>
        <v>63</v>
      </c>
    </row>
    <row r="153" spans="1:9" x14ac:dyDescent="0.3">
      <c r="A153" s="2" t="s">
        <v>146</v>
      </c>
      <c r="B153" s="2" t="s">
        <v>1439</v>
      </c>
      <c r="C153" s="2"/>
      <c r="D153" s="2" t="s">
        <v>1440</v>
      </c>
      <c r="E153" s="2" t="s">
        <v>39</v>
      </c>
      <c r="F153" s="2"/>
      <c r="G153" s="2"/>
      <c r="H153" s="2"/>
      <c r="I153" s="3">
        <f t="shared" si="2"/>
        <v>63</v>
      </c>
    </row>
    <row r="154" spans="1:9" x14ac:dyDescent="0.3">
      <c r="A154" s="2" t="s">
        <v>146</v>
      </c>
      <c r="B154" s="2" t="s">
        <v>1441</v>
      </c>
      <c r="C154" s="2"/>
      <c r="D154" s="2" t="s">
        <v>1442</v>
      </c>
      <c r="E154" s="2" t="s">
        <v>39</v>
      </c>
      <c r="F154" s="2"/>
      <c r="G154" s="2"/>
      <c r="H154" s="2"/>
      <c r="I154" s="3">
        <f t="shared" si="2"/>
        <v>63</v>
      </c>
    </row>
    <row r="155" spans="1:9" x14ac:dyDescent="0.3">
      <c r="A155" s="2" t="s">
        <v>146</v>
      </c>
      <c r="B155" s="2" t="s">
        <v>1443</v>
      </c>
      <c r="C155" s="2" t="s">
        <v>437</v>
      </c>
      <c r="D155" s="2" t="s">
        <v>1444</v>
      </c>
      <c r="E155" s="2" t="s">
        <v>39</v>
      </c>
      <c r="F155" s="2"/>
      <c r="G155" s="2"/>
      <c r="H155" s="2"/>
      <c r="I155" s="3">
        <f t="shared" si="2"/>
        <v>63</v>
      </c>
    </row>
    <row r="156" spans="1:9" x14ac:dyDescent="0.3">
      <c r="A156" s="2" t="s">
        <v>146</v>
      </c>
      <c r="B156" s="2" t="s">
        <v>1453</v>
      </c>
      <c r="C156" s="2" t="s">
        <v>491</v>
      </c>
      <c r="D156" s="2" t="s">
        <v>1454</v>
      </c>
      <c r="E156" s="2" t="s">
        <v>39</v>
      </c>
      <c r="F156" s="2"/>
      <c r="G156" s="2"/>
      <c r="H156" s="2"/>
      <c r="I156" s="3">
        <f t="shared" si="2"/>
        <v>63</v>
      </c>
    </row>
    <row r="157" spans="1:9" x14ac:dyDescent="0.3">
      <c r="A157" s="2" t="s">
        <v>146</v>
      </c>
      <c r="B157" s="2" t="s">
        <v>1467</v>
      </c>
      <c r="C157" s="2"/>
      <c r="D157" s="2" t="s">
        <v>1468</v>
      </c>
      <c r="E157" s="2" t="s">
        <v>39</v>
      </c>
      <c r="F157" s="2"/>
      <c r="G157" s="2"/>
      <c r="H157" s="2"/>
      <c r="I157" s="3">
        <f t="shared" si="2"/>
        <v>63</v>
      </c>
    </row>
    <row r="158" spans="1:9" x14ac:dyDescent="0.3">
      <c r="A158" s="2" t="s">
        <v>146</v>
      </c>
      <c r="B158" s="2" t="s">
        <v>1469</v>
      </c>
      <c r="C158" s="2"/>
      <c r="D158" s="2" t="s">
        <v>1470</v>
      </c>
      <c r="E158" s="2" t="s">
        <v>39</v>
      </c>
      <c r="F158" s="2"/>
      <c r="G158" s="2"/>
      <c r="H158" s="2" t="s">
        <v>194</v>
      </c>
      <c r="I158" s="3">
        <f t="shared" si="2"/>
        <v>63</v>
      </c>
    </row>
    <row r="159" spans="1:9" x14ac:dyDescent="0.3">
      <c r="A159" s="2" t="s">
        <v>146</v>
      </c>
      <c r="B159" s="2" t="s">
        <v>1471</v>
      </c>
      <c r="C159" s="2" t="s">
        <v>1472</v>
      </c>
      <c r="D159" s="2" t="s">
        <v>1473</v>
      </c>
      <c r="E159" s="2" t="s">
        <v>39</v>
      </c>
      <c r="F159" s="2"/>
      <c r="G159" s="2"/>
      <c r="H159" s="2"/>
      <c r="I159" s="3">
        <f t="shared" si="2"/>
        <v>63</v>
      </c>
    </row>
    <row r="160" spans="1:9" ht="24" x14ac:dyDescent="0.3">
      <c r="A160" s="2" t="s">
        <v>146</v>
      </c>
      <c r="B160" s="2" t="s">
        <v>1477</v>
      </c>
      <c r="C160" s="2" t="s">
        <v>214</v>
      </c>
      <c r="D160" s="2" t="s">
        <v>1478</v>
      </c>
      <c r="E160" s="2" t="s">
        <v>39</v>
      </c>
      <c r="F160" s="2"/>
      <c r="G160" s="2"/>
      <c r="H160" s="2"/>
      <c r="I160" s="3">
        <f t="shared" si="2"/>
        <v>64</v>
      </c>
    </row>
    <row r="161" spans="1:9" x14ac:dyDescent="0.3">
      <c r="A161" s="2" t="s">
        <v>146</v>
      </c>
      <c r="B161" s="2" t="s">
        <v>1481</v>
      </c>
      <c r="C161" s="2" t="s">
        <v>491</v>
      </c>
      <c r="D161" s="2" t="s">
        <v>1482</v>
      </c>
      <c r="E161" s="2" t="s">
        <v>39</v>
      </c>
      <c r="F161" s="2"/>
      <c r="G161" s="2"/>
      <c r="H161" s="2"/>
      <c r="I161" s="3">
        <f t="shared" si="2"/>
        <v>64</v>
      </c>
    </row>
    <row r="162" spans="1:9" x14ac:dyDescent="0.3">
      <c r="A162" s="2" t="s">
        <v>146</v>
      </c>
      <c r="B162" s="2" t="s">
        <v>1487</v>
      </c>
      <c r="C162" s="2" t="s">
        <v>437</v>
      </c>
      <c r="D162" s="2" t="s">
        <v>1488</v>
      </c>
      <c r="E162" s="2" t="s">
        <v>39</v>
      </c>
      <c r="F162" s="2"/>
      <c r="G162" s="2"/>
      <c r="H162" s="2"/>
      <c r="I162" s="3">
        <f t="shared" si="2"/>
        <v>64</v>
      </c>
    </row>
    <row r="163" spans="1:9" x14ac:dyDescent="0.3">
      <c r="A163" s="2" t="s">
        <v>146</v>
      </c>
      <c r="B163" s="2" t="s">
        <v>1495</v>
      </c>
      <c r="C163" s="2" t="s">
        <v>437</v>
      </c>
      <c r="D163" s="2" t="s">
        <v>1496</v>
      </c>
      <c r="E163" s="2" t="s">
        <v>39</v>
      </c>
      <c r="F163" s="2"/>
      <c r="G163" s="2"/>
      <c r="H163" s="2"/>
      <c r="I163" s="3">
        <f t="shared" si="2"/>
        <v>64</v>
      </c>
    </row>
    <row r="164" spans="1:9" x14ac:dyDescent="0.3">
      <c r="A164" s="2" t="s">
        <v>146</v>
      </c>
      <c r="B164" s="2" t="s">
        <v>1506</v>
      </c>
      <c r="C164" s="2" t="s">
        <v>1507</v>
      </c>
      <c r="D164" s="2" t="s">
        <v>1508</v>
      </c>
      <c r="E164" s="2" t="s">
        <v>39</v>
      </c>
      <c r="F164" s="2"/>
      <c r="G164" s="2"/>
      <c r="H164" s="2"/>
      <c r="I164" s="3">
        <f t="shared" si="2"/>
        <v>64</v>
      </c>
    </row>
    <row r="165" spans="1:9" x14ac:dyDescent="0.3">
      <c r="A165" s="2" t="s">
        <v>146</v>
      </c>
      <c r="B165" s="2" t="s">
        <v>1511</v>
      </c>
      <c r="C165" s="2" t="s">
        <v>491</v>
      </c>
      <c r="D165" s="2" t="s">
        <v>1512</v>
      </c>
      <c r="E165" s="2" t="s">
        <v>39</v>
      </c>
      <c r="F165" s="2"/>
      <c r="G165" s="2"/>
      <c r="H165" s="2"/>
      <c r="I165" s="3">
        <f t="shared" si="2"/>
        <v>64</v>
      </c>
    </row>
    <row r="166" spans="1:9" x14ac:dyDescent="0.3">
      <c r="A166" s="2" t="s">
        <v>146</v>
      </c>
      <c r="B166" s="2" t="s">
        <v>1513</v>
      </c>
      <c r="C166" s="2" t="s">
        <v>437</v>
      </c>
      <c r="D166" s="2" t="s">
        <v>1514</v>
      </c>
      <c r="E166" s="2" t="s">
        <v>39</v>
      </c>
      <c r="F166" s="2"/>
      <c r="G166" s="2"/>
      <c r="H166" s="2"/>
      <c r="I166" s="3">
        <f t="shared" si="2"/>
        <v>64</v>
      </c>
    </row>
    <row r="167" spans="1:9" x14ac:dyDescent="0.3">
      <c r="A167" s="2" t="s">
        <v>146</v>
      </c>
      <c r="B167" s="2" t="s">
        <v>619</v>
      </c>
      <c r="C167" s="2" t="s">
        <v>500</v>
      </c>
      <c r="D167" s="2" t="s">
        <v>1517</v>
      </c>
      <c r="E167" s="2" t="s">
        <v>39</v>
      </c>
      <c r="F167" s="2"/>
      <c r="G167" s="2"/>
      <c r="H167" s="2" t="s">
        <v>402</v>
      </c>
      <c r="I167" s="3">
        <f t="shared" si="2"/>
        <v>64</v>
      </c>
    </row>
    <row r="168" spans="1:9" x14ac:dyDescent="0.3">
      <c r="A168" s="2" t="s">
        <v>146</v>
      </c>
      <c r="B168" s="2" t="s">
        <v>1518</v>
      </c>
      <c r="C168" s="2" t="s">
        <v>95</v>
      </c>
      <c r="D168" s="2" t="s">
        <v>1519</v>
      </c>
      <c r="E168" s="2"/>
      <c r="F168" s="2"/>
      <c r="G168" s="2"/>
      <c r="H168" s="2"/>
      <c r="I168" s="3">
        <f t="shared" si="2"/>
        <v>64</v>
      </c>
    </row>
    <row r="169" spans="1:9" x14ac:dyDescent="0.3">
      <c r="A169" s="2" t="s">
        <v>146</v>
      </c>
      <c r="B169" s="2" t="s">
        <v>1551</v>
      </c>
      <c r="C169" s="2" t="s">
        <v>389</v>
      </c>
      <c r="D169" s="2" t="s">
        <v>1552</v>
      </c>
      <c r="E169" s="2" t="s">
        <v>39</v>
      </c>
      <c r="F169" s="2"/>
      <c r="G169" s="2"/>
      <c r="H169" s="2"/>
      <c r="I169" s="3">
        <f t="shared" si="2"/>
        <v>65</v>
      </c>
    </row>
    <row r="170" spans="1:9" x14ac:dyDescent="0.3">
      <c r="A170" s="2" t="s">
        <v>146</v>
      </c>
      <c r="B170" s="2" t="s">
        <v>1556</v>
      </c>
      <c r="C170" s="2" t="s">
        <v>515</v>
      </c>
      <c r="D170" s="2" t="s">
        <v>1557</v>
      </c>
      <c r="E170" s="2" t="s">
        <v>39</v>
      </c>
      <c r="F170" s="2"/>
      <c r="G170" s="2"/>
      <c r="H170" s="2"/>
      <c r="I170" s="3">
        <f t="shared" si="2"/>
        <v>65</v>
      </c>
    </row>
    <row r="171" spans="1:9" x14ac:dyDescent="0.3">
      <c r="A171" s="2" t="s">
        <v>146</v>
      </c>
      <c r="B171" s="2" t="s">
        <v>1558</v>
      </c>
      <c r="C171" s="2" t="s">
        <v>95</v>
      </c>
      <c r="D171" s="2" t="s">
        <v>1559</v>
      </c>
      <c r="E171" s="2" t="s">
        <v>39</v>
      </c>
      <c r="F171" s="2"/>
      <c r="G171" s="2"/>
      <c r="H171" s="2"/>
      <c r="I171" s="3">
        <f t="shared" si="2"/>
        <v>65</v>
      </c>
    </row>
    <row r="172" spans="1:9" x14ac:dyDescent="0.3">
      <c r="A172" s="2" t="s">
        <v>146</v>
      </c>
      <c r="B172" s="2" t="s">
        <v>1562</v>
      </c>
      <c r="C172" s="2"/>
      <c r="D172" s="2" t="s">
        <v>1563</v>
      </c>
      <c r="E172" s="2" t="s">
        <v>39</v>
      </c>
      <c r="F172" s="2"/>
      <c r="G172" s="2"/>
      <c r="H172" s="2"/>
      <c r="I172" s="3">
        <f t="shared" si="2"/>
        <v>65</v>
      </c>
    </row>
    <row r="173" spans="1:9" x14ac:dyDescent="0.3">
      <c r="A173" s="2" t="s">
        <v>146</v>
      </c>
      <c r="B173" s="2" t="s">
        <v>1570</v>
      </c>
      <c r="C173" s="2"/>
      <c r="D173" s="2" t="s">
        <v>1571</v>
      </c>
      <c r="E173" s="2"/>
      <c r="F173" s="2"/>
      <c r="G173" s="2"/>
      <c r="H173" s="2"/>
      <c r="I173" s="3">
        <f t="shared" si="2"/>
        <v>65</v>
      </c>
    </row>
    <row r="174" spans="1:9" x14ac:dyDescent="0.3">
      <c r="A174" s="2" t="s">
        <v>146</v>
      </c>
      <c r="B174" s="2" t="s">
        <v>1589</v>
      </c>
      <c r="C174" s="2" t="s">
        <v>95</v>
      </c>
      <c r="D174" s="2" t="s">
        <v>1590</v>
      </c>
      <c r="E174" s="2" t="s">
        <v>39</v>
      </c>
      <c r="F174" s="2"/>
      <c r="G174" s="2"/>
      <c r="H174" s="2"/>
      <c r="I174" s="3">
        <f t="shared" si="2"/>
        <v>66</v>
      </c>
    </row>
    <row r="175" spans="1:9" x14ac:dyDescent="0.3">
      <c r="A175" s="2" t="s">
        <v>146</v>
      </c>
      <c r="B175" s="2" t="s">
        <v>1599</v>
      </c>
      <c r="C175" s="2" t="s">
        <v>178</v>
      </c>
      <c r="D175" s="2" t="s">
        <v>1600</v>
      </c>
      <c r="E175" s="2" t="s">
        <v>39</v>
      </c>
      <c r="F175" s="2"/>
      <c r="G175" s="2"/>
      <c r="H175" s="2"/>
      <c r="I175" s="3">
        <f t="shared" si="2"/>
        <v>66</v>
      </c>
    </row>
    <row r="176" spans="1:9" x14ac:dyDescent="0.3">
      <c r="A176" s="2" t="s">
        <v>146</v>
      </c>
      <c r="B176" s="2" t="s">
        <v>1603</v>
      </c>
      <c r="C176" s="2" t="s">
        <v>214</v>
      </c>
      <c r="D176" s="2" t="s">
        <v>1604</v>
      </c>
      <c r="E176" s="2" t="s">
        <v>39</v>
      </c>
      <c r="F176" s="2"/>
      <c r="G176" s="2"/>
      <c r="H176" s="2"/>
      <c r="I176" s="3">
        <f t="shared" si="2"/>
        <v>66</v>
      </c>
    </row>
    <row r="177" spans="1:9" x14ac:dyDescent="0.3">
      <c r="A177" s="2" t="s">
        <v>146</v>
      </c>
      <c r="B177" s="2" t="s">
        <v>1605</v>
      </c>
      <c r="C177" s="2"/>
      <c r="D177" s="2" t="s">
        <v>1606</v>
      </c>
      <c r="E177" s="2" t="s">
        <v>39</v>
      </c>
      <c r="F177" s="2"/>
      <c r="G177" s="2"/>
      <c r="H177" s="2"/>
      <c r="I177" s="3">
        <f t="shared" si="2"/>
        <v>66</v>
      </c>
    </row>
    <row r="178" spans="1:9" x14ac:dyDescent="0.3">
      <c r="A178" s="2" t="s">
        <v>146</v>
      </c>
      <c r="B178" s="2" t="s">
        <v>1607</v>
      </c>
      <c r="C178" s="2" t="s">
        <v>515</v>
      </c>
      <c r="D178" s="2" t="s">
        <v>1608</v>
      </c>
      <c r="E178" s="2" t="s">
        <v>39</v>
      </c>
      <c r="F178" s="2"/>
      <c r="G178" s="2"/>
      <c r="H178" s="2"/>
      <c r="I178" s="3">
        <f t="shared" si="2"/>
        <v>66</v>
      </c>
    </row>
    <row r="179" spans="1:9" x14ac:dyDescent="0.3">
      <c r="A179" s="2" t="s">
        <v>146</v>
      </c>
      <c r="B179" s="2" t="s">
        <v>1609</v>
      </c>
      <c r="C179" s="2"/>
      <c r="D179" s="2" t="s">
        <v>1610</v>
      </c>
      <c r="E179" s="2" t="s">
        <v>39</v>
      </c>
      <c r="F179" s="2"/>
      <c r="G179" s="2"/>
      <c r="H179" s="2"/>
      <c r="I179" s="3">
        <f t="shared" si="2"/>
        <v>66</v>
      </c>
    </row>
    <row r="180" spans="1:9" x14ac:dyDescent="0.3">
      <c r="A180" s="2" t="s">
        <v>146</v>
      </c>
      <c r="B180" s="2" t="s">
        <v>1611</v>
      </c>
      <c r="C180" s="2" t="s">
        <v>491</v>
      </c>
      <c r="D180" s="2" t="s">
        <v>1612</v>
      </c>
      <c r="E180" s="2" t="s">
        <v>39</v>
      </c>
      <c r="F180" s="2"/>
      <c r="G180" s="2"/>
      <c r="H180" s="2"/>
      <c r="I180" s="3">
        <f t="shared" si="2"/>
        <v>66</v>
      </c>
    </row>
    <row r="181" spans="1:9" x14ac:dyDescent="0.3">
      <c r="A181" s="2" t="s">
        <v>146</v>
      </c>
      <c r="B181" s="2" t="s">
        <v>1613</v>
      </c>
      <c r="C181" s="2" t="s">
        <v>491</v>
      </c>
      <c r="D181" s="2" t="s">
        <v>1614</v>
      </c>
      <c r="E181" s="2" t="s">
        <v>39</v>
      </c>
      <c r="F181" s="2"/>
      <c r="G181" s="2"/>
      <c r="H181" s="2"/>
      <c r="I181" s="3">
        <f t="shared" si="2"/>
        <v>66</v>
      </c>
    </row>
    <row r="182" spans="1:9" x14ac:dyDescent="0.3">
      <c r="A182" s="2" t="s">
        <v>146</v>
      </c>
      <c r="B182" s="2" t="s">
        <v>1615</v>
      </c>
      <c r="C182" s="2" t="s">
        <v>178</v>
      </c>
      <c r="D182" s="2" t="s">
        <v>1616</v>
      </c>
      <c r="E182" s="2" t="s">
        <v>39</v>
      </c>
      <c r="F182" s="2"/>
      <c r="G182" s="2"/>
      <c r="H182" s="2"/>
      <c r="I182" s="3">
        <f t="shared" si="2"/>
        <v>66</v>
      </c>
    </row>
    <row r="183" spans="1:9" x14ac:dyDescent="0.3">
      <c r="A183" s="2" t="s">
        <v>146</v>
      </c>
      <c r="B183" s="2" t="s">
        <v>1617</v>
      </c>
      <c r="C183" s="2"/>
      <c r="D183" s="2" t="s">
        <v>1618</v>
      </c>
      <c r="E183" s="2" t="s">
        <v>39</v>
      </c>
      <c r="F183" s="2"/>
      <c r="G183" s="2"/>
      <c r="H183" s="2"/>
      <c r="I183" s="3">
        <f t="shared" si="2"/>
        <v>66</v>
      </c>
    </row>
    <row r="184" spans="1:9" x14ac:dyDescent="0.3">
      <c r="A184" s="2" t="s">
        <v>146</v>
      </c>
      <c r="B184" s="2" t="s">
        <v>1619</v>
      </c>
      <c r="C184" s="2" t="s">
        <v>437</v>
      </c>
      <c r="D184" s="2" t="s">
        <v>1620</v>
      </c>
      <c r="E184" s="2" t="s">
        <v>39</v>
      </c>
      <c r="F184" s="2"/>
      <c r="G184" s="2"/>
      <c r="H184" s="2" t="s">
        <v>194</v>
      </c>
      <c r="I184" s="3">
        <f t="shared" si="2"/>
        <v>66</v>
      </c>
    </row>
    <row r="185" spans="1:9" x14ac:dyDescent="0.3">
      <c r="A185" s="2" t="s">
        <v>146</v>
      </c>
      <c r="B185" s="2" t="s">
        <v>1621</v>
      </c>
      <c r="C185" s="2" t="s">
        <v>437</v>
      </c>
      <c r="D185" s="2" t="s">
        <v>1622</v>
      </c>
      <c r="E185" s="2"/>
      <c r="F185" s="2"/>
      <c r="G185" s="2"/>
      <c r="H185" s="2"/>
      <c r="I185" s="3">
        <f t="shared" si="2"/>
        <v>66</v>
      </c>
    </row>
    <row r="186" spans="1:9" x14ac:dyDescent="0.3">
      <c r="A186" s="2" t="s">
        <v>146</v>
      </c>
      <c r="B186" s="2" t="s">
        <v>1630</v>
      </c>
      <c r="C186" s="2" t="s">
        <v>911</v>
      </c>
      <c r="D186" s="2" t="s">
        <v>1631</v>
      </c>
      <c r="E186" s="2"/>
      <c r="F186" s="2"/>
      <c r="G186" s="2"/>
      <c r="H186" s="2"/>
      <c r="I186" s="3">
        <f t="shared" si="2"/>
        <v>66</v>
      </c>
    </row>
    <row r="187" spans="1:9" x14ac:dyDescent="0.3">
      <c r="A187" s="2" t="s">
        <v>146</v>
      </c>
      <c r="B187" s="2" t="s">
        <v>1632</v>
      </c>
      <c r="C187" s="2" t="s">
        <v>95</v>
      </c>
      <c r="D187" s="2" t="s">
        <v>1633</v>
      </c>
      <c r="E187" s="2" t="s">
        <v>39</v>
      </c>
      <c r="F187" s="2"/>
      <c r="G187" s="2"/>
      <c r="H187" s="2"/>
      <c r="I187" s="3">
        <f t="shared" si="2"/>
        <v>66</v>
      </c>
    </row>
    <row r="188" spans="1:9" x14ac:dyDescent="0.3">
      <c r="A188" s="2" t="s">
        <v>146</v>
      </c>
      <c r="B188" s="2" t="s">
        <v>34</v>
      </c>
      <c r="C188" s="2" t="s">
        <v>35</v>
      </c>
      <c r="D188" s="2" t="s">
        <v>1645</v>
      </c>
      <c r="E188" s="2" t="s">
        <v>39</v>
      </c>
      <c r="F188" s="2"/>
      <c r="G188" s="2"/>
      <c r="H188" s="2"/>
      <c r="I188" s="3">
        <f t="shared" si="2"/>
        <v>67</v>
      </c>
    </row>
    <row r="189" spans="1:9" x14ac:dyDescent="0.3">
      <c r="A189" s="2" t="s">
        <v>146</v>
      </c>
      <c r="B189" s="2" t="s">
        <v>1078</v>
      </c>
      <c r="C189" s="2"/>
      <c r="D189" s="2" t="s">
        <v>1655</v>
      </c>
      <c r="E189" s="2" t="s">
        <v>39</v>
      </c>
      <c r="F189" s="2"/>
      <c r="G189" s="2"/>
      <c r="H189" s="2"/>
      <c r="I189" s="3">
        <f t="shared" si="2"/>
        <v>67</v>
      </c>
    </row>
    <row r="190" spans="1:9" x14ac:dyDescent="0.3">
      <c r="A190" s="2" t="s">
        <v>146</v>
      </c>
      <c r="B190" s="2" t="s">
        <v>1656</v>
      </c>
      <c r="C190" s="2" t="s">
        <v>214</v>
      </c>
      <c r="D190" s="2" t="s">
        <v>1657</v>
      </c>
      <c r="E190" s="2" t="s">
        <v>39</v>
      </c>
      <c r="F190" s="2"/>
      <c r="G190" s="2"/>
      <c r="H190" s="2"/>
      <c r="I190" s="3">
        <f t="shared" si="2"/>
        <v>67</v>
      </c>
    </row>
    <row r="191" spans="1:9" x14ac:dyDescent="0.3">
      <c r="A191" s="2" t="s">
        <v>146</v>
      </c>
      <c r="B191" s="2" t="s">
        <v>1658</v>
      </c>
      <c r="C191" s="2" t="s">
        <v>214</v>
      </c>
      <c r="D191" s="2" t="s">
        <v>1659</v>
      </c>
      <c r="E191" s="2" t="s">
        <v>39</v>
      </c>
      <c r="F191" s="2"/>
      <c r="G191" s="2"/>
      <c r="H191" s="2"/>
      <c r="I191" s="3">
        <f t="shared" si="2"/>
        <v>67</v>
      </c>
    </row>
    <row r="192" spans="1:9" x14ac:dyDescent="0.3">
      <c r="A192" s="2" t="s">
        <v>146</v>
      </c>
      <c r="B192" s="2" t="s">
        <v>1660</v>
      </c>
      <c r="C192" s="2" t="s">
        <v>214</v>
      </c>
      <c r="D192" s="2" t="s">
        <v>1661</v>
      </c>
      <c r="E192" s="2" t="s">
        <v>39</v>
      </c>
      <c r="F192" s="2"/>
      <c r="G192" s="2"/>
      <c r="H192" s="2"/>
      <c r="I192" s="3">
        <f t="shared" si="2"/>
        <v>67</v>
      </c>
    </row>
    <row r="193" spans="1:9" x14ac:dyDescent="0.3">
      <c r="A193" s="2" t="s">
        <v>146</v>
      </c>
      <c r="B193" s="2" t="s">
        <v>794</v>
      </c>
      <c r="C193" s="2" t="s">
        <v>95</v>
      </c>
      <c r="D193" s="2" t="s">
        <v>1662</v>
      </c>
      <c r="E193" s="2" t="s">
        <v>39</v>
      </c>
      <c r="F193" s="2"/>
      <c r="G193" s="2"/>
      <c r="H193" s="2"/>
      <c r="I193" s="3">
        <f t="shared" si="2"/>
        <v>67</v>
      </c>
    </row>
    <row r="194" spans="1:9" x14ac:dyDescent="0.3">
      <c r="A194" s="2" t="s">
        <v>146</v>
      </c>
      <c r="B194" s="2" t="s">
        <v>1663</v>
      </c>
      <c r="C194" s="2" t="s">
        <v>1575</v>
      </c>
      <c r="D194" s="2" t="s">
        <v>1664</v>
      </c>
      <c r="E194" s="2"/>
      <c r="F194" s="2"/>
      <c r="G194" s="2"/>
      <c r="H194" s="2"/>
      <c r="I194" s="3">
        <f t="shared" ref="I194:I257" si="3">LEN(D194)</f>
        <v>67</v>
      </c>
    </row>
    <row r="195" spans="1:9" x14ac:dyDescent="0.3">
      <c r="A195" s="2" t="s">
        <v>146</v>
      </c>
      <c r="B195" s="2" t="s">
        <v>1665</v>
      </c>
      <c r="C195" s="2" t="s">
        <v>214</v>
      </c>
      <c r="D195" s="2" t="s">
        <v>1666</v>
      </c>
      <c r="E195" s="2" t="s">
        <v>39</v>
      </c>
      <c r="F195" s="2"/>
      <c r="G195" s="2"/>
      <c r="H195" s="2"/>
      <c r="I195" s="3">
        <f t="shared" si="3"/>
        <v>67</v>
      </c>
    </row>
    <row r="196" spans="1:9" x14ac:dyDescent="0.3">
      <c r="A196" s="2" t="s">
        <v>146</v>
      </c>
      <c r="B196" s="2" t="s">
        <v>1667</v>
      </c>
      <c r="C196" s="2" t="s">
        <v>491</v>
      </c>
      <c r="D196" s="2" t="s">
        <v>1668</v>
      </c>
      <c r="E196" s="2" t="s">
        <v>39</v>
      </c>
      <c r="F196" s="2"/>
      <c r="G196" s="2"/>
      <c r="H196" s="2"/>
      <c r="I196" s="3">
        <f t="shared" si="3"/>
        <v>67</v>
      </c>
    </row>
    <row r="197" spans="1:9" x14ac:dyDescent="0.3">
      <c r="A197" s="2" t="s">
        <v>146</v>
      </c>
      <c r="B197" s="2" t="s">
        <v>1669</v>
      </c>
      <c r="C197" s="2" t="s">
        <v>437</v>
      </c>
      <c r="D197" s="2" t="s">
        <v>1670</v>
      </c>
      <c r="E197" s="2" t="s">
        <v>39</v>
      </c>
      <c r="F197" s="2"/>
      <c r="G197" s="2"/>
      <c r="H197" s="2"/>
      <c r="I197" s="3">
        <f t="shared" si="3"/>
        <v>67</v>
      </c>
    </row>
    <row r="198" spans="1:9" x14ac:dyDescent="0.3">
      <c r="A198" s="2" t="s">
        <v>146</v>
      </c>
      <c r="B198" s="2" t="s">
        <v>1675</v>
      </c>
      <c r="C198" s="2" t="s">
        <v>437</v>
      </c>
      <c r="D198" s="2" t="s">
        <v>1676</v>
      </c>
      <c r="E198" s="2" t="s">
        <v>39</v>
      </c>
      <c r="F198" s="2"/>
      <c r="G198" s="2"/>
      <c r="H198" s="2"/>
      <c r="I198" s="3">
        <f t="shared" si="3"/>
        <v>67</v>
      </c>
    </row>
    <row r="199" spans="1:9" x14ac:dyDescent="0.3">
      <c r="A199" s="2" t="s">
        <v>146</v>
      </c>
      <c r="B199" s="2" t="s">
        <v>1681</v>
      </c>
      <c r="C199" s="2" t="s">
        <v>144</v>
      </c>
      <c r="D199" s="2" t="s">
        <v>1682</v>
      </c>
      <c r="E199" s="2" t="s">
        <v>39</v>
      </c>
      <c r="F199" s="2"/>
      <c r="G199" s="2"/>
      <c r="H199" s="2"/>
      <c r="I199" s="3">
        <f t="shared" si="3"/>
        <v>67</v>
      </c>
    </row>
    <row r="200" spans="1:9" x14ac:dyDescent="0.3">
      <c r="A200" s="2" t="s">
        <v>146</v>
      </c>
      <c r="B200" s="2" t="s">
        <v>1700</v>
      </c>
      <c r="C200" s="2" t="s">
        <v>95</v>
      </c>
      <c r="D200" s="2" t="s">
        <v>1701</v>
      </c>
      <c r="E200" s="2" t="s">
        <v>39</v>
      </c>
      <c r="F200" s="2"/>
      <c r="G200" s="2"/>
      <c r="H200" s="2"/>
      <c r="I200" s="3">
        <f t="shared" si="3"/>
        <v>67</v>
      </c>
    </row>
    <row r="201" spans="1:9" x14ac:dyDescent="0.3">
      <c r="A201" s="2" t="s">
        <v>146</v>
      </c>
      <c r="B201" s="2" t="s">
        <v>34</v>
      </c>
      <c r="C201" s="2" t="s">
        <v>35</v>
      </c>
      <c r="D201" s="2" t="s">
        <v>1706</v>
      </c>
      <c r="E201" s="2" t="s">
        <v>39</v>
      </c>
      <c r="F201" s="2"/>
      <c r="G201" s="2"/>
      <c r="H201" s="2"/>
      <c r="I201" s="3">
        <f t="shared" si="3"/>
        <v>68</v>
      </c>
    </row>
    <row r="202" spans="1:9" x14ac:dyDescent="0.3">
      <c r="A202" s="2" t="s">
        <v>146</v>
      </c>
      <c r="B202" s="2" t="s">
        <v>1709</v>
      </c>
      <c r="C202" s="2"/>
      <c r="D202" s="2" t="s">
        <v>1710</v>
      </c>
      <c r="E202" s="2" t="s">
        <v>39</v>
      </c>
      <c r="F202" s="2"/>
      <c r="G202" s="2"/>
      <c r="H202" s="2"/>
      <c r="I202" s="3">
        <f t="shared" si="3"/>
        <v>68</v>
      </c>
    </row>
    <row r="203" spans="1:9" x14ac:dyDescent="0.3">
      <c r="A203" s="2" t="s">
        <v>146</v>
      </c>
      <c r="B203" s="2" t="s">
        <v>1720</v>
      </c>
      <c r="C203" s="2"/>
      <c r="D203" s="2" t="s">
        <v>1721</v>
      </c>
      <c r="E203" s="2" t="s">
        <v>39</v>
      </c>
      <c r="F203" s="2"/>
      <c r="G203" s="2"/>
      <c r="H203" s="2"/>
      <c r="I203" s="3">
        <f t="shared" si="3"/>
        <v>68</v>
      </c>
    </row>
    <row r="204" spans="1:9" x14ac:dyDescent="0.3">
      <c r="A204" s="2" t="s">
        <v>146</v>
      </c>
      <c r="B204" s="2" t="s">
        <v>1724</v>
      </c>
      <c r="C204" s="2" t="s">
        <v>1507</v>
      </c>
      <c r="D204" s="2" t="s">
        <v>1725</v>
      </c>
      <c r="E204" s="2" t="s">
        <v>39</v>
      </c>
      <c r="F204" s="2"/>
      <c r="G204" s="2"/>
      <c r="H204" s="2"/>
      <c r="I204" s="3">
        <f t="shared" si="3"/>
        <v>68</v>
      </c>
    </row>
    <row r="205" spans="1:9" x14ac:dyDescent="0.3">
      <c r="A205" s="2" t="s">
        <v>146</v>
      </c>
      <c r="B205" s="2" t="s">
        <v>1728</v>
      </c>
      <c r="C205" s="2" t="s">
        <v>1451</v>
      </c>
      <c r="D205" s="2" t="s">
        <v>1729</v>
      </c>
      <c r="E205" s="2"/>
      <c r="F205" s="2"/>
      <c r="G205" s="2"/>
      <c r="H205" s="2"/>
      <c r="I205" s="3">
        <f t="shared" si="3"/>
        <v>68</v>
      </c>
    </row>
    <row r="206" spans="1:9" x14ac:dyDescent="0.3">
      <c r="A206" s="2" t="s">
        <v>146</v>
      </c>
      <c r="B206" s="2" t="s">
        <v>1730</v>
      </c>
      <c r="C206" s="2" t="s">
        <v>491</v>
      </c>
      <c r="D206" s="2" t="s">
        <v>1731</v>
      </c>
      <c r="E206" s="2" t="s">
        <v>39</v>
      </c>
      <c r="F206" s="2"/>
      <c r="G206" s="2"/>
      <c r="H206" s="2"/>
      <c r="I206" s="3">
        <f t="shared" si="3"/>
        <v>68</v>
      </c>
    </row>
    <row r="207" spans="1:9" x14ac:dyDescent="0.3">
      <c r="A207" s="2" t="s">
        <v>146</v>
      </c>
      <c r="B207" s="2" t="s">
        <v>1732</v>
      </c>
      <c r="C207" s="2"/>
      <c r="D207" s="2" t="s">
        <v>1733</v>
      </c>
      <c r="E207" s="2" t="s">
        <v>39</v>
      </c>
      <c r="F207" s="2"/>
      <c r="G207" s="2"/>
      <c r="H207" s="2"/>
      <c r="I207" s="3">
        <f t="shared" si="3"/>
        <v>68</v>
      </c>
    </row>
    <row r="208" spans="1:9" x14ac:dyDescent="0.3">
      <c r="A208" s="2" t="s">
        <v>146</v>
      </c>
      <c r="B208" s="2" t="s">
        <v>1742</v>
      </c>
      <c r="C208" s="2"/>
      <c r="D208" s="2" t="s">
        <v>1743</v>
      </c>
      <c r="E208" s="2" t="s">
        <v>39</v>
      </c>
      <c r="F208" s="2"/>
      <c r="G208" s="2"/>
      <c r="H208" s="2"/>
      <c r="I208" s="3">
        <f t="shared" si="3"/>
        <v>68</v>
      </c>
    </row>
    <row r="209" spans="1:9" x14ac:dyDescent="0.3">
      <c r="A209" s="2" t="s">
        <v>146</v>
      </c>
      <c r="B209" s="2" t="s">
        <v>1748</v>
      </c>
      <c r="C209" s="2" t="s">
        <v>1749</v>
      </c>
      <c r="D209" s="2" t="s">
        <v>1750</v>
      </c>
      <c r="E209" s="2" t="s">
        <v>39</v>
      </c>
      <c r="F209" s="2"/>
      <c r="G209" s="2"/>
      <c r="H209" s="2" t="s">
        <v>402</v>
      </c>
      <c r="I209" s="3">
        <f t="shared" si="3"/>
        <v>68</v>
      </c>
    </row>
    <row r="210" spans="1:9" ht="24" x14ac:dyDescent="0.3">
      <c r="A210" s="2" t="s">
        <v>146</v>
      </c>
      <c r="B210" s="2" t="s">
        <v>1759</v>
      </c>
      <c r="C210" s="2" t="s">
        <v>911</v>
      </c>
      <c r="D210" s="2" t="s">
        <v>1760</v>
      </c>
      <c r="E210" s="2" t="s">
        <v>39</v>
      </c>
      <c r="F210" s="2"/>
      <c r="G210" s="2"/>
      <c r="H210" s="2"/>
      <c r="I210" s="3">
        <f t="shared" si="3"/>
        <v>69</v>
      </c>
    </row>
    <row r="211" spans="1:9" x14ac:dyDescent="0.3">
      <c r="A211" s="2" t="s">
        <v>146</v>
      </c>
      <c r="B211" s="2" t="s">
        <v>1779</v>
      </c>
      <c r="C211" s="2" t="s">
        <v>214</v>
      </c>
      <c r="D211" s="2" t="s">
        <v>1780</v>
      </c>
      <c r="E211" s="2" t="s">
        <v>39</v>
      </c>
      <c r="F211" s="2"/>
      <c r="G211" s="2"/>
      <c r="H211" s="2"/>
      <c r="I211" s="3">
        <f t="shared" si="3"/>
        <v>69</v>
      </c>
    </row>
    <row r="212" spans="1:9" x14ac:dyDescent="0.3">
      <c r="A212" s="2" t="s">
        <v>146</v>
      </c>
      <c r="B212" s="2" t="s">
        <v>1782</v>
      </c>
      <c r="C212" s="2"/>
      <c r="D212" s="2" t="s">
        <v>1783</v>
      </c>
      <c r="E212" s="2" t="s">
        <v>39</v>
      </c>
      <c r="F212" s="2"/>
      <c r="G212" s="2"/>
      <c r="H212" s="2"/>
      <c r="I212" s="3">
        <f t="shared" si="3"/>
        <v>69</v>
      </c>
    </row>
    <row r="213" spans="1:9" x14ac:dyDescent="0.3">
      <c r="A213" s="2" t="s">
        <v>146</v>
      </c>
      <c r="B213" s="2" t="s">
        <v>1785</v>
      </c>
      <c r="C213" s="2" t="s">
        <v>491</v>
      </c>
      <c r="D213" s="2" t="s">
        <v>1786</v>
      </c>
      <c r="E213" s="2" t="s">
        <v>39</v>
      </c>
      <c r="F213" s="2"/>
      <c r="G213" s="2"/>
      <c r="H213" s="2"/>
      <c r="I213" s="3">
        <f t="shared" si="3"/>
        <v>69</v>
      </c>
    </row>
    <row r="214" spans="1:9" x14ac:dyDescent="0.3">
      <c r="A214" s="2" t="s">
        <v>146</v>
      </c>
      <c r="B214" s="2" t="s">
        <v>1787</v>
      </c>
      <c r="C214" s="2" t="s">
        <v>95</v>
      </c>
      <c r="D214" s="2" t="s">
        <v>1788</v>
      </c>
      <c r="E214" s="2" t="s">
        <v>39</v>
      </c>
      <c r="F214" s="2"/>
      <c r="G214" s="2"/>
      <c r="H214" s="2"/>
      <c r="I214" s="3">
        <f t="shared" si="3"/>
        <v>69</v>
      </c>
    </row>
    <row r="215" spans="1:9" x14ac:dyDescent="0.3">
      <c r="A215" s="2" t="s">
        <v>146</v>
      </c>
      <c r="B215" s="2" t="s">
        <v>1789</v>
      </c>
      <c r="C215" s="2"/>
      <c r="D215" s="2" t="s">
        <v>1790</v>
      </c>
      <c r="E215" s="2" t="s">
        <v>39</v>
      </c>
      <c r="F215" s="2"/>
      <c r="G215" s="2"/>
      <c r="H215" s="2"/>
      <c r="I215" s="3">
        <f t="shared" si="3"/>
        <v>69</v>
      </c>
    </row>
    <row r="216" spans="1:9" x14ac:dyDescent="0.3">
      <c r="A216" s="2" t="s">
        <v>146</v>
      </c>
      <c r="B216" s="2" t="s">
        <v>1791</v>
      </c>
      <c r="C216" s="2"/>
      <c r="D216" s="2" t="s">
        <v>1792</v>
      </c>
      <c r="E216" s="2" t="s">
        <v>39</v>
      </c>
      <c r="F216" s="2"/>
      <c r="G216" s="2"/>
      <c r="H216" s="2"/>
      <c r="I216" s="3">
        <f t="shared" si="3"/>
        <v>69</v>
      </c>
    </row>
    <row r="217" spans="1:9" x14ac:dyDescent="0.3">
      <c r="A217" s="2" t="s">
        <v>146</v>
      </c>
      <c r="B217" s="2" t="s">
        <v>1011</v>
      </c>
      <c r="C217" s="2" t="s">
        <v>95</v>
      </c>
      <c r="D217" s="2" t="s">
        <v>1794</v>
      </c>
      <c r="E217" s="2" t="s">
        <v>39</v>
      </c>
      <c r="F217" s="2"/>
      <c r="G217" s="2"/>
      <c r="H217" s="2"/>
      <c r="I217" s="3">
        <f t="shared" si="3"/>
        <v>69</v>
      </c>
    </row>
    <row r="218" spans="1:9" x14ac:dyDescent="0.3">
      <c r="A218" s="2" t="s">
        <v>146</v>
      </c>
      <c r="B218" s="2" t="s">
        <v>1798</v>
      </c>
      <c r="C218" s="2" t="s">
        <v>946</v>
      </c>
      <c r="D218" s="2" t="s">
        <v>1799</v>
      </c>
      <c r="E218" s="2" t="s">
        <v>39</v>
      </c>
      <c r="F218" s="2"/>
      <c r="G218" s="2"/>
      <c r="H218" s="2"/>
      <c r="I218" s="3">
        <f t="shared" si="3"/>
        <v>69</v>
      </c>
    </row>
    <row r="219" spans="1:9" x14ac:dyDescent="0.3">
      <c r="A219" s="2" t="s">
        <v>146</v>
      </c>
      <c r="B219" s="2" t="s">
        <v>1802</v>
      </c>
      <c r="C219" s="2"/>
      <c r="D219" s="2" t="s">
        <v>1803</v>
      </c>
      <c r="E219" s="2" t="s">
        <v>39</v>
      </c>
      <c r="F219" s="2"/>
      <c r="G219" s="2"/>
      <c r="H219" s="2"/>
      <c r="I219" s="3">
        <f t="shared" si="3"/>
        <v>69</v>
      </c>
    </row>
    <row r="220" spans="1:9" x14ac:dyDescent="0.3">
      <c r="A220" s="2" t="s">
        <v>146</v>
      </c>
      <c r="B220" s="2" t="s">
        <v>1810</v>
      </c>
      <c r="C220" s="2" t="s">
        <v>691</v>
      </c>
      <c r="D220" s="2" t="s">
        <v>1811</v>
      </c>
      <c r="E220" s="2" t="s">
        <v>39</v>
      </c>
      <c r="F220" s="2"/>
      <c r="G220" s="2"/>
      <c r="H220" s="2"/>
      <c r="I220" s="3">
        <f t="shared" si="3"/>
        <v>69</v>
      </c>
    </row>
    <row r="221" spans="1:9" x14ac:dyDescent="0.3">
      <c r="A221" s="2" t="s">
        <v>146</v>
      </c>
      <c r="B221" s="2" t="s">
        <v>1820</v>
      </c>
      <c r="C221" s="2" t="s">
        <v>491</v>
      </c>
      <c r="D221" s="2" t="s">
        <v>1821</v>
      </c>
      <c r="E221" s="2" t="s">
        <v>39</v>
      </c>
      <c r="F221" s="2"/>
      <c r="G221" s="2"/>
      <c r="H221" s="2"/>
      <c r="I221" s="3">
        <f t="shared" si="3"/>
        <v>70</v>
      </c>
    </row>
    <row r="222" spans="1:9" x14ac:dyDescent="0.3">
      <c r="A222" s="2" t="s">
        <v>146</v>
      </c>
      <c r="B222" s="2" t="s">
        <v>1823</v>
      </c>
      <c r="C222" s="2"/>
      <c r="D222" s="2" t="s">
        <v>1824</v>
      </c>
      <c r="E222" s="2" t="s">
        <v>39</v>
      </c>
      <c r="F222" s="2"/>
      <c r="G222" s="2"/>
      <c r="H222" s="2"/>
      <c r="I222" s="3">
        <f t="shared" si="3"/>
        <v>70</v>
      </c>
    </row>
    <row r="223" spans="1:9" x14ac:dyDescent="0.3">
      <c r="A223" s="2" t="s">
        <v>146</v>
      </c>
      <c r="B223" s="2" t="s">
        <v>1829</v>
      </c>
      <c r="C223" s="2" t="s">
        <v>389</v>
      </c>
      <c r="D223" s="2" t="s">
        <v>1830</v>
      </c>
      <c r="E223" s="2" t="s">
        <v>39</v>
      </c>
      <c r="F223" s="2"/>
      <c r="G223" s="2"/>
      <c r="H223" s="2"/>
      <c r="I223" s="3">
        <f t="shared" si="3"/>
        <v>70</v>
      </c>
    </row>
    <row r="224" spans="1:9" x14ac:dyDescent="0.3">
      <c r="A224" s="2" t="s">
        <v>146</v>
      </c>
      <c r="B224" s="2" t="s">
        <v>796</v>
      </c>
      <c r="C224" s="2" t="s">
        <v>437</v>
      </c>
      <c r="D224" s="2" t="s">
        <v>1847</v>
      </c>
      <c r="E224" s="2" t="s">
        <v>39</v>
      </c>
      <c r="F224" s="2"/>
      <c r="G224" s="2"/>
      <c r="H224" s="2"/>
      <c r="I224" s="3">
        <f t="shared" si="3"/>
        <v>70</v>
      </c>
    </row>
    <row r="225" spans="1:9" x14ac:dyDescent="0.3">
      <c r="A225" s="2" t="s">
        <v>146</v>
      </c>
      <c r="B225" s="2" t="s">
        <v>1848</v>
      </c>
      <c r="C225" s="2" t="s">
        <v>437</v>
      </c>
      <c r="D225" s="2" t="s">
        <v>1849</v>
      </c>
      <c r="E225" s="2" t="s">
        <v>39</v>
      </c>
      <c r="F225" s="2"/>
      <c r="G225" s="2"/>
      <c r="H225" s="2"/>
      <c r="I225" s="3">
        <f t="shared" si="3"/>
        <v>70</v>
      </c>
    </row>
    <row r="226" spans="1:9" x14ac:dyDescent="0.3">
      <c r="A226" s="2" t="s">
        <v>146</v>
      </c>
      <c r="B226" s="2" t="s">
        <v>1853</v>
      </c>
      <c r="C226" s="2" t="s">
        <v>491</v>
      </c>
      <c r="D226" s="2" t="s">
        <v>1854</v>
      </c>
      <c r="E226" s="2" t="s">
        <v>39</v>
      </c>
      <c r="F226" s="2"/>
      <c r="G226" s="2"/>
      <c r="H226" s="2"/>
      <c r="I226" s="3">
        <f t="shared" si="3"/>
        <v>70</v>
      </c>
    </row>
    <row r="227" spans="1:9" x14ac:dyDescent="0.3">
      <c r="A227" s="2" t="s">
        <v>146</v>
      </c>
      <c r="B227" s="2" t="s">
        <v>1855</v>
      </c>
      <c r="C227" s="2" t="s">
        <v>491</v>
      </c>
      <c r="D227" s="2" t="s">
        <v>1856</v>
      </c>
      <c r="E227" s="2" t="s">
        <v>39</v>
      </c>
      <c r="F227" s="2"/>
      <c r="G227" s="2"/>
      <c r="H227" s="2"/>
      <c r="I227" s="3">
        <f t="shared" si="3"/>
        <v>70</v>
      </c>
    </row>
    <row r="228" spans="1:9" x14ac:dyDescent="0.3">
      <c r="A228" s="2" t="s">
        <v>146</v>
      </c>
      <c r="B228" s="2" t="s">
        <v>1857</v>
      </c>
      <c r="C228" s="2"/>
      <c r="D228" s="2" t="s">
        <v>1858</v>
      </c>
      <c r="E228" s="2" t="s">
        <v>39</v>
      </c>
      <c r="F228" s="2"/>
      <c r="G228" s="2"/>
      <c r="H228" s="2" t="s">
        <v>194</v>
      </c>
      <c r="I228" s="3">
        <f t="shared" si="3"/>
        <v>70</v>
      </c>
    </row>
    <row r="229" spans="1:9" x14ac:dyDescent="0.3">
      <c r="A229" s="2" t="s">
        <v>146</v>
      </c>
      <c r="B229" s="2" t="s">
        <v>1860</v>
      </c>
      <c r="C229" s="2" t="s">
        <v>559</v>
      </c>
      <c r="D229" s="2" t="s">
        <v>1861</v>
      </c>
      <c r="E229" s="2" t="s">
        <v>39</v>
      </c>
      <c r="F229" s="2"/>
      <c r="G229" s="2"/>
      <c r="H229" s="2"/>
      <c r="I229" s="3">
        <f t="shared" si="3"/>
        <v>70</v>
      </c>
    </row>
    <row r="230" spans="1:9" x14ac:dyDescent="0.3">
      <c r="A230" s="2" t="s">
        <v>146</v>
      </c>
      <c r="B230" s="2" t="s">
        <v>1621</v>
      </c>
      <c r="C230" s="2" t="s">
        <v>95</v>
      </c>
      <c r="D230" s="2" t="s">
        <v>1864</v>
      </c>
      <c r="E230" s="2" t="s">
        <v>39</v>
      </c>
      <c r="F230" s="2"/>
      <c r="G230" s="2"/>
      <c r="H230" s="2"/>
      <c r="I230" s="3">
        <f t="shared" si="3"/>
        <v>70</v>
      </c>
    </row>
    <row r="231" spans="1:9" x14ac:dyDescent="0.3">
      <c r="A231" s="2" t="s">
        <v>146</v>
      </c>
      <c r="B231" s="2" t="s">
        <v>1865</v>
      </c>
      <c r="C231" s="2" t="s">
        <v>946</v>
      </c>
      <c r="D231" s="2" t="s">
        <v>1866</v>
      </c>
      <c r="E231" s="2" t="s">
        <v>39</v>
      </c>
      <c r="F231" s="2"/>
      <c r="G231" s="2"/>
      <c r="H231" s="2"/>
      <c r="I231" s="3">
        <f t="shared" si="3"/>
        <v>70</v>
      </c>
    </row>
    <row r="232" spans="1:9" x14ac:dyDescent="0.3">
      <c r="A232" s="2" t="s">
        <v>146</v>
      </c>
      <c r="B232" s="2" t="s">
        <v>1869</v>
      </c>
      <c r="C232" s="2" t="s">
        <v>1354</v>
      </c>
      <c r="D232" s="2" t="s">
        <v>1870</v>
      </c>
      <c r="E232" s="2" t="s">
        <v>39</v>
      </c>
      <c r="F232" s="2"/>
      <c r="G232" s="2"/>
      <c r="H232" s="2" t="s">
        <v>194</v>
      </c>
      <c r="I232" s="3">
        <f t="shared" si="3"/>
        <v>70</v>
      </c>
    </row>
    <row r="233" spans="1:9" x14ac:dyDescent="0.3">
      <c r="A233" s="2" t="s">
        <v>146</v>
      </c>
      <c r="B233" s="2" t="s">
        <v>1875</v>
      </c>
      <c r="C233" s="2" t="s">
        <v>691</v>
      </c>
      <c r="D233" s="2" t="s">
        <v>1876</v>
      </c>
      <c r="E233" s="2" t="s">
        <v>39</v>
      </c>
      <c r="F233" s="2"/>
      <c r="G233" s="2"/>
      <c r="H233" s="2"/>
      <c r="I233" s="3">
        <f t="shared" si="3"/>
        <v>71</v>
      </c>
    </row>
    <row r="234" spans="1:9" x14ac:dyDescent="0.3">
      <c r="A234" s="2" t="s">
        <v>146</v>
      </c>
      <c r="B234" s="2" t="s">
        <v>1877</v>
      </c>
      <c r="C234" s="2" t="s">
        <v>389</v>
      </c>
      <c r="D234" s="2" t="s">
        <v>1878</v>
      </c>
      <c r="E234" s="2" t="s">
        <v>39</v>
      </c>
      <c r="F234" s="2"/>
      <c r="G234" s="2"/>
      <c r="H234" s="2"/>
      <c r="I234" s="3">
        <f t="shared" si="3"/>
        <v>71</v>
      </c>
    </row>
    <row r="235" spans="1:9" x14ac:dyDescent="0.3">
      <c r="A235" s="2" t="s">
        <v>146</v>
      </c>
      <c r="B235" s="2" t="s">
        <v>1882</v>
      </c>
      <c r="C235" s="2" t="s">
        <v>437</v>
      </c>
      <c r="D235" s="2" t="s">
        <v>1883</v>
      </c>
      <c r="E235" s="2" t="s">
        <v>39</v>
      </c>
      <c r="F235" s="2"/>
      <c r="G235" s="2"/>
      <c r="H235" s="2"/>
      <c r="I235" s="3">
        <f t="shared" si="3"/>
        <v>71</v>
      </c>
    </row>
    <row r="236" spans="1:9" x14ac:dyDescent="0.3">
      <c r="A236" s="2" t="s">
        <v>146</v>
      </c>
      <c r="B236" s="2" t="s">
        <v>1887</v>
      </c>
      <c r="C236" s="2"/>
      <c r="D236" s="2" t="s">
        <v>1888</v>
      </c>
      <c r="E236" s="2" t="s">
        <v>39</v>
      </c>
      <c r="F236" s="2"/>
      <c r="G236" s="2"/>
      <c r="H236" s="2"/>
      <c r="I236" s="3">
        <f t="shared" si="3"/>
        <v>71</v>
      </c>
    </row>
    <row r="237" spans="1:9" x14ac:dyDescent="0.3">
      <c r="A237" s="2" t="s">
        <v>146</v>
      </c>
      <c r="B237" s="2" t="s">
        <v>1892</v>
      </c>
      <c r="C237" s="2" t="s">
        <v>95</v>
      </c>
      <c r="D237" s="2" t="s">
        <v>1893</v>
      </c>
      <c r="E237" s="2" t="s">
        <v>39</v>
      </c>
      <c r="F237" s="2"/>
      <c r="G237" s="2"/>
      <c r="H237" s="2"/>
      <c r="I237" s="3">
        <f t="shared" si="3"/>
        <v>71</v>
      </c>
    </row>
    <row r="238" spans="1:9" x14ac:dyDescent="0.3">
      <c r="A238" s="2" t="s">
        <v>146</v>
      </c>
      <c r="B238" s="2" t="s">
        <v>1895</v>
      </c>
      <c r="C238" s="2"/>
      <c r="D238" s="2" t="s">
        <v>1896</v>
      </c>
      <c r="E238" s="2" t="s">
        <v>39</v>
      </c>
      <c r="F238" s="2"/>
      <c r="G238" s="2"/>
      <c r="H238" s="2"/>
      <c r="I238" s="3">
        <f t="shared" si="3"/>
        <v>71</v>
      </c>
    </row>
    <row r="239" spans="1:9" x14ac:dyDescent="0.3">
      <c r="A239" s="2" t="s">
        <v>146</v>
      </c>
      <c r="B239" s="2" t="s">
        <v>1207</v>
      </c>
      <c r="C239" s="2" t="s">
        <v>1553</v>
      </c>
      <c r="D239" s="2" t="s">
        <v>1897</v>
      </c>
      <c r="E239" s="2" t="s">
        <v>39</v>
      </c>
      <c r="F239" s="2"/>
      <c r="G239" s="2"/>
      <c r="H239" s="2"/>
      <c r="I239" s="3">
        <f t="shared" si="3"/>
        <v>71</v>
      </c>
    </row>
    <row r="240" spans="1:9" x14ac:dyDescent="0.3">
      <c r="A240" s="2" t="s">
        <v>146</v>
      </c>
      <c r="B240" s="2" t="s">
        <v>1900</v>
      </c>
      <c r="C240" s="2" t="s">
        <v>515</v>
      </c>
      <c r="D240" s="2" t="s">
        <v>1901</v>
      </c>
      <c r="E240" s="2" t="s">
        <v>39</v>
      </c>
      <c r="F240" s="2"/>
      <c r="G240" s="2"/>
      <c r="H240" s="2"/>
      <c r="I240" s="3">
        <f t="shared" si="3"/>
        <v>71</v>
      </c>
    </row>
    <row r="241" spans="1:9" x14ac:dyDescent="0.3">
      <c r="A241" s="2" t="s">
        <v>146</v>
      </c>
      <c r="B241" s="2" t="s">
        <v>1902</v>
      </c>
      <c r="C241" s="2"/>
      <c r="D241" s="2" t="s">
        <v>1903</v>
      </c>
      <c r="E241" s="2" t="s">
        <v>39</v>
      </c>
      <c r="F241" s="2"/>
      <c r="G241" s="2"/>
      <c r="H241" s="2"/>
      <c r="I241" s="3">
        <f t="shared" si="3"/>
        <v>71</v>
      </c>
    </row>
    <row r="242" spans="1:9" x14ac:dyDescent="0.3">
      <c r="A242" s="2" t="s">
        <v>146</v>
      </c>
      <c r="B242" s="2" t="s">
        <v>1906</v>
      </c>
      <c r="C242" s="2" t="s">
        <v>491</v>
      </c>
      <c r="D242" s="2" t="s">
        <v>1907</v>
      </c>
      <c r="E242" s="2" t="s">
        <v>39</v>
      </c>
      <c r="F242" s="2"/>
      <c r="G242" s="2"/>
      <c r="H242" s="2"/>
      <c r="I242" s="3">
        <f t="shared" si="3"/>
        <v>71</v>
      </c>
    </row>
    <row r="243" spans="1:9" x14ac:dyDescent="0.3">
      <c r="A243" s="2" t="s">
        <v>146</v>
      </c>
      <c r="B243" s="2" t="s">
        <v>1908</v>
      </c>
      <c r="C243" s="2" t="s">
        <v>491</v>
      </c>
      <c r="D243" s="2" t="s">
        <v>1909</v>
      </c>
      <c r="E243" s="2" t="s">
        <v>39</v>
      </c>
      <c r="F243" s="2"/>
      <c r="G243" s="2"/>
      <c r="H243" s="2"/>
      <c r="I243" s="3">
        <f t="shared" si="3"/>
        <v>71</v>
      </c>
    </row>
    <row r="244" spans="1:9" x14ac:dyDescent="0.3">
      <c r="A244" s="2" t="s">
        <v>146</v>
      </c>
      <c r="B244" s="2" t="s">
        <v>1910</v>
      </c>
      <c r="C244" s="2"/>
      <c r="D244" s="2" t="s">
        <v>1911</v>
      </c>
      <c r="E244" s="2" t="s">
        <v>39</v>
      </c>
      <c r="F244" s="2"/>
      <c r="G244" s="2"/>
      <c r="H244" s="2"/>
      <c r="I244" s="3">
        <f t="shared" si="3"/>
        <v>71</v>
      </c>
    </row>
    <row r="245" spans="1:9" x14ac:dyDescent="0.3">
      <c r="A245" s="2" t="s">
        <v>146</v>
      </c>
      <c r="B245" s="2" t="s">
        <v>1912</v>
      </c>
      <c r="C245" s="2"/>
      <c r="D245" s="2" t="s">
        <v>1913</v>
      </c>
      <c r="E245" s="2" t="s">
        <v>39</v>
      </c>
      <c r="F245" s="2"/>
      <c r="G245" s="2"/>
      <c r="H245" s="2"/>
      <c r="I245" s="3">
        <f t="shared" si="3"/>
        <v>71</v>
      </c>
    </row>
    <row r="246" spans="1:9" x14ac:dyDescent="0.3">
      <c r="A246" s="2" t="s">
        <v>146</v>
      </c>
      <c r="B246" s="2" t="s">
        <v>1928</v>
      </c>
      <c r="C246" s="2" t="s">
        <v>544</v>
      </c>
      <c r="D246" s="2" t="s">
        <v>1929</v>
      </c>
      <c r="E246" s="2" t="s">
        <v>39</v>
      </c>
      <c r="F246" s="2"/>
      <c r="G246" s="2"/>
      <c r="H246" s="2"/>
      <c r="I246" s="3">
        <f t="shared" si="3"/>
        <v>71</v>
      </c>
    </row>
    <row r="247" spans="1:9" x14ac:dyDescent="0.3">
      <c r="A247" s="2" t="s">
        <v>146</v>
      </c>
      <c r="B247" s="2" t="s">
        <v>1930</v>
      </c>
      <c r="C247" s="2" t="s">
        <v>437</v>
      </c>
      <c r="D247" s="2" t="s">
        <v>1931</v>
      </c>
      <c r="E247" s="2" t="s">
        <v>1932</v>
      </c>
      <c r="F247" s="2"/>
      <c r="G247" s="2"/>
      <c r="H247" s="2"/>
      <c r="I247" s="3">
        <f t="shared" si="3"/>
        <v>71</v>
      </c>
    </row>
    <row r="248" spans="1:9" x14ac:dyDescent="0.3">
      <c r="A248" s="2" t="s">
        <v>146</v>
      </c>
      <c r="B248" s="2" t="s">
        <v>1942</v>
      </c>
      <c r="C248" s="2"/>
      <c r="D248" s="2" t="s">
        <v>1943</v>
      </c>
      <c r="E248" s="2" t="s">
        <v>39</v>
      </c>
      <c r="F248" s="2"/>
      <c r="G248" s="2"/>
      <c r="H248" s="2"/>
      <c r="I248" s="3">
        <f t="shared" si="3"/>
        <v>72</v>
      </c>
    </row>
    <row r="249" spans="1:9" ht="24" x14ac:dyDescent="0.3">
      <c r="A249" s="2" t="s">
        <v>146</v>
      </c>
      <c r="B249" s="2" t="s">
        <v>1759</v>
      </c>
      <c r="C249" s="2" t="s">
        <v>911</v>
      </c>
      <c r="D249" s="2" t="s">
        <v>1944</v>
      </c>
      <c r="E249" s="2" t="s">
        <v>39</v>
      </c>
      <c r="F249" s="2"/>
      <c r="G249" s="2"/>
      <c r="H249" s="2"/>
      <c r="I249" s="3">
        <f t="shared" si="3"/>
        <v>72</v>
      </c>
    </row>
    <row r="250" spans="1:9" x14ac:dyDescent="0.3">
      <c r="A250" s="2" t="s">
        <v>146</v>
      </c>
      <c r="B250" s="2" t="s">
        <v>1961</v>
      </c>
      <c r="C250" s="2" t="s">
        <v>214</v>
      </c>
      <c r="D250" s="2" t="s">
        <v>1962</v>
      </c>
      <c r="E250" s="2" t="s">
        <v>39</v>
      </c>
      <c r="F250" s="2"/>
      <c r="G250" s="2"/>
      <c r="H250" s="2"/>
      <c r="I250" s="3">
        <f t="shared" si="3"/>
        <v>72</v>
      </c>
    </row>
    <row r="251" spans="1:9" x14ac:dyDescent="0.3">
      <c r="A251" s="2" t="s">
        <v>146</v>
      </c>
      <c r="B251" s="2" t="s">
        <v>1963</v>
      </c>
      <c r="C251" s="2" t="s">
        <v>214</v>
      </c>
      <c r="D251" s="2" t="s">
        <v>1964</v>
      </c>
      <c r="E251" s="2" t="s">
        <v>39</v>
      </c>
      <c r="F251" s="2"/>
      <c r="G251" s="2"/>
      <c r="H251" s="2"/>
      <c r="I251" s="3">
        <f t="shared" si="3"/>
        <v>72</v>
      </c>
    </row>
    <row r="252" spans="1:9" x14ac:dyDescent="0.3">
      <c r="A252" s="2" t="s">
        <v>146</v>
      </c>
      <c r="B252" s="2" t="s">
        <v>1965</v>
      </c>
      <c r="C252" s="2"/>
      <c r="D252" s="2" t="s">
        <v>1966</v>
      </c>
      <c r="E252" s="2" t="s">
        <v>39</v>
      </c>
      <c r="F252" s="2"/>
      <c r="G252" s="2"/>
      <c r="H252" s="2"/>
      <c r="I252" s="3">
        <f t="shared" si="3"/>
        <v>72</v>
      </c>
    </row>
    <row r="253" spans="1:9" x14ac:dyDescent="0.3">
      <c r="A253" s="2" t="s">
        <v>146</v>
      </c>
      <c r="B253" s="2" t="s">
        <v>1967</v>
      </c>
      <c r="C253" s="2" t="s">
        <v>95</v>
      </c>
      <c r="D253" s="2" t="s">
        <v>1968</v>
      </c>
      <c r="E253" s="2" t="s">
        <v>39</v>
      </c>
      <c r="F253" s="2"/>
      <c r="G253" s="2"/>
      <c r="H253" s="2"/>
      <c r="I253" s="3">
        <f t="shared" si="3"/>
        <v>72</v>
      </c>
    </row>
    <row r="254" spans="1:9" x14ac:dyDescent="0.3">
      <c r="A254" s="2" t="s">
        <v>146</v>
      </c>
      <c r="B254" s="2" t="s">
        <v>1985</v>
      </c>
      <c r="C254" s="2" t="s">
        <v>95</v>
      </c>
      <c r="D254" s="2" t="s">
        <v>1986</v>
      </c>
      <c r="E254" s="2" t="s">
        <v>39</v>
      </c>
      <c r="F254" s="2"/>
      <c r="G254" s="2"/>
      <c r="H254" s="2"/>
      <c r="I254" s="3">
        <f t="shared" si="3"/>
        <v>73</v>
      </c>
    </row>
    <row r="255" spans="1:9" x14ac:dyDescent="0.3">
      <c r="A255" s="2" t="s">
        <v>146</v>
      </c>
      <c r="B255" s="2" t="s">
        <v>1987</v>
      </c>
      <c r="C255" s="2" t="s">
        <v>911</v>
      </c>
      <c r="D255" s="2" t="s">
        <v>1988</v>
      </c>
      <c r="E255" s="2" t="s">
        <v>1510</v>
      </c>
      <c r="F255" s="2"/>
      <c r="G255" s="2"/>
      <c r="H255" s="2"/>
      <c r="I255" s="3">
        <f t="shared" si="3"/>
        <v>73</v>
      </c>
    </row>
    <row r="256" spans="1:9" x14ac:dyDescent="0.3">
      <c r="A256" s="2" t="s">
        <v>146</v>
      </c>
      <c r="B256" s="2" t="s">
        <v>2009</v>
      </c>
      <c r="C256" s="2" t="s">
        <v>95</v>
      </c>
      <c r="D256" s="2" t="s">
        <v>2010</v>
      </c>
      <c r="E256" s="2" t="s">
        <v>39</v>
      </c>
      <c r="F256" s="2"/>
      <c r="G256" s="2"/>
      <c r="H256" s="2"/>
      <c r="I256" s="3">
        <f t="shared" si="3"/>
        <v>73</v>
      </c>
    </row>
    <row r="257" spans="1:9" x14ac:dyDescent="0.3">
      <c r="A257" s="2" t="s">
        <v>146</v>
      </c>
      <c r="B257" s="2" t="s">
        <v>961</v>
      </c>
      <c r="C257" s="2"/>
      <c r="D257" s="2" t="s">
        <v>2011</v>
      </c>
      <c r="E257" s="2" t="s">
        <v>39</v>
      </c>
      <c r="F257" s="2"/>
      <c r="G257" s="2"/>
      <c r="H257" s="2"/>
      <c r="I257" s="3">
        <f t="shared" si="3"/>
        <v>73</v>
      </c>
    </row>
    <row r="258" spans="1:9" x14ac:dyDescent="0.3">
      <c r="A258" s="2" t="s">
        <v>146</v>
      </c>
      <c r="B258" s="2" t="s">
        <v>2012</v>
      </c>
      <c r="C258" s="2" t="s">
        <v>491</v>
      </c>
      <c r="D258" s="2" t="s">
        <v>2013</v>
      </c>
      <c r="E258" s="2" t="s">
        <v>39</v>
      </c>
      <c r="F258" s="2"/>
      <c r="G258" s="2"/>
      <c r="H258" s="2"/>
      <c r="I258" s="3">
        <f t="shared" ref="I258:I321" si="4">LEN(D258)</f>
        <v>73</v>
      </c>
    </row>
    <row r="259" spans="1:9" x14ac:dyDescent="0.3">
      <c r="A259" s="2" t="s">
        <v>146</v>
      </c>
      <c r="B259" s="2" t="s">
        <v>2014</v>
      </c>
      <c r="C259" s="2" t="s">
        <v>491</v>
      </c>
      <c r="D259" s="2" t="s">
        <v>2015</v>
      </c>
      <c r="E259" s="2" t="s">
        <v>39</v>
      </c>
      <c r="F259" s="2"/>
      <c r="G259" s="2"/>
      <c r="H259" s="2"/>
      <c r="I259" s="3">
        <f t="shared" si="4"/>
        <v>73</v>
      </c>
    </row>
    <row r="260" spans="1:9" x14ac:dyDescent="0.3">
      <c r="A260" s="2" t="s">
        <v>146</v>
      </c>
      <c r="B260" s="2" t="s">
        <v>2016</v>
      </c>
      <c r="C260" s="2" t="s">
        <v>491</v>
      </c>
      <c r="D260" s="2" t="s">
        <v>2017</v>
      </c>
      <c r="E260" s="2" t="s">
        <v>39</v>
      </c>
      <c r="F260" s="2"/>
      <c r="G260" s="2"/>
      <c r="H260" s="2"/>
      <c r="I260" s="3">
        <f t="shared" si="4"/>
        <v>73</v>
      </c>
    </row>
    <row r="261" spans="1:9" x14ac:dyDescent="0.3">
      <c r="A261" s="2" t="s">
        <v>146</v>
      </c>
      <c r="B261" s="2" t="s">
        <v>1789</v>
      </c>
      <c r="C261" s="2" t="s">
        <v>491</v>
      </c>
      <c r="D261" s="2" t="s">
        <v>2018</v>
      </c>
      <c r="E261" s="2" t="s">
        <v>39</v>
      </c>
      <c r="F261" s="2"/>
      <c r="G261" s="2"/>
      <c r="H261" s="2"/>
      <c r="I261" s="3">
        <f t="shared" si="4"/>
        <v>73</v>
      </c>
    </row>
    <row r="262" spans="1:9" x14ac:dyDescent="0.3">
      <c r="A262" s="2" t="s">
        <v>146</v>
      </c>
      <c r="B262" s="2" t="s">
        <v>2019</v>
      </c>
      <c r="C262" s="2" t="s">
        <v>491</v>
      </c>
      <c r="D262" s="2" t="s">
        <v>2020</v>
      </c>
      <c r="E262" s="2" t="s">
        <v>39</v>
      </c>
      <c r="F262" s="2"/>
      <c r="G262" s="2"/>
      <c r="H262" s="2"/>
      <c r="I262" s="3">
        <f t="shared" si="4"/>
        <v>73</v>
      </c>
    </row>
    <row r="263" spans="1:9" x14ac:dyDescent="0.3">
      <c r="A263" s="2" t="s">
        <v>146</v>
      </c>
      <c r="B263" s="2" t="s">
        <v>2021</v>
      </c>
      <c r="C263" s="2" t="s">
        <v>491</v>
      </c>
      <c r="D263" s="2" t="s">
        <v>2022</v>
      </c>
      <c r="E263" s="2" t="s">
        <v>39</v>
      </c>
      <c r="F263" s="2"/>
      <c r="G263" s="2"/>
      <c r="H263" s="2"/>
      <c r="I263" s="3">
        <f t="shared" si="4"/>
        <v>73</v>
      </c>
    </row>
    <row r="264" spans="1:9" x14ac:dyDescent="0.3">
      <c r="A264" s="2" t="s">
        <v>146</v>
      </c>
      <c r="B264" s="2" t="s">
        <v>2023</v>
      </c>
      <c r="C264" s="2" t="s">
        <v>437</v>
      </c>
      <c r="D264" s="2" t="s">
        <v>2024</v>
      </c>
      <c r="E264" s="2" t="s">
        <v>39</v>
      </c>
      <c r="F264" s="2"/>
      <c r="G264" s="2"/>
      <c r="H264" s="2"/>
      <c r="I264" s="3">
        <f t="shared" si="4"/>
        <v>73</v>
      </c>
    </row>
    <row r="265" spans="1:9" x14ac:dyDescent="0.3">
      <c r="A265" s="2" t="s">
        <v>146</v>
      </c>
      <c r="B265" s="2" t="s">
        <v>2025</v>
      </c>
      <c r="C265" s="2"/>
      <c r="D265" s="2" t="s">
        <v>2026</v>
      </c>
      <c r="E265" s="2" t="s">
        <v>39</v>
      </c>
      <c r="F265" s="2"/>
      <c r="G265" s="2"/>
      <c r="H265" s="2"/>
      <c r="I265" s="3">
        <f t="shared" si="4"/>
        <v>73</v>
      </c>
    </row>
    <row r="266" spans="1:9" x14ac:dyDescent="0.3">
      <c r="A266" s="2" t="s">
        <v>146</v>
      </c>
      <c r="B266" s="2" t="s">
        <v>2027</v>
      </c>
      <c r="C266" s="2"/>
      <c r="D266" s="2" t="s">
        <v>2028</v>
      </c>
      <c r="E266" s="2" t="s">
        <v>39</v>
      </c>
      <c r="F266" s="2"/>
      <c r="G266" s="2"/>
      <c r="H266" s="2"/>
      <c r="I266" s="3">
        <f t="shared" si="4"/>
        <v>73</v>
      </c>
    </row>
    <row r="267" spans="1:9" x14ac:dyDescent="0.3">
      <c r="A267" s="2" t="s">
        <v>146</v>
      </c>
      <c r="B267" s="2" t="s">
        <v>2027</v>
      </c>
      <c r="C267" s="2"/>
      <c r="D267" s="2" t="s">
        <v>2029</v>
      </c>
      <c r="E267" s="2" t="s">
        <v>39</v>
      </c>
      <c r="F267" s="2"/>
      <c r="G267" s="2"/>
      <c r="H267" s="2"/>
      <c r="I267" s="3">
        <f t="shared" si="4"/>
        <v>73</v>
      </c>
    </row>
    <row r="268" spans="1:9" x14ac:dyDescent="0.3">
      <c r="A268" s="2" t="s">
        <v>146</v>
      </c>
      <c r="B268" s="2" t="s">
        <v>2040</v>
      </c>
      <c r="C268" s="2"/>
      <c r="D268" s="2" t="s">
        <v>2041</v>
      </c>
      <c r="E268" s="2" t="s">
        <v>39</v>
      </c>
      <c r="F268" s="2"/>
      <c r="G268" s="2"/>
      <c r="H268" s="2"/>
      <c r="I268" s="3">
        <f t="shared" si="4"/>
        <v>73</v>
      </c>
    </row>
    <row r="269" spans="1:9" x14ac:dyDescent="0.3">
      <c r="A269" s="2" t="s">
        <v>146</v>
      </c>
      <c r="B269" s="2" t="s">
        <v>2042</v>
      </c>
      <c r="C269" s="2" t="s">
        <v>1575</v>
      </c>
      <c r="D269" s="2" t="s">
        <v>2043</v>
      </c>
      <c r="E269" s="2"/>
      <c r="F269" s="2"/>
      <c r="G269" s="2"/>
      <c r="H269" s="2"/>
      <c r="I269" s="3">
        <f t="shared" si="4"/>
        <v>73</v>
      </c>
    </row>
    <row r="270" spans="1:9" x14ac:dyDescent="0.3">
      <c r="A270" s="2" t="s">
        <v>146</v>
      </c>
      <c r="B270" s="2" t="s">
        <v>2049</v>
      </c>
      <c r="C270" s="2" t="s">
        <v>491</v>
      </c>
      <c r="D270" s="2" t="s">
        <v>2050</v>
      </c>
      <c r="E270" s="2" t="s">
        <v>39</v>
      </c>
      <c r="F270" s="2"/>
      <c r="G270" s="2"/>
      <c r="H270" s="2"/>
      <c r="I270" s="3">
        <f t="shared" si="4"/>
        <v>73</v>
      </c>
    </row>
    <row r="271" spans="1:9" x14ac:dyDescent="0.3">
      <c r="A271" s="2" t="s">
        <v>146</v>
      </c>
      <c r="B271" s="2" t="s">
        <v>2056</v>
      </c>
      <c r="C271" s="2" t="s">
        <v>2057</v>
      </c>
      <c r="D271" s="2" t="s">
        <v>2058</v>
      </c>
      <c r="E271" s="2"/>
      <c r="F271" s="2"/>
      <c r="G271" s="2"/>
      <c r="H271" s="2"/>
      <c r="I271" s="3">
        <f t="shared" si="4"/>
        <v>74</v>
      </c>
    </row>
    <row r="272" spans="1:9" x14ac:dyDescent="0.3">
      <c r="A272" s="2" t="s">
        <v>146</v>
      </c>
      <c r="B272" s="2" t="s">
        <v>2059</v>
      </c>
      <c r="C272" s="2" t="s">
        <v>2060</v>
      </c>
      <c r="D272" s="2" t="s">
        <v>2061</v>
      </c>
      <c r="E272" s="2" t="s">
        <v>39</v>
      </c>
      <c r="F272" s="2"/>
      <c r="G272" s="2"/>
      <c r="H272" s="2"/>
      <c r="I272" s="3">
        <f t="shared" si="4"/>
        <v>74</v>
      </c>
    </row>
    <row r="273" spans="1:9" x14ac:dyDescent="0.3">
      <c r="A273" s="2" t="s">
        <v>146</v>
      </c>
      <c r="B273" s="2" t="s">
        <v>403</v>
      </c>
      <c r="C273" s="2"/>
      <c r="D273" s="2" t="s">
        <v>2075</v>
      </c>
      <c r="E273" s="2" t="s">
        <v>39</v>
      </c>
      <c r="F273" s="2"/>
      <c r="G273" s="2"/>
      <c r="H273" s="2"/>
      <c r="I273" s="3">
        <f t="shared" si="4"/>
        <v>74</v>
      </c>
    </row>
    <row r="274" spans="1:9" x14ac:dyDescent="0.3">
      <c r="A274" s="2" t="s">
        <v>146</v>
      </c>
      <c r="B274" s="2" t="s">
        <v>2080</v>
      </c>
      <c r="C274" s="2"/>
      <c r="D274" s="2" t="s">
        <v>2081</v>
      </c>
      <c r="E274" s="2" t="s">
        <v>39</v>
      </c>
      <c r="F274" s="2"/>
      <c r="G274" s="2"/>
      <c r="H274" s="2"/>
      <c r="I274" s="3">
        <f t="shared" si="4"/>
        <v>74</v>
      </c>
    </row>
    <row r="275" spans="1:9" x14ac:dyDescent="0.3">
      <c r="A275" s="2" t="s">
        <v>146</v>
      </c>
      <c r="B275" s="2" t="s">
        <v>2082</v>
      </c>
      <c r="C275" s="2"/>
      <c r="D275" s="2" t="s">
        <v>2083</v>
      </c>
      <c r="E275" s="2" t="s">
        <v>39</v>
      </c>
      <c r="F275" s="2"/>
      <c r="G275" s="2"/>
      <c r="H275" s="2"/>
      <c r="I275" s="3">
        <f t="shared" si="4"/>
        <v>74</v>
      </c>
    </row>
    <row r="276" spans="1:9" x14ac:dyDescent="0.3">
      <c r="A276" s="2" t="s">
        <v>146</v>
      </c>
      <c r="B276" s="2" t="s">
        <v>1017</v>
      </c>
      <c r="C276" s="2" t="s">
        <v>2085</v>
      </c>
      <c r="D276" s="2" t="s">
        <v>2086</v>
      </c>
      <c r="E276" s="2" t="s">
        <v>39</v>
      </c>
      <c r="F276" s="2"/>
      <c r="G276" s="2"/>
      <c r="H276" s="2"/>
      <c r="I276" s="3">
        <f t="shared" si="4"/>
        <v>74</v>
      </c>
    </row>
    <row r="277" spans="1:9" x14ac:dyDescent="0.3">
      <c r="A277" s="2" t="s">
        <v>146</v>
      </c>
      <c r="B277" s="2" t="s">
        <v>2087</v>
      </c>
      <c r="C277" s="2" t="s">
        <v>491</v>
      </c>
      <c r="D277" s="2" t="s">
        <v>2088</v>
      </c>
      <c r="E277" s="2" t="s">
        <v>39</v>
      </c>
      <c r="F277" s="2"/>
      <c r="G277" s="2"/>
      <c r="H277" s="2"/>
      <c r="I277" s="3">
        <f t="shared" si="4"/>
        <v>74</v>
      </c>
    </row>
    <row r="278" spans="1:9" x14ac:dyDescent="0.3">
      <c r="A278" s="2" t="s">
        <v>146</v>
      </c>
      <c r="B278" s="2" t="s">
        <v>2089</v>
      </c>
      <c r="C278" s="2" t="s">
        <v>491</v>
      </c>
      <c r="D278" s="2" t="s">
        <v>2090</v>
      </c>
      <c r="E278" s="2" t="s">
        <v>39</v>
      </c>
      <c r="F278" s="2"/>
      <c r="G278" s="2"/>
      <c r="H278" s="2"/>
      <c r="I278" s="3">
        <f t="shared" si="4"/>
        <v>74</v>
      </c>
    </row>
    <row r="279" spans="1:9" x14ac:dyDescent="0.3">
      <c r="A279" s="2" t="s">
        <v>146</v>
      </c>
      <c r="B279" s="2" t="s">
        <v>2091</v>
      </c>
      <c r="C279" s="2" t="s">
        <v>1507</v>
      </c>
      <c r="D279" s="2" t="s">
        <v>2092</v>
      </c>
      <c r="E279" s="2" t="s">
        <v>239</v>
      </c>
      <c r="F279" s="2"/>
      <c r="G279" s="2"/>
      <c r="H279" s="2"/>
      <c r="I279" s="3">
        <f t="shared" si="4"/>
        <v>74</v>
      </c>
    </row>
    <row r="280" spans="1:9" x14ac:dyDescent="0.3">
      <c r="A280" s="2" t="s">
        <v>146</v>
      </c>
      <c r="B280" s="2" t="s">
        <v>2096</v>
      </c>
      <c r="C280" s="2" t="s">
        <v>240</v>
      </c>
      <c r="D280" s="2" t="s">
        <v>2097</v>
      </c>
      <c r="E280" s="2" t="s">
        <v>39</v>
      </c>
      <c r="F280" s="2"/>
      <c r="G280" s="2"/>
      <c r="H280" s="2"/>
      <c r="I280" s="3">
        <f t="shared" si="4"/>
        <v>74</v>
      </c>
    </row>
    <row r="281" spans="1:9" x14ac:dyDescent="0.3">
      <c r="A281" s="2" t="s">
        <v>146</v>
      </c>
      <c r="B281" s="2" t="s">
        <v>147</v>
      </c>
      <c r="C281" s="2" t="s">
        <v>95</v>
      </c>
      <c r="D281" s="2" t="s">
        <v>2098</v>
      </c>
      <c r="E281" s="2" t="s">
        <v>39</v>
      </c>
      <c r="F281" s="2"/>
      <c r="G281" s="2"/>
      <c r="H281" s="2"/>
      <c r="I281" s="3">
        <f t="shared" si="4"/>
        <v>74</v>
      </c>
    </row>
    <row r="282" spans="1:9" x14ac:dyDescent="0.3">
      <c r="A282" s="2" t="s">
        <v>146</v>
      </c>
      <c r="B282" s="2" t="s">
        <v>1310</v>
      </c>
      <c r="C282" s="2" t="s">
        <v>480</v>
      </c>
      <c r="D282" s="2" t="s">
        <v>2099</v>
      </c>
      <c r="E282" s="2"/>
      <c r="F282" s="2"/>
      <c r="G282" s="2"/>
      <c r="H282" s="2"/>
      <c r="I282" s="3">
        <f t="shared" si="4"/>
        <v>74</v>
      </c>
    </row>
    <row r="283" spans="1:9" x14ac:dyDescent="0.3">
      <c r="A283" s="2" t="s">
        <v>146</v>
      </c>
      <c r="B283" s="2" t="s">
        <v>2111</v>
      </c>
      <c r="C283" s="2" t="s">
        <v>95</v>
      </c>
      <c r="D283" s="2" t="s">
        <v>2112</v>
      </c>
      <c r="E283" s="2" t="s">
        <v>39</v>
      </c>
      <c r="F283" s="2"/>
      <c r="G283" s="2"/>
      <c r="H283" s="2"/>
      <c r="I283" s="3">
        <f t="shared" si="4"/>
        <v>74</v>
      </c>
    </row>
    <row r="284" spans="1:9" x14ac:dyDescent="0.3">
      <c r="A284" s="2" t="s">
        <v>146</v>
      </c>
      <c r="B284" s="2" t="s">
        <v>2127</v>
      </c>
      <c r="C284" s="2" t="s">
        <v>1507</v>
      </c>
      <c r="D284" s="2" t="s">
        <v>2128</v>
      </c>
      <c r="E284" s="2"/>
      <c r="F284" s="2"/>
      <c r="G284" s="2"/>
      <c r="H284" s="2"/>
      <c r="I284" s="3">
        <f t="shared" si="4"/>
        <v>75</v>
      </c>
    </row>
    <row r="285" spans="1:9" x14ac:dyDescent="0.3">
      <c r="A285" s="2" t="s">
        <v>146</v>
      </c>
      <c r="B285" s="2" t="s">
        <v>2139</v>
      </c>
      <c r="C285" s="2" t="s">
        <v>95</v>
      </c>
      <c r="D285" s="2" t="s">
        <v>2140</v>
      </c>
      <c r="E285" s="2" t="s">
        <v>39</v>
      </c>
      <c r="F285" s="2"/>
      <c r="G285" s="2"/>
      <c r="H285" s="2"/>
      <c r="I285" s="3">
        <f t="shared" si="4"/>
        <v>75</v>
      </c>
    </row>
    <row r="286" spans="1:9" x14ac:dyDescent="0.3">
      <c r="A286" s="2" t="s">
        <v>146</v>
      </c>
      <c r="B286" s="2" t="s">
        <v>2009</v>
      </c>
      <c r="C286" s="2"/>
      <c r="D286" s="2" t="s">
        <v>2143</v>
      </c>
      <c r="E286" s="2" t="s">
        <v>39</v>
      </c>
      <c r="F286" s="2"/>
      <c r="G286" s="2"/>
      <c r="H286" s="2"/>
      <c r="I286" s="3">
        <f t="shared" si="4"/>
        <v>75</v>
      </c>
    </row>
    <row r="287" spans="1:9" x14ac:dyDescent="0.3">
      <c r="A287" s="2" t="s">
        <v>146</v>
      </c>
      <c r="B287" s="2" t="s">
        <v>2144</v>
      </c>
      <c r="C287" s="2"/>
      <c r="D287" s="2" t="s">
        <v>2145</v>
      </c>
      <c r="E287" s="2" t="s">
        <v>39</v>
      </c>
      <c r="F287" s="2"/>
      <c r="G287" s="2"/>
      <c r="H287" s="2"/>
      <c r="I287" s="3">
        <f t="shared" si="4"/>
        <v>75</v>
      </c>
    </row>
    <row r="288" spans="1:9" x14ac:dyDescent="0.3">
      <c r="A288" s="2" t="s">
        <v>146</v>
      </c>
      <c r="B288" s="2" t="s">
        <v>2146</v>
      </c>
      <c r="C288" s="2"/>
      <c r="D288" s="2" t="s">
        <v>2147</v>
      </c>
      <c r="E288" s="2" t="s">
        <v>39</v>
      </c>
      <c r="F288" s="2"/>
      <c r="G288" s="2"/>
      <c r="H288" s="2"/>
      <c r="I288" s="3">
        <f t="shared" si="4"/>
        <v>75</v>
      </c>
    </row>
    <row r="289" spans="1:9" x14ac:dyDescent="0.3">
      <c r="A289" s="2" t="s">
        <v>146</v>
      </c>
      <c r="B289" s="2" t="s">
        <v>2152</v>
      </c>
      <c r="C289" s="2" t="s">
        <v>491</v>
      </c>
      <c r="D289" s="2" t="s">
        <v>2153</v>
      </c>
      <c r="E289" s="2" t="s">
        <v>39</v>
      </c>
      <c r="F289" s="2"/>
      <c r="G289" s="2"/>
      <c r="H289" s="2"/>
      <c r="I289" s="3">
        <f t="shared" si="4"/>
        <v>75</v>
      </c>
    </row>
    <row r="290" spans="1:9" x14ac:dyDescent="0.3">
      <c r="A290" s="2" t="s">
        <v>146</v>
      </c>
      <c r="B290" s="2" t="s">
        <v>558</v>
      </c>
      <c r="C290" s="2" t="s">
        <v>491</v>
      </c>
      <c r="D290" s="2" t="s">
        <v>2154</v>
      </c>
      <c r="E290" s="2" t="s">
        <v>39</v>
      </c>
      <c r="F290" s="2"/>
      <c r="G290" s="2"/>
      <c r="H290" s="2"/>
      <c r="I290" s="3">
        <f t="shared" si="4"/>
        <v>75</v>
      </c>
    </row>
    <row r="291" spans="1:9" x14ac:dyDescent="0.3">
      <c r="A291" s="2" t="s">
        <v>146</v>
      </c>
      <c r="B291" s="2" t="s">
        <v>2155</v>
      </c>
      <c r="C291" s="2" t="s">
        <v>491</v>
      </c>
      <c r="D291" s="2" t="s">
        <v>2156</v>
      </c>
      <c r="E291" s="2" t="s">
        <v>39</v>
      </c>
      <c r="F291" s="2"/>
      <c r="G291" s="2"/>
      <c r="H291" s="2"/>
      <c r="I291" s="3">
        <f t="shared" si="4"/>
        <v>75</v>
      </c>
    </row>
    <row r="292" spans="1:9" x14ac:dyDescent="0.3">
      <c r="A292" s="2" t="s">
        <v>146</v>
      </c>
      <c r="B292" s="2" t="s">
        <v>2157</v>
      </c>
      <c r="C292" s="2" t="s">
        <v>491</v>
      </c>
      <c r="D292" s="2" t="s">
        <v>2158</v>
      </c>
      <c r="E292" s="2" t="s">
        <v>39</v>
      </c>
      <c r="F292" s="2"/>
      <c r="G292" s="2"/>
      <c r="H292" s="2"/>
      <c r="I292" s="3">
        <f t="shared" si="4"/>
        <v>75</v>
      </c>
    </row>
    <row r="293" spans="1:9" x14ac:dyDescent="0.3">
      <c r="A293" s="2" t="s">
        <v>146</v>
      </c>
      <c r="B293" s="2" t="s">
        <v>2159</v>
      </c>
      <c r="C293" s="2"/>
      <c r="D293" s="2" t="s">
        <v>2160</v>
      </c>
      <c r="E293" s="2" t="s">
        <v>39</v>
      </c>
      <c r="F293" s="2"/>
      <c r="G293" s="2"/>
      <c r="H293" s="2"/>
      <c r="I293" s="3">
        <f t="shared" si="4"/>
        <v>75</v>
      </c>
    </row>
    <row r="294" spans="1:9" x14ac:dyDescent="0.3">
      <c r="A294" s="2" t="s">
        <v>146</v>
      </c>
      <c r="B294" s="2" t="s">
        <v>2161</v>
      </c>
      <c r="C294" s="2" t="s">
        <v>437</v>
      </c>
      <c r="D294" s="2" t="s">
        <v>2162</v>
      </c>
      <c r="E294" s="2" t="s">
        <v>2163</v>
      </c>
      <c r="F294" s="2"/>
      <c r="G294" s="2"/>
      <c r="H294" s="2"/>
      <c r="I294" s="3">
        <f t="shared" si="4"/>
        <v>75</v>
      </c>
    </row>
    <row r="295" spans="1:9" x14ac:dyDescent="0.3">
      <c r="A295" s="2" t="s">
        <v>146</v>
      </c>
      <c r="B295" s="2" t="s">
        <v>2177</v>
      </c>
      <c r="C295" s="2" t="s">
        <v>253</v>
      </c>
      <c r="D295" s="2" t="s">
        <v>2178</v>
      </c>
      <c r="E295" s="2" t="s">
        <v>39</v>
      </c>
      <c r="F295" s="2"/>
      <c r="G295" s="2"/>
      <c r="H295" s="2"/>
      <c r="I295" s="3">
        <f t="shared" si="4"/>
        <v>75</v>
      </c>
    </row>
    <row r="296" spans="1:9" x14ac:dyDescent="0.3">
      <c r="A296" s="2" t="s">
        <v>146</v>
      </c>
      <c r="B296" s="2" t="s">
        <v>1910</v>
      </c>
      <c r="C296" s="2" t="s">
        <v>95</v>
      </c>
      <c r="D296" s="2" t="s">
        <v>2189</v>
      </c>
      <c r="E296" s="2" t="s">
        <v>39</v>
      </c>
      <c r="F296" s="2"/>
      <c r="G296" s="2"/>
      <c r="H296" s="2"/>
      <c r="I296" s="3">
        <f t="shared" si="4"/>
        <v>76</v>
      </c>
    </row>
    <row r="297" spans="1:9" ht="24" x14ac:dyDescent="0.3">
      <c r="A297" s="2" t="s">
        <v>146</v>
      </c>
      <c r="B297" s="2" t="s">
        <v>2190</v>
      </c>
      <c r="C297" s="2" t="s">
        <v>214</v>
      </c>
      <c r="D297" s="2" t="s">
        <v>2191</v>
      </c>
      <c r="E297" s="2" t="s">
        <v>39</v>
      </c>
      <c r="F297" s="2"/>
      <c r="G297" s="2"/>
      <c r="H297" s="2"/>
      <c r="I297" s="3">
        <f t="shared" si="4"/>
        <v>76</v>
      </c>
    </row>
    <row r="298" spans="1:9" x14ac:dyDescent="0.3">
      <c r="A298" s="2" t="s">
        <v>146</v>
      </c>
      <c r="B298" s="2" t="s">
        <v>1069</v>
      </c>
      <c r="C298" s="2" t="s">
        <v>95</v>
      </c>
      <c r="D298" s="2" t="s">
        <v>2192</v>
      </c>
      <c r="E298" s="2" t="s">
        <v>39</v>
      </c>
      <c r="F298" s="2"/>
      <c r="G298" s="2"/>
      <c r="H298" s="2"/>
      <c r="I298" s="3">
        <f t="shared" si="4"/>
        <v>76</v>
      </c>
    </row>
    <row r="299" spans="1:9" x14ac:dyDescent="0.3">
      <c r="A299" s="2" t="s">
        <v>146</v>
      </c>
      <c r="B299" s="2" t="s">
        <v>2193</v>
      </c>
      <c r="C299" s="2"/>
      <c r="D299" s="2" t="s">
        <v>2194</v>
      </c>
      <c r="E299" s="2" t="s">
        <v>39</v>
      </c>
      <c r="F299" s="2"/>
      <c r="G299" s="2"/>
      <c r="H299" s="2"/>
      <c r="I299" s="3">
        <f t="shared" si="4"/>
        <v>76</v>
      </c>
    </row>
    <row r="300" spans="1:9" x14ac:dyDescent="0.3">
      <c r="A300" s="2" t="s">
        <v>146</v>
      </c>
      <c r="B300" s="2" t="s">
        <v>2195</v>
      </c>
      <c r="C300" s="2"/>
      <c r="D300" s="2" t="s">
        <v>2196</v>
      </c>
      <c r="E300" s="2" t="s">
        <v>39</v>
      </c>
      <c r="F300" s="2"/>
      <c r="G300" s="2"/>
      <c r="H300" s="2"/>
      <c r="I300" s="3">
        <f t="shared" si="4"/>
        <v>76</v>
      </c>
    </row>
    <row r="301" spans="1:9" x14ac:dyDescent="0.3">
      <c r="A301" s="2" t="s">
        <v>146</v>
      </c>
      <c r="B301" s="2" t="s">
        <v>2199</v>
      </c>
      <c r="C301" s="2"/>
      <c r="D301" s="2" t="s">
        <v>2200</v>
      </c>
      <c r="E301" s="2" t="s">
        <v>39</v>
      </c>
      <c r="F301" s="2"/>
      <c r="G301" s="2"/>
      <c r="H301" s="2"/>
      <c r="I301" s="3">
        <f t="shared" si="4"/>
        <v>76</v>
      </c>
    </row>
    <row r="302" spans="1:9" x14ac:dyDescent="0.3">
      <c r="A302" s="2" t="s">
        <v>146</v>
      </c>
      <c r="B302" s="2" t="s">
        <v>2201</v>
      </c>
      <c r="C302" s="2" t="s">
        <v>491</v>
      </c>
      <c r="D302" s="2" t="s">
        <v>2202</v>
      </c>
      <c r="E302" s="2" t="s">
        <v>39</v>
      </c>
      <c r="F302" s="2"/>
      <c r="G302" s="2"/>
      <c r="H302" s="2"/>
      <c r="I302" s="3">
        <f t="shared" si="4"/>
        <v>76</v>
      </c>
    </row>
    <row r="303" spans="1:9" x14ac:dyDescent="0.3">
      <c r="A303" s="2" t="s">
        <v>146</v>
      </c>
      <c r="B303" s="2" t="s">
        <v>2203</v>
      </c>
      <c r="C303" s="2" t="s">
        <v>491</v>
      </c>
      <c r="D303" s="2" t="s">
        <v>2204</v>
      </c>
      <c r="E303" s="2" t="s">
        <v>39</v>
      </c>
      <c r="F303" s="2"/>
      <c r="G303" s="2"/>
      <c r="H303" s="2"/>
      <c r="I303" s="3">
        <f t="shared" si="4"/>
        <v>76</v>
      </c>
    </row>
    <row r="304" spans="1:9" x14ac:dyDescent="0.3">
      <c r="A304" s="2" t="s">
        <v>146</v>
      </c>
      <c r="B304" s="2" t="s">
        <v>678</v>
      </c>
      <c r="C304" s="2" t="s">
        <v>95</v>
      </c>
      <c r="D304" s="2" t="s">
        <v>2205</v>
      </c>
      <c r="E304" s="2" t="s">
        <v>39</v>
      </c>
      <c r="F304" s="2"/>
      <c r="G304" s="2"/>
      <c r="H304" s="2"/>
      <c r="I304" s="3">
        <f t="shared" si="4"/>
        <v>76</v>
      </c>
    </row>
    <row r="305" spans="1:9" x14ac:dyDescent="0.3">
      <c r="A305" s="2" t="s">
        <v>146</v>
      </c>
      <c r="B305" s="2" t="s">
        <v>2219</v>
      </c>
      <c r="C305" s="2" t="s">
        <v>437</v>
      </c>
      <c r="D305" s="2" t="s">
        <v>2220</v>
      </c>
      <c r="E305" s="2" t="s">
        <v>393</v>
      </c>
      <c r="F305" s="2"/>
      <c r="G305" s="2"/>
      <c r="H305" s="2"/>
      <c r="I305" s="3">
        <f t="shared" si="4"/>
        <v>77</v>
      </c>
    </row>
    <row r="306" spans="1:9" x14ac:dyDescent="0.3">
      <c r="A306" s="2" t="s">
        <v>146</v>
      </c>
      <c r="B306" s="2" t="s">
        <v>2226</v>
      </c>
      <c r="C306" s="2"/>
      <c r="D306" s="2" t="s">
        <v>2227</v>
      </c>
      <c r="E306" s="2" t="s">
        <v>39</v>
      </c>
      <c r="F306" s="2"/>
      <c r="G306" s="2"/>
      <c r="H306" s="2"/>
      <c r="I306" s="3">
        <f t="shared" si="4"/>
        <v>77</v>
      </c>
    </row>
    <row r="307" spans="1:9" x14ac:dyDescent="0.3">
      <c r="A307" s="2" t="s">
        <v>146</v>
      </c>
      <c r="B307" s="2" t="s">
        <v>2228</v>
      </c>
      <c r="C307" s="2" t="s">
        <v>515</v>
      </c>
      <c r="D307" s="2" t="s">
        <v>2229</v>
      </c>
      <c r="E307" s="2" t="s">
        <v>39</v>
      </c>
      <c r="F307" s="2"/>
      <c r="G307" s="2"/>
      <c r="H307" s="2"/>
      <c r="I307" s="3">
        <f t="shared" si="4"/>
        <v>77</v>
      </c>
    </row>
    <row r="308" spans="1:9" x14ac:dyDescent="0.3">
      <c r="A308" s="2" t="s">
        <v>146</v>
      </c>
      <c r="B308" s="2" t="s">
        <v>2230</v>
      </c>
      <c r="C308" s="2" t="s">
        <v>515</v>
      </c>
      <c r="D308" s="2" t="s">
        <v>2231</v>
      </c>
      <c r="E308" s="2" t="s">
        <v>39</v>
      </c>
      <c r="F308" s="2"/>
      <c r="G308" s="2"/>
      <c r="H308" s="2"/>
      <c r="I308" s="3">
        <f t="shared" si="4"/>
        <v>77</v>
      </c>
    </row>
    <row r="309" spans="1:9" x14ac:dyDescent="0.3">
      <c r="A309" s="2" t="s">
        <v>146</v>
      </c>
      <c r="B309" s="2" t="s">
        <v>2195</v>
      </c>
      <c r="C309" s="2"/>
      <c r="D309" s="2" t="s">
        <v>2232</v>
      </c>
      <c r="E309" s="2" t="s">
        <v>39</v>
      </c>
      <c r="F309" s="2"/>
      <c r="G309" s="2"/>
      <c r="H309" s="2"/>
      <c r="I309" s="3">
        <f t="shared" si="4"/>
        <v>77</v>
      </c>
    </row>
    <row r="310" spans="1:9" x14ac:dyDescent="0.3">
      <c r="A310" s="2" t="s">
        <v>146</v>
      </c>
      <c r="B310" s="2" t="s">
        <v>2233</v>
      </c>
      <c r="C310" s="2" t="s">
        <v>491</v>
      </c>
      <c r="D310" s="2" t="s">
        <v>2234</v>
      </c>
      <c r="E310" s="2" t="s">
        <v>39</v>
      </c>
      <c r="F310" s="2"/>
      <c r="G310" s="2"/>
      <c r="H310" s="2"/>
      <c r="I310" s="3">
        <f t="shared" si="4"/>
        <v>77</v>
      </c>
    </row>
    <row r="311" spans="1:9" x14ac:dyDescent="0.3">
      <c r="A311" s="2" t="s">
        <v>146</v>
      </c>
      <c r="B311" s="2" t="s">
        <v>2237</v>
      </c>
      <c r="C311" s="2" t="s">
        <v>515</v>
      </c>
      <c r="D311" s="2" t="s">
        <v>2238</v>
      </c>
      <c r="E311" s="2" t="s">
        <v>39</v>
      </c>
      <c r="F311" s="2"/>
      <c r="G311" s="2"/>
      <c r="H311" s="2"/>
      <c r="I311" s="3">
        <f t="shared" si="4"/>
        <v>77</v>
      </c>
    </row>
    <row r="312" spans="1:9" x14ac:dyDescent="0.3">
      <c r="A312" s="2" t="s">
        <v>146</v>
      </c>
      <c r="B312" s="2" t="s">
        <v>2245</v>
      </c>
      <c r="C312" s="2"/>
      <c r="D312" s="2" t="s">
        <v>2246</v>
      </c>
      <c r="E312" s="2" t="s">
        <v>39</v>
      </c>
      <c r="F312" s="2"/>
      <c r="G312" s="2"/>
      <c r="H312" s="2"/>
      <c r="I312" s="3">
        <f t="shared" si="4"/>
        <v>77</v>
      </c>
    </row>
    <row r="313" spans="1:9" x14ac:dyDescent="0.3">
      <c r="A313" s="2" t="s">
        <v>146</v>
      </c>
      <c r="B313" s="2" t="s">
        <v>2247</v>
      </c>
      <c r="C313" s="3" t="s">
        <v>911</v>
      </c>
      <c r="D313" s="2" t="s">
        <v>2248</v>
      </c>
      <c r="E313" s="2" t="s">
        <v>39</v>
      </c>
      <c r="F313" s="2"/>
      <c r="G313" s="2"/>
      <c r="H313" s="2"/>
      <c r="I313" s="3">
        <f t="shared" si="4"/>
        <v>77</v>
      </c>
    </row>
    <row r="314" spans="1:9" x14ac:dyDescent="0.3">
      <c r="A314" s="2" t="s">
        <v>146</v>
      </c>
      <c r="B314" s="2" t="s">
        <v>2261</v>
      </c>
      <c r="C314" s="2" t="s">
        <v>480</v>
      </c>
      <c r="D314" s="2" t="s">
        <v>2262</v>
      </c>
      <c r="E314" s="2" t="s">
        <v>39</v>
      </c>
      <c r="F314" s="2"/>
      <c r="G314" s="2"/>
      <c r="H314" s="2"/>
      <c r="I314" s="3">
        <f t="shared" si="4"/>
        <v>77</v>
      </c>
    </row>
    <row r="315" spans="1:9" x14ac:dyDescent="0.3">
      <c r="A315" s="2" t="s">
        <v>146</v>
      </c>
      <c r="B315" s="2" t="s">
        <v>1855</v>
      </c>
      <c r="C315" s="2" t="s">
        <v>389</v>
      </c>
      <c r="D315" s="2" t="s">
        <v>2263</v>
      </c>
      <c r="E315" s="2" t="s">
        <v>39</v>
      </c>
      <c r="F315" s="2"/>
      <c r="G315" s="2"/>
      <c r="H315" s="2"/>
      <c r="I315" s="3">
        <f t="shared" si="4"/>
        <v>77</v>
      </c>
    </row>
    <row r="316" spans="1:9" x14ac:dyDescent="0.3">
      <c r="A316" s="2" t="s">
        <v>146</v>
      </c>
      <c r="B316" s="2" t="s">
        <v>2264</v>
      </c>
      <c r="C316" s="2" t="s">
        <v>491</v>
      </c>
      <c r="D316" s="2" t="s">
        <v>2265</v>
      </c>
      <c r="E316" s="2" t="s">
        <v>39</v>
      </c>
      <c r="F316" s="2"/>
      <c r="G316" s="2"/>
      <c r="H316" s="2"/>
      <c r="I316" s="3">
        <f t="shared" si="4"/>
        <v>78</v>
      </c>
    </row>
    <row r="317" spans="1:9" x14ac:dyDescent="0.3">
      <c r="A317" s="2" t="s">
        <v>146</v>
      </c>
      <c r="B317" s="2" t="s">
        <v>2266</v>
      </c>
      <c r="C317" s="2" t="s">
        <v>437</v>
      </c>
      <c r="D317" s="2" t="s">
        <v>2267</v>
      </c>
      <c r="E317" s="2" t="s">
        <v>39</v>
      </c>
      <c r="F317" s="2"/>
      <c r="G317" s="2"/>
      <c r="H317" s="2"/>
      <c r="I317" s="3">
        <f t="shared" si="4"/>
        <v>78</v>
      </c>
    </row>
    <row r="318" spans="1:9" x14ac:dyDescent="0.3">
      <c r="A318" s="2" t="s">
        <v>146</v>
      </c>
      <c r="B318" s="2" t="s">
        <v>2284</v>
      </c>
      <c r="C318" s="2" t="s">
        <v>491</v>
      </c>
      <c r="D318" s="2" t="s">
        <v>2285</v>
      </c>
      <c r="E318" s="2" t="s">
        <v>39</v>
      </c>
      <c r="F318" s="2"/>
      <c r="G318" s="2"/>
      <c r="H318" s="2"/>
      <c r="I318" s="3">
        <f t="shared" si="4"/>
        <v>78</v>
      </c>
    </row>
    <row r="319" spans="1:9" ht="24" x14ac:dyDescent="0.3">
      <c r="A319" s="2" t="s">
        <v>146</v>
      </c>
      <c r="B319" s="2" t="s">
        <v>2286</v>
      </c>
      <c r="C319" s="2" t="s">
        <v>214</v>
      </c>
      <c r="D319" s="2" t="s">
        <v>2287</v>
      </c>
      <c r="E319" s="2" t="s">
        <v>39</v>
      </c>
      <c r="F319" s="2"/>
      <c r="G319" s="2"/>
      <c r="H319" s="2"/>
      <c r="I319" s="3">
        <f t="shared" si="4"/>
        <v>78</v>
      </c>
    </row>
    <row r="320" spans="1:9" x14ac:dyDescent="0.3">
      <c r="A320" s="2" t="s">
        <v>146</v>
      </c>
      <c r="B320" s="2" t="s">
        <v>2288</v>
      </c>
      <c r="C320" s="2" t="s">
        <v>95</v>
      </c>
      <c r="D320" s="2" t="s">
        <v>2289</v>
      </c>
      <c r="E320" s="2" t="s">
        <v>39</v>
      </c>
      <c r="F320" s="2"/>
      <c r="G320" s="2"/>
      <c r="H320" s="2"/>
      <c r="I320" s="3">
        <f t="shared" si="4"/>
        <v>78</v>
      </c>
    </row>
    <row r="321" spans="1:9" x14ac:dyDescent="0.3">
      <c r="A321" s="2" t="s">
        <v>146</v>
      </c>
      <c r="B321" s="2" t="s">
        <v>2290</v>
      </c>
      <c r="C321" s="2" t="s">
        <v>95</v>
      </c>
      <c r="D321" s="2" t="s">
        <v>2291</v>
      </c>
      <c r="E321" s="2" t="s">
        <v>39</v>
      </c>
      <c r="F321" s="2"/>
      <c r="G321" s="2"/>
      <c r="H321" s="2"/>
      <c r="I321" s="3">
        <f t="shared" si="4"/>
        <v>78</v>
      </c>
    </row>
    <row r="322" spans="1:9" x14ac:dyDescent="0.3">
      <c r="A322" s="2" t="s">
        <v>146</v>
      </c>
      <c r="B322" s="2" t="s">
        <v>2292</v>
      </c>
      <c r="C322" s="2" t="s">
        <v>437</v>
      </c>
      <c r="D322" s="2" t="s">
        <v>2293</v>
      </c>
      <c r="E322" s="2" t="s">
        <v>39</v>
      </c>
      <c r="F322" s="2"/>
      <c r="G322" s="2"/>
      <c r="H322" s="2"/>
      <c r="I322" s="3">
        <f t="shared" ref="I322:I385" si="5">LEN(D322)</f>
        <v>78</v>
      </c>
    </row>
    <row r="323" spans="1:9" x14ac:dyDescent="0.3">
      <c r="A323" s="2" t="s">
        <v>146</v>
      </c>
      <c r="B323" s="2" t="s">
        <v>2295</v>
      </c>
      <c r="C323" s="2" t="s">
        <v>491</v>
      </c>
      <c r="D323" s="2" t="s">
        <v>2296</v>
      </c>
      <c r="E323" s="2" t="s">
        <v>39</v>
      </c>
      <c r="F323" s="2"/>
      <c r="G323" s="2"/>
      <c r="H323" s="2"/>
      <c r="I323" s="3">
        <f t="shared" si="5"/>
        <v>78</v>
      </c>
    </row>
    <row r="324" spans="1:9" x14ac:dyDescent="0.3">
      <c r="A324" s="2" t="s">
        <v>146</v>
      </c>
      <c r="B324" s="2" t="s">
        <v>2297</v>
      </c>
      <c r="C324" s="2" t="s">
        <v>491</v>
      </c>
      <c r="D324" s="2" t="s">
        <v>2298</v>
      </c>
      <c r="E324" s="2" t="s">
        <v>39</v>
      </c>
      <c r="F324" s="2"/>
      <c r="G324" s="2"/>
      <c r="H324" s="2"/>
      <c r="I324" s="3">
        <f t="shared" si="5"/>
        <v>78</v>
      </c>
    </row>
    <row r="325" spans="1:9" x14ac:dyDescent="0.3">
      <c r="A325" s="2" t="s">
        <v>146</v>
      </c>
      <c r="B325" s="2" t="s">
        <v>2299</v>
      </c>
      <c r="C325" s="2"/>
      <c r="D325" s="2" t="s">
        <v>2300</v>
      </c>
      <c r="E325" s="2" t="s">
        <v>39</v>
      </c>
      <c r="F325" s="2"/>
      <c r="G325" s="2"/>
      <c r="H325" s="2"/>
      <c r="I325" s="3">
        <f t="shared" si="5"/>
        <v>78</v>
      </c>
    </row>
    <row r="326" spans="1:9" x14ac:dyDescent="0.3">
      <c r="A326" s="2" t="s">
        <v>146</v>
      </c>
      <c r="B326" s="2" t="s">
        <v>1007</v>
      </c>
      <c r="C326" s="2"/>
      <c r="D326" s="2" t="s">
        <v>2313</v>
      </c>
      <c r="E326" s="2" t="s">
        <v>39</v>
      </c>
      <c r="F326" s="2"/>
      <c r="G326" s="2"/>
      <c r="H326" s="2"/>
      <c r="I326" s="3">
        <f t="shared" si="5"/>
        <v>79</v>
      </c>
    </row>
    <row r="327" spans="1:9" x14ac:dyDescent="0.3">
      <c r="A327" s="2" t="s">
        <v>146</v>
      </c>
      <c r="B327" s="2" t="s">
        <v>2314</v>
      </c>
      <c r="C327" s="2"/>
      <c r="D327" s="2" t="s">
        <v>2315</v>
      </c>
      <c r="E327" s="2" t="s">
        <v>39</v>
      </c>
      <c r="F327" s="2"/>
      <c r="G327" s="2"/>
      <c r="H327" s="2"/>
      <c r="I327" s="3">
        <f t="shared" si="5"/>
        <v>79</v>
      </c>
    </row>
    <row r="328" spans="1:9" x14ac:dyDescent="0.3">
      <c r="A328" s="2" t="s">
        <v>146</v>
      </c>
      <c r="B328" s="2" t="s">
        <v>2319</v>
      </c>
      <c r="C328" s="2" t="s">
        <v>491</v>
      </c>
      <c r="D328" s="2" t="s">
        <v>2320</v>
      </c>
      <c r="E328" s="2" t="s">
        <v>39</v>
      </c>
      <c r="F328" s="2"/>
      <c r="G328" s="2"/>
      <c r="H328" s="2"/>
      <c r="I328" s="3">
        <f t="shared" si="5"/>
        <v>79</v>
      </c>
    </row>
    <row r="329" spans="1:9" x14ac:dyDescent="0.3">
      <c r="A329" s="2" t="s">
        <v>146</v>
      </c>
      <c r="B329" s="2" t="s">
        <v>840</v>
      </c>
      <c r="C329" s="2" t="s">
        <v>491</v>
      </c>
      <c r="D329" s="2" t="s">
        <v>2322</v>
      </c>
      <c r="E329" s="2" t="s">
        <v>39</v>
      </c>
      <c r="F329" s="2"/>
      <c r="G329" s="2"/>
      <c r="H329" s="2"/>
      <c r="I329" s="3">
        <f t="shared" si="5"/>
        <v>79</v>
      </c>
    </row>
    <row r="330" spans="1:9" x14ac:dyDescent="0.3">
      <c r="A330" s="2" t="s">
        <v>146</v>
      </c>
      <c r="B330" s="2" t="s">
        <v>2323</v>
      </c>
      <c r="C330" s="2" t="s">
        <v>491</v>
      </c>
      <c r="D330" s="2" t="s">
        <v>2324</v>
      </c>
      <c r="E330" s="2" t="s">
        <v>39</v>
      </c>
      <c r="F330" s="2"/>
      <c r="G330" s="2"/>
      <c r="H330" s="2"/>
      <c r="I330" s="3">
        <f t="shared" si="5"/>
        <v>79</v>
      </c>
    </row>
    <row r="331" spans="1:9" x14ac:dyDescent="0.3">
      <c r="A331" s="2" t="s">
        <v>146</v>
      </c>
      <c r="B331" s="2" t="s">
        <v>2325</v>
      </c>
      <c r="C331" s="2" t="s">
        <v>491</v>
      </c>
      <c r="D331" s="2" t="s">
        <v>2326</v>
      </c>
      <c r="E331" s="2" t="s">
        <v>39</v>
      </c>
      <c r="F331" s="2"/>
      <c r="G331" s="2"/>
      <c r="H331" s="2"/>
      <c r="I331" s="3">
        <f t="shared" si="5"/>
        <v>79</v>
      </c>
    </row>
    <row r="332" spans="1:9" x14ac:dyDescent="0.3">
      <c r="A332" s="2" t="s">
        <v>146</v>
      </c>
      <c r="B332" s="2" t="s">
        <v>2327</v>
      </c>
      <c r="C332" s="2" t="s">
        <v>491</v>
      </c>
      <c r="D332" s="2" t="s">
        <v>2328</v>
      </c>
      <c r="E332" s="2" t="s">
        <v>39</v>
      </c>
      <c r="F332" s="2"/>
      <c r="G332" s="2"/>
      <c r="H332" s="2"/>
      <c r="I332" s="3">
        <f t="shared" si="5"/>
        <v>79</v>
      </c>
    </row>
    <row r="333" spans="1:9" x14ac:dyDescent="0.3">
      <c r="A333" s="2" t="s">
        <v>146</v>
      </c>
      <c r="B333" s="2" t="s">
        <v>2329</v>
      </c>
      <c r="C333" s="2" t="s">
        <v>491</v>
      </c>
      <c r="D333" s="2" t="s">
        <v>2330</v>
      </c>
      <c r="E333" s="2" t="s">
        <v>39</v>
      </c>
      <c r="F333" s="2"/>
      <c r="G333" s="2"/>
      <c r="H333" s="2"/>
      <c r="I333" s="3">
        <f t="shared" si="5"/>
        <v>79</v>
      </c>
    </row>
    <row r="334" spans="1:9" x14ac:dyDescent="0.3">
      <c r="A334" s="2" t="s">
        <v>146</v>
      </c>
      <c r="B334" s="2" t="s">
        <v>1720</v>
      </c>
      <c r="C334" s="2"/>
      <c r="D334" s="2" t="s">
        <v>2331</v>
      </c>
      <c r="E334" s="2" t="s">
        <v>39</v>
      </c>
      <c r="F334" s="2"/>
      <c r="G334" s="2"/>
      <c r="H334" s="2"/>
      <c r="I334" s="3">
        <f t="shared" si="5"/>
        <v>79</v>
      </c>
    </row>
    <row r="335" spans="1:9" x14ac:dyDescent="0.3">
      <c r="A335" s="2" t="s">
        <v>146</v>
      </c>
      <c r="B335" s="2" t="s">
        <v>2339</v>
      </c>
      <c r="C335" s="2"/>
      <c r="D335" s="2" t="s">
        <v>2340</v>
      </c>
      <c r="E335" s="2" t="s">
        <v>39</v>
      </c>
      <c r="F335" s="2"/>
      <c r="G335" s="2"/>
      <c r="H335" s="2"/>
      <c r="I335" s="3">
        <f t="shared" si="5"/>
        <v>79</v>
      </c>
    </row>
    <row r="336" spans="1:9" x14ac:dyDescent="0.3">
      <c r="A336" s="2" t="s">
        <v>146</v>
      </c>
      <c r="B336" s="2" t="s">
        <v>2341</v>
      </c>
      <c r="C336" s="2"/>
      <c r="D336" s="2" t="s">
        <v>2342</v>
      </c>
      <c r="E336" s="2" t="s">
        <v>39</v>
      </c>
      <c r="F336" s="2"/>
      <c r="G336" s="2"/>
      <c r="H336" s="2"/>
      <c r="I336" s="3">
        <f t="shared" si="5"/>
        <v>79</v>
      </c>
    </row>
    <row r="337" spans="1:9" x14ac:dyDescent="0.3">
      <c r="A337" s="2" t="s">
        <v>146</v>
      </c>
      <c r="B337" s="2" t="s">
        <v>2345</v>
      </c>
      <c r="C337" s="2" t="s">
        <v>491</v>
      </c>
      <c r="D337" s="2" t="s">
        <v>2346</v>
      </c>
      <c r="E337" s="2" t="s">
        <v>39</v>
      </c>
      <c r="F337" s="2"/>
      <c r="G337" s="2"/>
      <c r="H337" s="2"/>
      <c r="I337" s="3">
        <f t="shared" si="5"/>
        <v>79</v>
      </c>
    </row>
    <row r="338" spans="1:9" x14ac:dyDescent="0.3">
      <c r="A338" s="2" t="s">
        <v>146</v>
      </c>
      <c r="B338" s="2" t="s">
        <v>2049</v>
      </c>
      <c r="C338" s="2" t="s">
        <v>253</v>
      </c>
      <c r="D338" s="2" t="s">
        <v>2350</v>
      </c>
      <c r="E338" s="2" t="s">
        <v>39</v>
      </c>
      <c r="F338" s="2"/>
      <c r="G338" s="2"/>
      <c r="H338" s="2"/>
      <c r="I338" s="3">
        <f t="shared" si="5"/>
        <v>79</v>
      </c>
    </row>
    <row r="339" spans="1:9" x14ac:dyDescent="0.3">
      <c r="A339" s="2" t="s">
        <v>146</v>
      </c>
      <c r="B339" s="2" t="s">
        <v>2353</v>
      </c>
      <c r="C339" s="2" t="s">
        <v>437</v>
      </c>
      <c r="D339" s="2" t="s">
        <v>2354</v>
      </c>
      <c r="E339" s="2" t="s">
        <v>39</v>
      </c>
      <c r="F339" s="2"/>
      <c r="G339" s="2"/>
      <c r="H339" s="2"/>
      <c r="I339" s="3">
        <f t="shared" si="5"/>
        <v>79</v>
      </c>
    </row>
    <row r="340" spans="1:9" ht="24" x14ac:dyDescent="0.3">
      <c r="A340" s="2" t="s">
        <v>146</v>
      </c>
      <c r="B340" s="2" t="s">
        <v>1759</v>
      </c>
      <c r="C340" s="2" t="s">
        <v>911</v>
      </c>
      <c r="D340" s="2" t="s">
        <v>2357</v>
      </c>
      <c r="E340" s="2" t="s">
        <v>39</v>
      </c>
      <c r="F340" s="2"/>
      <c r="G340" s="2"/>
      <c r="H340" s="2"/>
      <c r="I340" s="3">
        <f t="shared" si="5"/>
        <v>80</v>
      </c>
    </row>
    <row r="341" spans="1:9" x14ac:dyDescent="0.3">
      <c r="A341" s="2" t="s">
        <v>146</v>
      </c>
      <c r="B341" s="2" t="s">
        <v>1681</v>
      </c>
      <c r="C341" s="2" t="s">
        <v>95</v>
      </c>
      <c r="D341" s="2" t="s">
        <v>2360</v>
      </c>
      <c r="E341" s="2" t="s">
        <v>39</v>
      </c>
      <c r="F341" s="2"/>
      <c r="G341" s="2"/>
      <c r="H341" s="2"/>
      <c r="I341" s="3">
        <f t="shared" si="5"/>
        <v>80</v>
      </c>
    </row>
    <row r="342" spans="1:9" x14ac:dyDescent="0.3">
      <c r="A342" s="2" t="s">
        <v>146</v>
      </c>
      <c r="B342" s="2" t="s">
        <v>2367</v>
      </c>
      <c r="C342" s="2" t="s">
        <v>491</v>
      </c>
      <c r="D342" s="2" t="s">
        <v>2368</v>
      </c>
      <c r="E342" s="2" t="s">
        <v>39</v>
      </c>
      <c r="F342" s="2"/>
      <c r="G342" s="2"/>
      <c r="H342" s="2"/>
      <c r="I342" s="3">
        <f t="shared" si="5"/>
        <v>80</v>
      </c>
    </row>
    <row r="343" spans="1:9" x14ac:dyDescent="0.3">
      <c r="A343" s="2" t="s">
        <v>146</v>
      </c>
      <c r="B343" s="2" t="s">
        <v>2374</v>
      </c>
      <c r="C343" s="2" t="s">
        <v>214</v>
      </c>
      <c r="D343" s="2" t="s">
        <v>2375</v>
      </c>
      <c r="E343" s="2" t="s">
        <v>39</v>
      </c>
      <c r="F343" s="2"/>
      <c r="G343" s="2"/>
      <c r="H343" s="2"/>
      <c r="I343" s="3">
        <f t="shared" si="5"/>
        <v>80</v>
      </c>
    </row>
    <row r="344" spans="1:9" x14ac:dyDescent="0.3">
      <c r="A344" s="2" t="s">
        <v>146</v>
      </c>
      <c r="B344" s="2" t="s">
        <v>2376</v>
      </c>
      <c r="C344" s="2" t="s">
        <v>95</v>
      </c>
      <c r="D344" s="2" t="s">
        <v>2377</v>
      </c>
      <c r="E344" s="2" t="s">
        <v>39</v>
      </c>
      <c r="F344" s="2"/>
      <c r="G344" s="2"/>
      <c r="H344" s="2"/>
      <c r="I344" s="3">
        <f t="shared" si="5"/>
        <v>80</v>
      </c>
    </row>
    <row r="345" spans="1:9" x14ac:dyDescent="0.3">
      <c r="A345" s="2" t="s">
        <v>146</v>
      </c>
      <c r="B345" s="2" t="s">
        <v>2378</v>
      </c>
      <c r="C345" s="2" t="s">
        <v>95</v>
      </c>
      <c r="D345" s="2" t="s">
        <v>2379</v>
      </c>
      <c r="E345" s="2" t="s">
        <v>39</v>
      </c>
      <c r="F345" s="2"/>
      <c r="G345" s="2"/>
      <c r="H345" s="2"/>
      <c r="I345" s="3">
        <f t="shared" si="5"/>
        <v>80</v>
      </c>
    </row>
    <row r="346" spans="1:9" x14ac:dyDescent="0.3">
      <c r="A346" s="2" t="s">
        <v>146</v>
      </c>
      <c r="B346" s="2" t="s">
        <v>2380</v>
      </c>
      <c r="C346" s="2"/>
      <c r="D346" s="2" t="s">
        <v>2381</v>
      </c>
      <c r="E346" s="2" t="s">
        <v>39</v>
      </c>
      <c r="F346" s="2"/>
      <c r="G346" s="2"/>
      <c r="H346" s="2"/>
      <c r="I346" s="3">
        <f t="shared" si="5"/>
        <v>80</v>
      </c>
    </row>
    <row r="347" spans="1:9" x14ac:dyDescent="0.3">
      <c r="A347" s="2" t="s">
        <v>146</v>
      </c>
      <c r="B347" s="2" t="s">
        <v>2384</v>
      </c>
      <c r="C347" s="2" t="s">
        <v>2385</v>
      </c>
      <c r="D347" s="2" t="s">
        <v>2386</v>
      </c>
      <c r="E347" s="2" t="s">
        <v>39</v>
      </c>
      <c r="F347" s="2"/>
      <c r="G347" s="2"/>
      <c r="H347" s="2"/>
      <c r="I347" s="3">
        <f t="shared" si="5"/>
        <v>80</v>
      </c>
    </row>
    <row r="348" spans="1:9" x14ac:dyDescent="0.3">
      <c r="A348" s="2" t="s">
        <v>146</v>
      </c>
      <c r="B348" s="2" t="s">
        <v>147</v>
      </c>
      <c r="C348" s="2" t="s">
        <v>389</v>
      </c>
      <c r="D348" s="2" t="s">
        <v>2394</v>
      </c>
      <c r="E348" s="2" t="s">
        <v>39</v>
      </c>
      <c r="F348" s="2"/>
      <c r="G348" s="2"/>
      <c r="H348" s="2"/>
      <c r="I348" s="3">
        <f t="shared" si="5"/>
        <v>81</v>
      </c>
    </row>
    <row r="349" spans="1:9" x14ac:dyDescent="0.3">
      <c r="A349" s="2" t="s">
        <v>146</v>
      </c>
      <c r="B349" s="2" t="s">
        <v>1292</v>
      </c>
      <c r="C349" s="2" t="s">
        <v>1293</v>
      </c>
      <c r="D349" s="2" t="s">
        <v>2397</v>
      </c>
      <c r="E349" s="2" t="s">
        <v>39</v>
      </c>
      <c r="F349" s="2"/>
      <c r="G349" s="2"/>
      <c r="H349" s="2"/>
      <c r="I349" s="3">
        <f t="shared" si="5"/>
        <v>81</v>
      </c>
    </row>
    <row r="350" spans="1:9" x14ac:dyDescent="0.3">
      <c r="A350" s="2" t="s">
        <v>146</v>
      </c>
      <c r="B350" s="2" t="s">
        <v>2414</v>
      </c>
      <c r="C350" s="2"/>
      <c r="D350" s="2" t="s">
        <v>2415</v>
      </c>
      <c r="E350" s="2" t="s">
        <v>39</v>
      </c>
      <c r="F350" s="2"/>
      <c r="G350" s="2"/>
      <c r="H350" s="2"/>
      <c r="I350" s="3">
        <f t="shared" si="5"/>
        <v>81</v>
      </c>
    </row>
    <row r="351" spans="1:9" x14ac:dyDescent="0.3">
      <c r="A351" s="2" t="s">
        <v>146</v>
      </c>
      <c r="B351" s="2" t="s">
        <v>2416</v>
      </c>
      <c r="C351" s="2" t="s">
        <v>515</v>
      </c>
      <c r="D351" s="2" t="s">
        <v>2417</v>
      </c>
      <c r="E351" s="2" t="s">
        <v>39</v>
      </c>
      <c r="F351" s="2"/>
      <c r="G351" s="2"/>
      <c r="H351" s="2"/>
      <c r="I351" s="3">
        <f t="shared" si="5"/>
        <v>81</v>
      </c>
    </row>
    <row r="352" spans="1:9" x14ac:dyDescent="0.3">
      <c r="A352" s="2" t="s">
        <v>146</v>
      </c>
      <c r="B352" s="2" t="s">
        <v>2418</v>
      </c>
      <c r="C352" s="2"/>
      <c r="D352" s="2" t="s">
        <v>2419</v>
      </c>
      <c r="E352" s="2" t="s">
        <v>39</v>
      </c>
      <c r="F352" s="2"/>
      <c r="G352" s="2"/>
      <c r="H352" s="2"/>
      <c r="I352" s="3">
        <f t="shared" si="5"/>
        <v>81</v>
      </c>
    </row>
    <row r="353" spans="1:9" x14ac:dyDescent="0.3">
      <c r="A353" s="2" t="s">
        <v>146</v>
      </c>
      <c r="B353" s="2" t="s">
        <v>2195</v>
      </c>
      <c r="C353" s="2"/>
      <c r="D353" s="2" t="s">
        <v>2422</v>
      </c>
      <c r="E353" s="2" t="s">
        <v>39</v>
      </c>
      <c r="F353" s="2"/>
      <c r="G353" s="2"/>
      <c r="H353" s="2"/>
      <c r="I353" s="3">
        <f t="shared" si="5"/>
        <v>81</v>
      </c>
    </row>
    <row r="354" spans="1:9" x14ac:dyDescent="0.3">
      <c r="A354" s="2" t="s">
        <v>146</v>
      </c>
      <c r="B354" s="2" t="s">
        <v>2423</v>
      </c>
      <c r="C354" s="2" t="s">
        <v>491</v>
      </c>
      <c r="D354" s="2" t="s">
        <v>2424</v>
      </c>
      <c r="E354" s="2" t="s">
        <v>39</v>
      </c>
      <c r="F354" s="2"/>
      <c r="G354" s="2"/>
      <c r="H354" s="2"/>
      <c r="I354" s="3">
        <f t="shared" si="5"/>
        <v>81</v>
      </c>
    </row>
    <row r="355" spans="1:9" x14ac:dyDescent="0.3">
      <c r="A355" s="2" t="s">
        <v>146</v>
      </c>
      <c r="B355" s="2" t="s">
        <v>2425</v>
      </c>
      <c r="C355" s="2" t="s">
        <v>95</v>
      </c>
      <c r="D355" s="2" t="s">
        <v>2426</v>
      </c>
      <c r="E355" s="2" t="s">
        <v>39</v>
      </c>
      <c r="F355" s="2"/>
      <c r="G355" s="2"/>
      <c r="H355" s="2"/>
      <c r="I355" s="3">
        <f t="shared" si="5"/>
        <v>81</v>
      </c>
    </row>
    <row r="356" spans="1:9" x14ac:dyDescent="0.3">
      <c r="A356" s="2" t="s">
        <v>146</v>
      </c>
      <c r="B356" s="2" t="s">
        <v>2427</v>
      </c>
      <c r="C356" s="2" t="s">
        <v>95</v>
      </c>
      <c r="D356" s="2" t="s">
        <v>2428</v>
      </c>
      <c r="E356" s="2" t="s">
        <v>39</v>
      </c>
      <c r="F356" s="2"/>
      <c r="G356" s="2"/>
      <c r="H356" s="2"/>
      <c r="I356" s="3">
        <f t="shared" si="5"/>
        <v>81</v>
      </c>
    </row>
    <row r="357" spans="1:9" x14ac:dyDescent="0.3">
      <c r="A357" s="2" t="s">
        <v>146</v>
      </c>
      <c r="B357" s="2" t="s">
        <v>2429</v>
      </c>
      <c r="C357" s="2"/>
      <c r="D357" s="2" t="s">
        <v>2430</v>
      </c>
      <c r="E357" s="2" t="s">
        <v>39</v>
      </c>
      <c r="F357" s="2"/>
      <c r="G357" s="2"/>
      <c r="H357" s="2"/>
      <c r="I357" s="3">
        <f t="shared" si="5"/>
        <v>81</v>
      </c>
    </row>
    <row r="358" spans="1:9" x14ac:dyDescent="0.3">
      <c r="A358" s="2" t="s">
        <v>146</v>
      </c>
      <c r="B358" s="2" t="s">
        <v>2450</v>
      </c>
      <c r="C358" s="2"/>
      <c r="D358" s="2" t="s">
        <v>2451</v>
      </c>
      <c r="E358" s="2" t="s">
        <v>39</v>
      </c>
      <c r="F358" s="2"/>
      <c r="G358" s="2"/>
      <c r="H358" s="2"/>
      <c r="I358" s="3">
        <f t="shared" si="5"/>
        <v>81</v>
      </c>
    </row>
    <row r="359" spans="1:9" x14ac:dyDescent="0.3">
      <c r="A359" s="2" t="s">
        <v>146</v>
      </c>
      <c r="B359" s="2" t="s">
        <v>2452</v>
      </c>
      <c r="C359" s="2"/>
      <c r="D359" s="2" t="s">
        <v>2453</v>
      </c>
      <c r="E359" s="2" t="s">
        <v>379</v>
      </c>
      <c r="F359" s="2"/>
      <c r="G359" s="2"/>
      <c r="H359" s="2"/>
      <c r="I359" s="3">
        <f t="shared" si="5"/>
        <v>81</v>
      </c>
    </row>
    <row r="360" spans="1:9" x14ac:dyDescent="0.3">
      <c r="A360" s="2" t="s">
        <v>146</v>
      </c>
      <c r="B360" s="2" t="s">
        <v>2454</v>
      </c>
      <c r="C360" s="2" t="s">
        <v>515</v>
      </c>
      <c r="D360" s="2" t="s">
        <v>2455</v>
      </c>
      <c r="E360" s="2" t="s">
        <v>39</v>
      </c>
      <c r="F360" s="2"/>
      <c r="G360" s="2"/>
      <c r="H360" s="2"/>
      <c r="I360" s="3">
        <f t="shared" si="5"/>
        <v>81</v>
      </c>
    </row>
    <row r="361" spans="1:9" x14ac:dyDescent="0.3">
      <c r="A361" s="2" t="s">
        <v>146</v>
      </c>
      <c r="B361" s="2" t="s">
        <v>2456</v>
      </c>
      <c r="C361" s="2"/>
      <c r="D361" s="2" t="s">
        <v>2457</v>
      </c>
      <c r="E361" s="2" t="s">
        <v>39</v>
      </c>
      <c r="F361" s="2"/>
      <c r="G361" s="2"/>
      <c r="H361" s="2"/>
      <c r="I361" s="3">
        <f t="shared" si="5"/>
        <v>81</v>
      </c>
    </row>
    <row r="362" spans="1:9" x14ac:dyDescent="0.3">
      <c r="A362" s="2" t="s">
        <v>146</v>
      </c>
      <c r="B362" s="2" t="s">
        <v>2463</v>
      </c>
      <c r="C362" s="2"/>
      <c r="D362" s="2" t="s">
        <v>2464</v>
      </c>
      <c r="E362" s="2" t="s">
        <v>39</v>
      </c>
      <c r="F362" s="2"/>
      <c r="G362" s="2"/>
      <c r="H362" s="2"/>
      <c r="I362" s="3">
        <f t="shared" si="5"/>
        <v>81</v>
      </c>
    </row>
    <row r="363" spans="1:9" x14ac:dyDescent="0.3">
      <c r="A363" s="2" t="s">
        <v>146</v>
      </c>
      <c r="B363" s="2" t="s">
        <v>2465</v>
      </c>
      <c r="C363" s="2" t="s">
        <v>1507</v>
      </c>
      <c r="D363" s="2" t="s">
        <v>2466</v>
      </c>
      <c r="E363" s="2"/>
      <c r="F363" s="2"/>
      <c r="G363" s="2"/>
      <c r="H363" s="2"/>
      <c r="I363" s="3">
        <f t="shared" si="5"/>
        <v>81</v>
      </c>
    </row>
    <row r="364" spans="1:9" x14ac:dyDescent="0.3">
      <c r="A364" s="2" t="s">
        <v>146</v>
      </c>
      <c r="B364" s="2" t="s">
        <v>2478</v>
      </c>
      <c r="C364" s="2"/>
      <c r="D364" s="2" t="s">
        <v>2479</v>
      </c>
      <c r="E364" s="2" t="s">
        <v>39</v>
      </c>
      <c r="F364" s="2"/>
      <c r="G364" s="2"/>
      <c r="H364" s="2"/>
      <c r="I364" s="3">
        <f t="shared" si="5"/>
        <v>82</v>
      </c>
    </row>
    <row r="365" spans="1:9" x14ac:dyDescent="0.3">
      <c r="A365" s="2" t="s">
        <v>146</v>
      </c>
      <c r="B365" s="2" t="s">
        <v>479</v>
      </c>
      <c r="C365" s="2" t="s">
        <v>95</v>
      </c>
      <c r="D365" s="2" t="s">
        <v>2488</v>
      </c>
      <c r="E365" s="2" t="s">
        <v>39</v>
      </c>
      <c r="F365" s="2"/>
      <c r="G365" s="2"/>
      <c r="H365" s="2"/>
      <c r="I365" s="3">
        <f t="shared" si="5"/>
        <v>82</v>
      </c>
    </row>
    <row r="366" spans="1:9" x14ac:dyDescent="0.3">
      <c r="A366" s="2" t="s">
        <v>146</v>
      </c>
      <c r="B366" s="2" t="s">
        <v>2489</v>
      </c>
      <c r="C366" s="2" t="s">
        <v>515</v>
      </c>
      <c r="D366" s="2" t="s">
        <v>2490</v>
      </c>
      <c r="E366" s="2" t="s">
        <v>39</v>
      </c>
      <c r="F366" s="2"/>
      <c r="G366" s="2"/>
      <c r="H366" s="2"/>
      <c r="I366" s="3">
        <f t="shared" si="5"/>
        <v>82</v>
      </c>
    </row>
    <row r="367" spans="1:9" x14ac:dyDescent="0.3">
      <c r="A367" s="2" t="s">
        <v>146</v>
      </c>
      <c r="B367" s="2" t="s">
        <v>2491</v>
      </c>
      <c r="C367" s="2" t="s">
        <v>515</v>
      </c>
      <c r="D367" s="2" t="s">
        <v>2492</v>
      </c>
      <c r="E367" s="2" t="s">
        <v>39</v>
      </c>
      <c r="F367" s="2"/>
      <c r="G367" s="2"/>
      <c r="H367" s="2"/>
      <c r="I367" s="3">
        <f t="shared" si="5"/>
        <v>82</v>
      </c>
    </row>
    <row r="368" spans="1:9" x14ac:dyDescent="0.3">
      <c r="A368" s="2" t="s">
        <v>146</v>
      </c>
      <c r="B368" s="2" t="s">
        <v>2493</v>
      </c>
      <c r="C368" s="2" t="s">
        <v>437</v>
      </c>
      <c r="D368" s="2" t="s">
        <v>2494</v>
      </c>
      <c r="E368" s="2" t="s">
        <v>39</v>
      </c>
      <c r="F368" s="2"/>
      <c r="G368" s="2"/>
      <c r="H368" s="2"/>
      <c r="I368" s="3">
        <f t="shared" si="5"/>
        <v>82</v>
      </c>
    </row>
    <row r="369" spans="1:9" x14ac:dyDescent="0.3">
      <c r="A369" s="2" t="s">
        <v>146</v>
      </c>
      <c r="B369" s="2" t="s">
        <v>2495</v>
      </c>
      <c r="C369" s="2" t="s">
        <v>491</v>
      </c>
      <c r="D369" s="2" t="s">
        <v>2496</v>
      </c>
      <c r="E369" s="2" t="s">
        <v>39</v>
      </c>
      <c r="F369" s="2"/>
      <c r="G369" s="2"/>
      <c r="H369" s="2"/>
      <c r="I369" s="3">
        <f t="shared" si="5"/>
        <v>82</v>
      </c>
    </row>
    <row r="370" spans="1:9" x14ac:dyDescent="0.3">
      <c r="A370" s="2" t="s">
        <v>146</v>
      </c>
      <c r="B370" s="2" t="s">
        <v>2497</v>
      </c>
      <c r="C370" s="2" t="s">
        <v>491</v>
      </c>
      <c r="D370" s="2" t="s">
        <v>2498</v>
      </c>
      <c r="E370" s="2" t="s">
        <v>39</v>
      </c>
      <c r="F370" s="2"/>
      <c r="G370" s="2"/>
      <c r="H370" s="2"/>
      <c r="I370" s="3">
        <f t="shared" si="5"/>
        <v>82</v>
      </c>
    </row>
    <row r="371" spans="1:9" x14ac:dyDescent="0.3">
      <c r="A371" s="2" t="s">
        <v>146</v>
      </c>
      <c r="B371" s="2" t="s">
        <v>2499</v>
      </c>
      <c r="C371" s="2" t="s">
        <v>491</v>
      </c>
      <c r="D371" s="2" t="s">
        <v>2500</v>
      </c>
      <c r="E371" s="2" t="s">
        <v>39</v>
      </c>
      <c r="F371" s="2"/>
      <c r="G371" s="2"/>
      <c r="H371" s="2"/>
      <c r="I371" s="3">
        <f t="shared" si="5"/>
        <v>82</v>
      </c>
    </row>
    <row r="372" spans="1:9" x14ac:dyDescent="0.3">
      <c r="A372" s="2" t="s">
        <v>146</v>
      </c>
      <c r="B372" s="2" t="s">
        <v>2501</v>
      </c>
      <c r="C372" s="2" t="s">
        <v>491</v>
      </c>
      <c r="D372" s="2" t="s">
        <v>2502</v>
      </c>
      <c r="E372" s="2" t="s">
        <v>39</v>
      </c>
      <c r="F372" s="2"/>
      <c r="G372" s="2"/>
      <c r="H372" s="2"/>
      <c r="I372" s="3">
        <f t="shared" si="5"/>
        <v>82</v>
      </c>
    </row>
    <row r="373" spans="1:9" x14ac:dyDescent="0.3">
      <c r="A373" s="2" t="s">
        <v>146</v>
      </c>
      <c r="B373" s="2" t="s">
        <v>2515</v>
      </c>
      <c r="C373" s="2" t="s">
        <v>2516</v>
      </c>
      <c r="D373" s="2" t="s">
        <v>2517</v>
      </c>
      <c r="E373" s="2" t="s">
        <v>393</v>
      </c>
      <c r="F373" s="2"/>
      <c r="G373" s="2"/>
      <c r="H373" s="2"/>
      <c r="I373" s="3">
        <f t="shared" si="5"/>
        <v>82</v>
      </c>
    </row>
    <row r="374" spans="1:9" ht="24" x14ac:dyDescent="0.3">
      <c r="A374" s="2" t="s">
        <v>146</v>
      </c>
      <c r="B374" s="2" t="s">
        <v>1759</v>
      </c>
      <c r="C374" s="2" t="s">
        <v>911</v>
      </c>
      <c r="D374" s="2" t="s">
        <v>2521</v>
      </c>
      <c r="E374" s="2" t="s">
        <v>39</v>
      </c>
      <c r="F374" s="2"/>
      <c r="G374" s="2"/>
      <c r="H374" s="2"/>
      <c r="I374" s="3">
        <f t="shared" si="5"/>
        <v>83</v>
      </c>
    </row>
    <row r="375" spans="1:9" x14ac:dyDescent="0.3">
      <c r="A375" s="2" t="s">
        <v>146</v>
      </c>
      <c r="B375" s="2" t="s">
        <v>2522</v>
      </c>
      <c r="C375" s="2" t="s">
        <v>911</v>
      </c>
      <c r="D375" s="2" t="s">
        <v>2523</v>
      </c>
      <c r="E375" s="2" t="s">
        <v>2524</v>
      </c>
      <c r="F375" s="2"/>
      <c r="G375" s="2"/>
      <c r="H375" s="2"/>
      <c r="I375" s="3">
        <f t="shared" si="5"/>
        <v>83</v>
      </c>
    </row>
    <row r="376" spans="1:9" x14ac:dyDescent="0.3">
      <c r="A376" s="2" t="s">
        <v>146</v>
      </c>
      <c r="B376" s="2" t="s">
        <v>2527</v>
      </c>
      <c r="C376" s="2" t="s">
        <v>2528</v>
      </c>
      <c r="D376" s="2" t="s">
        <v>2529</v>
      </c>
      <c r="E376" s="2" t="s">
        <v>39</v>
      </c>
      <c r="F376" s="2"/>
      <c r="G376" s="2"/>
      <c r="H376" s="2"/>
      <c r="I376" s="3">
        <f t="shared" si="5"/>
        <v>83</v>
      </c>
    </row>
    <row r="377" spans="1:9" x14ac:dyDescent="0.3">
      <c r="A377" s="2" t="s">
        <v>146</v>
      </c>
      <c r="B377" s="2" t="s">
        <v>2530</v>
      </c>
      <c r="C377" s="2" t="s">
        <v>2531</v>
      </c>
      <c r="D377" s="2" t="s">
        <v>2532</v>
      </c>
      <c r="E377" s="2" t="s">
        <v>39</v>
      </c>
      <c r="F377" s="2"/>
      <c r="G377" s="2"/>
      <c r="H377" s="2"/>
      <c r="I377" s="3">
        <f t="shared" si="5"/>
        <v>83</v>
      </c>
    </row>
    <row r="378" spans="1:9" x14ac:dyDescent="0.3">
      <c r="A378" s="2" t="s">
        <v>146</v>
      </c>
      <c r="B378" s="2" t="s">
        <v>2537</v>
      </c>
      <c r="C378" s="2" t="s">
        <v>95</v>
      </c>
      <c r="D378" s="2" t="s">
        <v>2538</v>
      </c>
      <c r="E378" s="2" t="s">
        <v>39</v>
      </c>
      <c r="F378" s="2"/>
      <c r="G378" s="2"/>
      <c r="H378" s="2"/>
      <c r="I378" s="3">
        <f t="shared" si="5"/>
        <v>83</v>
      </c>
    </row>
    <row r="379" spans="1:9" x14ac:dyDescent="0.3">
      <c r="A379" s="2" t="s">
        <v>146</v>
      </c>
      <c r="B379" s="2" t="s">
        <v>2539</v>
      </c>
      <c r="C379" s="2" t="s">
        <v>437</v>
      </c>
      <c r="D379" s="2" t="s">
        <v>2540</v>
      </c>
      <c r="E379" s="2" t="s">
        <v>39</v>
      </c>
      <c r="F379" s="2"/>
      <c r="G379" s="2"/>
      <c r="H379" s="2"/>
      <c r="I379" s="3">
        <f t="shared" si="5"/>
        <v>83</v>
      </c>
    </row>
    <row r="380" spans="1:9" x14ac:dyDescent="0.3">
      <c r="A380" s="2" t="s">
        <v>146</v>
      </c>
      <c r="B380" s="2" t="s">
        <v>2543</v>
      </c>
      <c r="C380" s="2" t="s">
        <v>515</v>
      </c>
      <c r="D380" s="2" t="s">
        <v>2544</v>
      </c>
      <c r="E380" s="2" t="s">
        <v>39</v>
      </c>
      <c r="F380" s="2"/>
      <c r="G380" s="2"/>
      <c r="H380" s="2"/>
      <c r="I380" s="3">
        <f t="shared" si="5"/>
        <v>83</v>
      </c>
    </row>
    <row r="381" spans="1:9" x14ac:dyDescent="0.3">
      <c r="A381" s="2" t="s">
        <v>146</v>
      </c>
      <c r="B381" s="2" t="s">
        <v>2545</v>
      </c>
      <c r="C381" s="2" t="s">
        <v>515</v>
      </c>
      <c r="D381" s="2" t="s">
        <v>2546</v>
      </c>
      <c r="E381" s="2" t="s">
        <v>39</v>
      </c>
      <c r="F381" s="2"/>
      <c r="G381" s="2"/>
      <c r="H381" s="2"/>
      <c r="I381" s="3">
        <f t="shared" si="5"/>
        <v>83</v>
      </c>
    </row>
    <row r="382" spans="1:9" x14ac:dyDescent="0.3">
      <c r="A382" s="2" t="s">
        <v>146</v>
      </c>
      <c r="B382" s="2" t="s">
        <v>2491</v>
      </c>
      <c r="C382" s="2" t="s">
        <v>515</v>
      </c>
      <c r="D382" s="2" t="s">
        <v>2547</v>
      </c>
      <c r="E382" s="2" t="s">
        <v>39</v>
      </c>
      <c r="F382" s="2"/>
      <c r="G382" s="2"/>
      <c r="H382" s="2"/>
      <c r="I382" s="3">
        <f t="shared" si="5"/>
        <v>83</v>
      </c>
    </row>
    <row r="383" spans="1:9" x14ac:dyDescent="0.3">
      <c r="A383" s="2" t="s">
        <v>146</v>
      </c>
      <c r="B383" s="2" t="s">
        <v>2554</v>
      </c>
      <c r="C383" s="2"/>
      <c r="D383" s="2" t="s">
        <v>2555</v>
      </c>
      <c r="E383" s="2" t="s">
        <v>39</v>
      </c>
      <c r="F383" s="2"/>
      <c r="G383" s="2"/>
      <c r="H383" s="2"/>
      <c r="I383" s="3">
        <f t="shared" si="5"/>
        <v>83</v>
      </c>
    </row>
    <row r="384" spans="1:9" x14ac:dyDescent="0.3">
      <c r="A384" s="2" t="s">
        <v>146</v>
      </c>
      <c r="B384" s="2" t="s">
        <v>2556</v>
      </c>
      <c r="C384" s="2" t="s">
        <v>491</v>
      </c>
      <c r="D384" s="2" t="s">
        <v>2557</v>
      </c>
      <c r="E384" s="2" t="s">
        <v>39</v>
      </c>
      <c r="F384" s="2"/>
      <c r="G384" s="2"/>
      <c r="H384" s="2"/>
      <c r="I384" s="3">
        <f t="shared" si="5"/>
        <v>83</v>
      </c>
    </row>
    <row r="385" spans="1:9" x14ac:dyDescent="0.3">
      <c r="A385" s="2" t="s">
        <v>146</v>
      </c>
      <c r="B385" s="2" t="s">
        <v>2558</v>
      </c>
      <c r="C385" s="2"/>
      <c r="D385" s="2" t="s">
        <v>2559</v>
      </c>
      <c r="E385" s="2" t="s">
        <v>39</v>
      </c>
      <c r="F385" s="2"/>
      <c r="G385" s="2"/>
      <c r="H385" s="2"/>
      <c r="I385" s="3">
        <f t="shared" si="5"/>
        <v>83</v>
      </c>
    </row>
    <row r="386" spans="1:9" x14ac:dyDescent="0.3">
      <c r="A386" s="2" t="s">
        <v>146</v>
      </c>
      <c r="B386" s="2" t="s">
        <v>2562</v>
      </c>
      <c r="C386" s="2"/>
      <c r="D386" s="2" t="s">
        <v>2563</v>
      </c>
      <c r="E386" s="2" t="s">
        <v>39</v>
      </c>
      <c r="F386" s="2"/>
      <c r="G386" s="2"/>
      <c r="H386" s="2"/>
      <c r="I386" s="3">
        <f t="shared" ref="I386:I449" si="6">LEN(D386)</f>
        <v>83</v>
      </c>
    </row>
    <row r="387" spans="1:9" x14ac:dyDescent="0.3">
      <c r="A387" s="2" t="s">
        <v>146</v>
      </c>
      <c r="B387" s="2" t="s">
        <v>2584</v>
      </c>
      <c r="C387" s="2" t="s">
        <v>35</v>
      </c>
      <c r="D387" s="2" t="s">
        <v>2585</v>
      </c>
      <c r="E387" s="2" t="s">
        <v>39</v>
      </c>
      <c r="F387" s="2"/>
      <c r="G387" s="2"/>
      <c r="H387" s="2"/>
      <c r="I387" s="3">
        <f t="shared" si="6"/>
        <v>84</v>
      </c>
    </row>
    <row r="388" spans="1:9" ht="24" x14ac:dyDescent="0.3">
      <c r="A388" s="2" t="s">
        <v>146</v>
      </c>
      <c r="B388" s="2" t="s">
        <v>1759</v>
      </c>
      <c r="C388" s="2" t="s">
        <v>911</v>
      </c>
      <c r="D388" s="2" t="s">
        <v>2586</v>
      </c>
      <c r="E388" s="2" t="s">
        <v>39</v>
      </c>
      <c r="F388" s="2"/>
      <c r="G388" s="2"/>
      <c r="H388" s="2"/>
      <c r="I388" s="3">
        <f t="shared" si="6"/>
        <v>84</v>
      </c>
    </row>
    <row r="389" spans="1:9" x14ac:dyDescent="0.3">
      <c r="A389" s="2" t="s">
        <v>146</v>
      </c>
      <c r="B389" s="2" t="s">
        <v>1144</v>
      </c>
      <c r="C389" s="2" t="s">
        <v>911</v>
      </c>
      <c r="D389" s="2" t="s">
        <v>2590</v>
      </c>
      <c r="E389" s="2" t="s">
        <v>393</v>
      </c>
      <c r="F389" s="2"/>
      <c r="G389" s="2"/>
      <c r="H389" s="2"/>
      <c r="I389" s="3">
        <f t="shared" si="6"/>
        <v>84</v>
      </c>
    </row>
    <row r="390" spans="1:9" x14ac:dyDescent="0.3">
      <c r="A390" s="2" t="s">
        <v>146</v>
      </c>
      <c r="B390" s="2" t="s">
        <v>1732</v>
      </c>
      <c r="C390" s="2" t="s">
        <v>2060</v>
      </c>
      <c r="D390" s="2" t="s">
        <v>2594</v>
      </c>
      <c r="E390" s="2" t="s">
        <v>39</v>
      </c>
      <c r="F390" s="2"/>
      <c r="G390" s="2"/>
      <c r="H390" s="2"/>
      <c r="I390" s="3">
        <f t="shared" si="6"/>
        <v>84</v>
      </c>
    </row>
    <row r="391" spans="1:9" x14ac:dyDescent="0.3">
      <c r="A391" s="2" t="s">
        <v>146</v>
      </c>
      <c r="B391" s="2" t="s">
        <v>2605</v>
      </c>
      <c r="C391" s="2" t="s">
        <v>214</v>
      </c>
      <c r="D391" s="2" t="s">
        <v>2606</v>
      </c>
      <c r="E391" s="2" t="s">
        <v>39</v>
      </c>
      <c r="F391" s="2"/>
      <c r="G391" s="2"/>
      <c r="H391" s="2"/>
      <c r="I391" s="3">
        <f t="shared" si="6"/>
        <v>84</v>
      </c>
    </row>
    <row r="392" spans="1:9" x14ac:dyDescent="0.3">
      <c r="A392" s="2" t="s">
        <v>146</v>
      </c>
      <c r="B392" s="2" t="s">
        <v>1621</v>
      </c>
      <c r="C392" s="2" t="s">
        <v>148</v>
      </c>
      <c r="D392" s="2" t="s">
        <v>2607</v>
      </c>
      <c r="E392" s="2" t="s">
        <v>39</v>
      </c>
      <c r="F392" s="2"/>
      <c r="G392" s="2"/>
      <c r="H392" s="2"/>
      <c r="I392" s="3">
        <f t="shared" si="6"/>
        <v>84</v>
      </c>
    </row>
    <row r="393" spans="1:9" x14ac:dyDescent="0.3">
      <c r="A393" s="2" t="s">
        <v>146</v>
      </c>
      <c r="B393" s="2" t="s">
        <v>2608</v>
      </c>
      <c r="C393" s="2"/>
      <c r="D393" s="2" t="s">
        <v>2609</v>
      </c>
      <c r="E393" s="2" t="s">
        <v>39</v>
      </c>
      <c r="F393" s="2"/>
      <c r="G393" s="2"/>
      <c r="H393" s="2"/>
      <c r="I393" s="3">
        <f t="shared" si="6"/>
        <v>84</v>
      </c>
    </row>
    <row r="394" spans="1:9" x14ac:dyDescent="0.3">
      <c r="A394" s="2" t="s">
        <v>146</v>
      </c>
      <c r="B394" s="2" t="s">
        <v>748</v>
      </c>
      <c r="C394" s="2" t="s">
        <v>186</v>
      </c>
      <c r="D394" s="2" t="s">
        <v>2610</v>
      </c>
      <c r="E394" s="2" t="s">
        <v>39</v>
      </c>
      <c r="F394" s="2"/>
      <c r="G394" s="2"/>
      <c r="H394" s="2"/>
      <c r="I394" s="3">
        <f t="shared" si="6"/>
        <v>84</v>
      </c>
    </row>
    <row r="395" spans="1:9" x14ac:dyDescent="0.3">
      <c r="A395" s="2" t="s">
        <v>146</v>
      </c>
      <c r="B395" s="2" t="s">
        <v>2611</v>
      </c>
      <c r="C395" s="2" t="s">
        <v>515</v>
      </c>
      <c r="D395" s="2" t="s">
        <v>2612</v>
      </c>
      <c r="E395" s="2" t="s">
        <v>39</v>
      </c>
      <c r="F395" s="2"/>
      <c r="G395" s="2"/>
      <c r="H395" s="2"/>
      <c r="I395" s="3">
        <f t="shared" si="6"/>
        <v>84</v>
      </c>
    </row>
    <row r="396" spans="1:9" x14ac:dyDescent="0.3">
      <c r="A396" s="2" t="s">
        <v>146</v>
      </c>
      <c r="B396" s="2" t="s">
        <v>2615</v>
      </c>
      <c r="C396" s="2" t="s">
        <v>491</v>
      </c>
      <c r="D396" s="2" t="s">
        <v>2616</v>
      </c>
      <c r="E396" s="2" t="s">
        <v>39</v>
      </c>
      <c r="F396" s="2"/>
      <c r="G396" s="2"/>
      <c r="H396" s="2"/>
      <c r="I396" s="3">
        <f t="shared" si="6"/>
        <v>84</v>
      </c>
    </row>
    <row r="397" spans="1:9" x14ac:dyDescent="0.3">
      <c r="A397" s="2" t="s">
        <v>146</v>
      </c>
      <c r="B397" s="2" t="s">
        <v>2617</v>
      </c>
      <c r="C397" s="2" t="s">
        <v>491</v>
      </c>
      <c r="D397" s="2" t="s">
        <v>2618</v>
      </c>
      <c r="E397" s="2" t="s">
        <v>39</v>
      </c>
      <c r="F397" s="2"/>
      <c r="G397" s="2"/>
      <c r="H397" s="2"/>
      <c r="I397" s="3">
        <f t="shared" si="6"/>
        <v>84</v>
      </c>
    </row>
    <row r="398" spans="1:9" x14ac:dyDescent="0.3">
      <c r="A398" s="2" t="s">
        <v>146</v>
      </c>
      <c r="B398" s="2" t="s">
        <v>2619</v>
      </c>
      <c r="C398" s="2" t="s">
        <v>491</v>
      </c>
      <c r="D398" s="2" t="s">
        <v>2620</v>
      </c>
      <c r="E398" s="2" t="s">
        <v>39</v>
      </c>
      <c r="F398" s="2"/>
      <c r="G398" s="2"/>
      <c r="H398" s="2"/>
      <c r="I398" s="3">
        <f t="shared" si="6"/>
        <v>84</v>
      </c>
    </row>
    <row r="399" spans="1:9" x14ac:dyDescent="0.3">
      <c r="A399" s="2" t="s">
        <v>146</v>
      </c>
      <c r="B399" s="2" t="s">
        <v>2621</v>
      </c>
      <c r="C399" s="2" t="s">
        <v>491</v>
      </c>
      <c r="D399" s="2" t="s">
        <v>2622</v>
      </c>
      <c r="E399" s="2" t="s">
        <v>39</v>
      </c>
      <c r="F399" s="2"/>
      <c r="G399" s="2"/>
      <c r="H399" s="2"/>
      <c r="I399" s="3">
        <f t="shared" si="6"/>
        <v>84</v>
      </c>
    </row>
    <row r="400" spans="1:9" x14ac:dyDescent="0.3">
      <c r="A400" s="2" t="s">
        <v>146</v>
      </c>
      <c r="B400" s="2" t="s">
        <v>2623</v>
      </c>
      <c r="C400" s="2" t="s">
        <v>491</v>
      </c>
      <c r="D400" s="2" t="s">
        <v>2624</v>
      </c>
      <c r="E400" s="2" t="s">
        <v>39</v>
      </c>
      <c r="F400" s="2"/>
      <c r="G400" s="2"/>
      <c r="H400" s="2"/>
      <c r="I400" s="3">
        <f t="shared" si="6"/>
        <v>84</v>
      </c>
    </row>
    <row r="401" spans="1:9" x14ac:dyDescent="0.3">
      <c r="A401" s="2" t="s">
        <v>146</v>
      </c>
      <c r="B401" s="2" t="s">
        <v>2625</v>
      </c>
      <c r="C401" s="2" t="s">
        <v>491</v>
      </c>
      <c r="D401" s="2" t="s">
        <v>2626</v>
      </c>
      <c r="E401" s="2" t="s">
        <v>39</v>
      </c>
      <c r="F401" s="2"/>
      <c r="G401" s="2"/>
      <c r="H401" s="2"/>
      <c r="I401" s="3">
        <f t="shared" si="6"/>
        <v>84</v>
      </c>
    </row>
    <row r="402" spans="1:9" x14ac:dyDescent="0.3">
      <c r="A402" s="2" t="s">
        <v>146</v>
      </c>
      <c r="B402" s="2" t="s">
        <v>2627</v>
      </c>
      <c r="C402" s="2" t="s">
        <v>491</v>
      </c>
      <c r="D402" s="2" t="s">
        <v>2628</v>
      </c>
      <c r="E402" s="2" t="s">
        <v>39</v>
      </c>
      <c r="F402" s="2"/>
      <c r="G402" s="2"/>
      <c r="H402" s="2"/>
      <c r="I402" s="3">
        <f t="shared" si="6"/>
        <v>84</v>
      </c>
    </row>
    <row r="403" spans="1:9" x14ac:dyDescent="0.3">
      <c r="A403" s="2" t="s">
        <v>146</v>
      </c>
      <c r="B403" s="2" t="s">
        <v>1609</v>
      </c>
      <c r="C403" s="2" t="s">
        <v>437</v>
      </c>
      <c r="D403" s="2" t="s">
        <v>2629</v>
      </c>
      <c r="E403" s="2" t="s">
        <v>39</v>
      </c>
      <c r="F403" s="2"/>
      <c r="G403" s="2"/>
      <c r="H403" s="2"/>
      <c r="I403" s="3">
        <f t="shared" si="6"/>
        <v>84</v>
      </c>
    </row>
    <row r="404" spans="1:9" x14ac:dyDescent="0.3">
      <c r="A404" s="2" t="s">
        <v>146</v>
      </c>
      <c r="B404" s="2" t="s">
        <v>2284</v>
      </c>
      <c r="C404" s="2" t="s">
        <v>559</v>
      </c>
      <c r="D404" s="2" t="s">
        <v>2630</v>
      </c>
      <c r="E404" s="2" t="s">
        <v>39</v>
      </c>
      <c r="F404" s="2"/>
      <c r="G404" s="2"/>
      <c r="H404" s="2"/>
      <c r="I404" s="3">
        <f t="shared" si="6"/>
        <v>84</v>
      </c>
    </row>
    <row r="405" spans="1:9" x14ac:dyDescent="0.3">
      <c r="A405" s="2" t="s">
        <v>146</v>
      </c>
      <c r="B405" s="2" t="s">
        <v>2631</v>
      </c>
      <c r="C405" s="2"/>
      <c r="D405" s="2" t="s">
        <v>2632</v>
      </c>
      <c r="E405" s="2" t="s">
        <v>39</v>
      </c>
      <c r="F405" s="2"/>
      <c r="G405" s="2"/>
      <c r="H405" s="2"/>
      <c r="I405" s="3">
        <f t="shared" si="6"/>
        <v>84</v>
      </c>
    </row>
    <row r="406" spans="1:9" x14ac:dyDescent="0.3">
      <c r="A406" s="2" t="s">
        <v>146</v>
      </c>
      <c r="B406" s="2" t="s">
        <v>2637</v>
      </c>
      <c r="C406" s="2" t="s">
        <v>1354</v>
      </c>
      <c r="D406" s="2" t="s">
        <v>2638</v>
      </c>
      <c r="E406" s="2" t="s">
        <v>39</v>
      </c>
      <c r="F406" s="2"/>
      <c r="G406" s="2"/>
      <c r="H406" s="2" t="s">
        <v>194</v>
      </c>
      <c r="I406" s="3">
        <f t="shared" si="6"/>
        <v>84</v>
      </c>
    </row>
    <row r="407" spans="1:9" x14ac:dyDescent="0.3">
      <c r="A407" s="2" t="s">
        <v>146</v>
      </c>
      <c r="B407" s="2" t="s">
        <v>2639</v>
      </c>
      <c r="C407" s="2"/>
      <c r="D407" s="2" t="s">
        <v>2640</v>
      </c>
      <c r="E407" s="2" t="s">
        <v>39</v>
      </c>
      <c r="F407" s="2"/>
      <c r="G407" s="2"/>
      <c r="H407" s="2"/>
      <c r="I407" s="3">
        <f t="shared" si="6"/>
        <v>84</v>
      </c>
    </row>
    <row r="408" spans="1:9" x14ac:dyDescent="0.3">
      <c r="A408" s="2" t="s">
        <v>146</v>
      </c>
      <c r="B408" s="2" t="s">
        <v>2644</v>
      </c>
      <c r="C408" s="2"/>
      <c r="D408" s="2" t="s">
        <v>2645</v>
      </c>
      <c r="E408" s="2" t="s">
        <v>39</v>
      </c>
      <c r="F408" s="2"/>
      <c r="G408" s="2"/>
      <c r="H408" s="2" t="s">
        <v>646</v>
      </c>
      <c r="I408" s="3">
        <f t="shared" si="6"/>
        <v>84</v>
      </c>
    </row>
    <row r="409" spans="1:9" x14ac:dyDescent="0.3">
      <c r="A409" s="2" t="s">
        <v>146</v>
      </c>
      <c r="B409" s="2" t="s">
        <v>2646</v>
      </c>
      <c r="C409" s="2" t="s">
        <v>911</v>
      </c>
      <c r="D409" s="2" t="s">
        <v>2647</v>
      </c>
      <c r="E409" s="2" t="s">
        <v>1494</v>
      </c>
      <c r="F409" s="2"/>
      <c r="G409" s="2"/>
      <c r="H409" s="2"/>
      <c r="I409" s="3">
        <f t="shared" si="6"/>
        <v>85</v>
      </c>
    </row>
    <row r="410" spans="1:9" x14ac:dyDescent="0.3">
      <c r="A410" s="2" t="s">
        <v>146</v>
      </c>
      <c r="B410" s="2" t="s">
        <v>2656</v>
      </c>
      <c r="C410" s="2" t="s">
        <v>422</v>
      </c>
      <c r="D410" s="2" t="s">
        <v>2657</v>
      </c>
      <c r="E410" s="2" t="s">
        <v>39</v>
      </c>
      <c r="F410" s="2"/>
      <c r="G410" s="2"/>
      <c r="H410" s="2"/>
      <c r="I410" s="3">
        <f t="shared" si="6"/>
        <v>85</v>
      </c>
    </row>
    <row r="411" spans="1:9" x14ac:dyDescent="0.3">
      <c r="A411" s="2" t="s">
        <v>146</v>
      </c>
      <c r="B411" s="2" t="s">
        <v>2127</v>
      </c>
      <c r="C411" s="2" t="s">
        <v>1507</v>
      </c>
      <c r="D411" s="2" t="s">
        <v>2658</v>
      </c>
      <c r="E411" s="2"/>
      <c r="F411" s="2"/>
      <c r="G411" s="2"/>
      <c r="H411" s="2"/>
      <c r="I411" s="3">
        <f t="shared" si="6"/>
        <v>85</v>
      </c>
    </row>
    <row r="412" spans="1:9" x14ac:dyDescent="0.3">
      <c r="A412" s="2" t="s">
        <v>146</v>
      </c>
      <c r="B412" s="2" t="s">
        <v>2659</v>
      </c>
      <c r="C412" s="2" t="s">
        <v>491</v>
      </c>
      <c r="D412" s="2" t="s">
        <v>2660</v>
      </c>
      <c r="E412" s="2" t="s">
        <v>39</v>
      </c>
      <c r="F412" s="2"/>
      <c r="G412" s="2"/>
      <c r="H412" s="2"/>
      <c r="I412" s="3">
        <f t="shared" si="6"/>
        <v>85</v>
      </c>
    </row>
    <row r="413" spans="1:9" x14ac:dyDescent="0.3">
      <c r="A413" s="2" t="s">
        <v>146</v>
      </c>
      <c r="B413" s="2" t="s">
        <v>2661</v>
      </c>
      <c r="C413" s="2" t="s">
        <v>491</v>
      </c>
      <c r="D413" s="2" t="s">
        <v>2662</v>
      </c>
      <c r="E413" s="2" t="s">
        <v>39</v>
      </c>
      <c r="F413" s="2"/>
      <c r="G413" s="2"/>
      <c r="H413" s="2"/>
      <c r="I413" s="3">
        <f t="shared" si="6"/>
        <v>85</v>
      </c>
    </row>
    <row r="414" spans="1:9" x14ac:dyDescent="0.3">
      <c r="A414" s="2" t="s">
        <v>146</v>
      </c>
      <c r="B414" s="2" t="s">
        <v>2663</v>
      </c>
      <c r="C414" s="2" t="s">
        <v>491</v>
      </c>
      <c r="D414" s="2" t="s">
        <v>2664</v>
      </c>
      <c r="E414" s="2" t="s">
        <v>39</v>
      </c>
      <c r="F414" s="2"/>
      <c r="G414" s="2"/>
      <c r="H414" s="2"/>
      <c r="I414" s="3">
        <f t="shared" si="6"/>
        <v>85</v>
      </c>
    </row>
    <row r="415" spans="1:9" x14ac:dyDescent="0.3">
      <c r="A415" s="2" t="s">
        <v>146</v>
      </c>
      <c r="B415" s="2" t="s">
        <v>2665</v>
      </c>
      <c r="C415" s="2" t="s">
        <v>491</v>
      </c>
      <c r="D415" s="2" t="s">
        <v>2666</v>
      </c>
      <c r="E415" s="2" t="s">
        <v>39</v>
      </c>
      <c r="F415" s="2"/>
      <c r="G415" s="2"/>
      <c r="H415" s="2"/>
      <c r="I415" s="3">
        <f t="shared" si="6"/>
        <v>85</v>
      </c>
    </row>
    <row r="416" spans="1:9" x14ac:dyDescent="0.3">
      <c r="A416" s="2" t="s">
        <v>146</v>
      </c>
      <c r="B416" s="2" t="s">
        <v>2667</v>
      </c>
      <c r="C416" s="2" t="s">
        <v>491</v>
      </c>
      <c r="D416" s="2" t="s">
        <v>2668</v>
      </c>
      <c r="E416" s="2" t="s">
        <v>39</v>
      </c>
      <c r="F416" s="2"/>
      <c r="G416" s="2"/>
      <c r="H416" s="2"/>
      <c r="I416" s="3">
        <f t="shared" si="6"/>
        <v>85</v>
      </c>
    </row>
    <row r="417" spans="1:9" x14ac:dyDescent="0.3">
      <c r="A417" s="2" t="s">
        <v>146</v>
      </c>
      <c r="B417" s="2" t="s">
        <v>2669</v>
      </c>
      <c r="C417" s="2" t="s">
        <v>491</v>
      </c>
      <c r="D417" s="2" t="s">
        <v>2670</v>
      </c>
      <c r="E417" s="2" t="s">
        <v>39</v>
      </c>
      <c r="F417" s="2"/>
      <c r="G417" s="2"/>
      <c r="H417" s="2"/>
      <c r="I417" s="3">
        <f t="shared" si="6"/>
        <v>85</v>
      </c>
    </row>
    <row r="418" spans="1:9" x14ac:dyDescent="0.3">
      <c r="A418" s="2" t="s">
        <v>146</v>
      </c>
      <c r="B418" s="2" t="s">
        <v>2672</v>
      </c>
      <c r="C418" s="2"/>
      <c r="D418" s="2" t="s">
        <v>2673</v>
      </c>
      <c r="E418" s="2" t="s">
        <v>39</v>
      </c>
      <c r="F418" s="2"/>
      <c r="G418" s="2"/>
      <c r="H418" s="2"/>
      <c r="I418" s="3">
        <f t="shared" si="6"/>
        <v>85</v>
      </c>
    </row>
    <row r="419" spans="1:9" x14ac:dyDescent="0.3">
      <c r="A419" s="2" t="s">
        <v>146</v>
      </c>
      <c r="B419" s="2" t="s">
        <v>2674</v>
      </c>
      <c r="C419" s="2"/>
      <c r="D419" s="2" t="s">
        <v>9555</v>
      </c>
      <c r="E419" s="2" t="s">
        <v>39</v>
      </c>
      <c r="F419" s="2"/>
      <c r="G419" s="2"/>
      <c r="H419" s="2"/>
      <c r="I419" s="3">
        <f t="shared" si="6"/>
        <v>83</v>
      </c>
    </row>
    <row r="420" spans="1:9" x14ac:dyDescent="0.3">
      <c r="A420" s="2" t="s">
        <v>146</v>
      </c>
      <c r="B420" s="2" t="s">
        <v>2675</v>
      </c>
      <c r="C420" s="2" t="s">
        <v>1507</v>
      </c>
      <c r="D420" s="2" t="s">
        <v>2676</v>
      </c>
      <c r="E420" s="2" t="s">
        <v>239</v>
      </c>
      <c r="F420" s="2"/>
      <c r="G420" s="2"/>
      <c r="H420" s="2"/>
      <c r="I420" s="3">
        <f t="shared" si="6"/>
        <v>85</v>
      </c>
    </row>
    <row r="421" spans="1:9" x14ac:dyDescent="0.3">
      <c r="A421" s="2" t="s">
        <v>146</v>
      </c>
      <c r="B421" s="2" t="s">
        <v>2683</v>
      </c>
      <c r="C421" s="2" t="s">
        <v>491</v>
      </c>
      <c r="D421" s="2" t="s">
        <v>2684</v>
      </c>
      <c r="E421" s="2" t="s">
        <v>39</v>
      </c>
      <c r="F421" s="2"/>
      <c r="G421" s="2"/>
      <c r="H421" s="2"/>
      <c r="I421" s="3">
        <f t="shared" si="6"/>
        <v>85</v>
      </c>
    </row>
    <row r="422" spans="1:9" x14ac:dyDescent="0.3">
      <c r="A422" s="2" t="s">
        <v>146</v>
      </c>
      <c r="B422" s="2" t="s">
        <v>2378</v>
      </c>
      <c r="C422" s="2" t="s">
        <v>95</v>
      </c>
      <c r="D422" s="2" t="s">
        <v>2714</v>
      </c>
      <c r="E422" s="2" t="s">
        <v>39</v>
      </c>
      <c r="F422" s="2"/>
      <c r="G422" s="2"/>
      <c r="H422" s="2"/>
      <c r="I422" s="3">
        <f t="shared" si="6"/>
        <v>86</v>
      </c>
    </row>
    <row r="423" spans="1:9" x14ac:dyDescent="0.3">
      <c r="A423" s="2" t="s">
        <v>146</v>
      </c>
      <c r="B423" s="2" t="s">
        <v>2226</v>
      </c>
      <c r="C423" s="2" t="s">
        <v>95</v>
      </c>
      <c r="D423" s="2" t="s">
        <v>2715</v>
      </c>
      <c r="E423" s="2" t="s">
        <v>39</v>
      </c>
      <c r="F423" s="2"/>
      <c r="G423" s="2"/>
      <c r="H423" s="2"/>
      <c r="I423" s="3">
        <f t="shared" si="6"/>
        <v>86</v>
      </c>
    </row>
    <row r="424" spans="1:9" x14ac:dyDescent="0.3">
      <c r="A424" s="2" t="s">
        <v>146</v>
      </c>
      <c r="B424" s="2" t="s">
        <v>2733</v>
      </c>
      <c r="C424" s="2" t="s">
        <v>214</v>
      </c>
      <c r="D424" s="2" t="s">
        <v>2734</v>
      </c>
      <c r="E424" s="2" t="s">
        <v>39</v>
      </c>
      <c r="F424" s="2"/>
      <c r="G424" s="2"/>
      <c r="H424" s="2"/>
      <c r="I424" s="3">
        <f t="shared" si="6"/>
        <v>86</v>
      </c>
    </row>
    <row r="425" spans="1:9" x14ac:dyDescent="0.3">
      <c r="A425" s="2" t="s">
        <v>146</v>
      </c>
      <c r="B425" s="2" t="s">
        <v>1317</v>
      </c>
      <c r="C425" s="2"/>
      <c r="D425" s="2" t="s">
        <v>2735</v>
      </c>
      <c r="E425" s="2" t="s">
        <v>39</v>
      </c>
      <c r="F425" s="2"/>
      <c r="G425" s="2"/>
      <c r="H425" s="2"/>
      <c r="I425" s="3">
        <f t="shared" si="6"/>
        <v>86</v>
      </c>
    </row>
    <row r="426" spans="1:9" x14ac:dyDescent="0.3">
      <c r="A426" s="2" t="s">
        <v>146</v>
      </c>
      <c r="B426" s="2" t="s">
        <v>2736</v>
      </c>
      <c r="C426" s="2" t="s">
        <v>691</v>
      </c>
      <c r="D426" s="2" t="s">
        <v>2737</v>
      </c>
      <c r="E426" s="2" t="s">
        <v>39</v>
      </c>
      <c r="F426" s="2"/>
      <c r="G426" s="2"/>
      <c r="H426" s="2"/>
      <c r="I426" s="3">
        <f t="shared" si="6"/>
        <v>86</v>
      </c>
    </row>
    <row r="427" spans="1:9" x14ac:dyDescent="0.3">
      <c r="A427" s="2" t="s">
        <v>146</v>
      </c>
      <c r="B427" s="2" t="s">
        <v>2738</v>
      </c>
      <c r="C427" s="2"/>
      <c r="D427" s="2" t="s">
        <v>2739</v>
      </c>
      <c r="E427" s="2" t="s">
        <v>39</v>
      </c>
      <c r="F427" s="2"/>
      <c r="G427" s="2"/>
      <c r="H427" s="2"/>
      <c r="I427" s="3">
        <f t="shared" si="6"/>
        <v>86</v>
      </c>
    </row>
    <row r="428" spans="1:9" x14ac:dyDescent="0.3">
      <c r="A428" s="2" t="s">
        <v>146</v>
      </c>
      <c r="B428" s="2" t="s">
        <v>1156</v>
      </c>
      <c r="C428" s="2" t="s">
        <v>437</v>
      </c>
      <c r="D428" s="2" t="s">
        <v>2740</v>
      </c>
      <c r="E428" s="2" t="s">
        <v>39</v>
      </c>
      <c r="F428" s="2"/>
      <c r="G428" s="2"/>
      <c r="H428" s="2"/>
      <c r="I428" s="3">
        <f t="shared" si="6"/>
        <v>86</v>
      </c>
    </row>
    <row r="429" spans="1:9" x14ac:dyDescent="0.3">
      <c r="A429" s="2" t="s">
        <v>146</v>
      </c>
      <c r="B429" s="2" t="s">
        <v>2746</v>
      </c>
      <c r="C429" s="2" t="s">
        <v>332</v>
      </c>
      <c r="D429" s="2" t="s">
        <v>2747</v>
      </c>
      <c r="E429" s="2" t="s">
        <v>211</v>
      </c>
      <c r="F429" s="2"/>
      <c r="G429" s="2"/>
      <c r="H429" s="2"/>
      <c r="I429" s="3">
        <f t="shared" si="6"/>
        <v>86</v>
      </c>
    </row>
    <row r="430" spans="1:9" x14ac:dyDescent="0.3">
      <c r="A430" s="2" t="s">
        <v>146</v>
      </c>
      <c r="B430" s="2" t="s">
        <v>2748</v>
      </c>
      <c r="C430" s="2"/>
      <c r="D430" s="2" t="s">
        <v>2749</v>
      </c>
      <c r="E430" s="2" t="s">
        <v>39</v>
      </c>
      <c r="F430" s="2"/>
      <c r="G430" s="2"/>
      <c r="H430" s="2"/>
      <c r="I430" s="3">
        <f t="shared" si="6"/>
        <v>86</v>
      </c>
    </row>
    <row r="431" spans="1:9" x14ac:dyDescent="0.3">
      <c r="A431" s="2" t="s">
        <v>146</v>
      </c>
      <c r="B431" s="2" t="s">
        <v>2753</v>
      </c>
      <c r="C431" s="2" t="s">
        <v>1507</v>
      </c>
      <c r="D431" s="2" t="s">
        <v>2754</v>
      </c>
      <c r="E431" s="2" t="s">
        <v>39</v>
      </c>
      <c r="F431" s="2"/>
      <c r="G431" s="2"/>
      <c r="H431" s="2"/>
      <c r="I431" s="3">
        <f t="shared" si="6"/>
        <v>86</v>
      </c>
    </row>
    <row r="432" spans="1:9" x14ac:dyDescent="0.3">
      <c r="A432" s="2" t="s">
        <v>146</v>
      </c>
      <c r="B432" s="2" t="s">
        <v>2654</v>
      </c>
      <c r="C432" s="2" t="s">
        <v>911</v>
      </c>
      <c r="D432" s="2" t="s">
        <v>2764</v>
      </c>
      <c r="E432" s="2" t="s">
        <v>39</v>
      </c>
      <c r="F432" s="2"/>
      <c r="G432" s="2"/>
      <c r="H432" s="2"/>
      <c r="I432" s="3">
        <f t="shared" si="6"/>
        <v>87</v>
      </c>
    </row>
    <row r="433" spans="1:9" x14ac:dyDescent="0.3">
      <c r="A433" s="2" t="s">
        <v>146</v>
      </c>
      <c r="B433" s="2" t="s">
        <v>2768</v>
      </c>
      <c r="C433" s="2" t="s">
        <v>332</v>
      </c>
      <c r="D433" s="2" t="s">
        <v>2769</v>
      </c>
      <c r="E433" s="2" t="s">
        <v>39</v>
      </c>
      <c r="F433" s="2"/>
      <c r="G433" s="2"/>
      <c r="H433" s="2"/>
      <c r="I433" s="3">
        <f t="shared" si="6"/>
        <v>87</v>
      </c>
    </row>
    <row r="434" spans="1:9" x14ac:dyDescent="0.3">
      <c r="A434" s="2" t="s">
        <v>146</v>
      </c>
      <c r="B434" s="2" t="s">
        <v>2772</v>
      </c>
      <c r="C434" s="3" t="s">
        <v>911</v>
      </c>
      <c r="D434" s="2" t="s">
        <v>2773</v>
      </c>
      <c r="E434" s="2"/>
      <c r="F434" s="2"/>
      <c r="G434" s="2"/>
      <c r="H434" s="2"/>
      <c r="I434" s="3">
        <f t="shared" si="6"/>
        <v>87</v>
      </c>
    </row>
    <row r="435" spans="1:9" x14ac:dyDescent="0.3">
      <c r="A435" s="2" t="s">
        <v>146</v>
      </c>
      <c r="B435" s="2" t="s">
        <v>2776</v>
      </c>
      <c r="C435" s="2" t="s">
        <v>214</v>
      </c>
      <c r="D435" s="2" t="s">
        <v>2777</v>
      </c>
      <c r="E435" s="2" t="s">
        <v>39</v>
      </c>
      <c r="F435" s="2"/>
      <c r="G435" s="2"/>
      <c r="H435" s="2"/>
      <c r="I435" s="3">
        <f t="shared" si="6"/>
        <v>87</v>
      </c>
    </row>
    <row r="436" spans="1:9" x14ac:dyDescent="0.3">
      <c r="A436" s="2" t="s">
        <v>146</v>
      </c>
      <c r="B436" s="2" t="s">
        <v>2778</v>
      </c>
      <c r="C436" s="2"/>
      <c r="D436" s="2" t="s">
        <v>2779</v>
      </c>
      <c r="E436" s="2" t="s">
        <v>39</v>
      </c>
      <c r="F436" s="2"/>
      <c r="G436" s="2"/>
      <c r="H436" s="2"/>
      <c r="I436" s="3">
        <f t="shared" si="6"/>
        <v>87</v>
      </c>
    </row>
    <row r="437" spans="1:9" x14ac:dyDescent="0.3">
      <c r="A437" s="2" t="s">
        <v>146</v>
      </c>
      <c r="B437" s="2" t="s">
        <v>2780</v>
      </c>
      <c r="C437" s="2" t="s">
        <v>515</v>
      </c>
      <c r="D437" s="2" t="s">
        <v>2781</v>
      </c>
      <c r="E437" s="2" t="s">
        <v>39</v>
      </c>
      <c r="F437" s="2"/>
      <c r="G437" s="2"/>
      <c r="H437" s="2"/>
      <c r="I437" s="3">
        <f t="shared" si="6"/>
        <v>87</v>
      </c>
    </row>
    <row r="438" spans="1:9" x14ac:dyDescent="0.3">
      <c r="A438" s="2" t="s">
        <v>146</v>
      </c>
      <c r="B438" s="2" t="s">
        <v>2782</v>
      </c>
      <c r="C438" s="2"/>
      <c r="D438" s="2" t="s">
        <v>2783</v>
      </c>
      <c r="E438" s="2" t="s">
        <v>39</v>
      </c>
      <c r="F438" s="2"/>
      <c r="G438" s="2"/>
      <c r="H438" s="2"/>
      <c r="I438" s="3">
        <f t="shared" si="6"/>
        <v>87</v>
      </c>
    </row>
    <row r="439" spans="1:9" x14ac:dyDescent="0.3">
      <c r="A439" s="2" t="s">
        <v>146</v>
      </c>
      <c r="B439" s="2" t="s">
        <v>2784</v>
      </c>
      <c r="C439" s="2"/>
      <c r="D439" s="2" t="s">
        <v>2785</v>
      </c>
      <c r="E439" s="2" t="s">
        <v>39</v>
      </c>
      <c r="F439" s="2"/>
      <c r="G439" s="2"/>
      <c r="H439" s="2"/>
      <c r="I439" s="3">
        <f t="shared" si="6"/>
        <v>87</v>
      </c>
    </row>
    <row r="440" spans="1:9" x14ac:dyDescent="0.3">
      <c r="A440" s="2" t="s">
        <v>146</v>
      </c>
      <c r="B440" s="2" t="s">
        <v>1075</v>
      </c>
      <c r="C440" s="2" t="s">
        <v>491</v>
      </c>
      <c r="D440" s="2" t="s">
        <v>2786</v>
      </c>
      <c r="E440" s="2" t="s">
        <v>39</v>
      </c>
      <c r="F440" s="2"/>
      <c r="G440" s="2"/>
      <c r="H440" s="2"/>
      <c r="I440" s="3">
        <f t="shared" si="6"/>
        <v>87</v>
      </c>
    </row>
    <row r="441" spans="1:9" x14ac:dyDescent="0.3">
      <c r="A441" s="2" t="s">
        <v>146</v>
      </c>
      <c r="B441" s="2" t="s">
        <v>2787</v>
      </c>
      <c r="C441" s="2" t="s">
        <v>491</v>
      </c>
      <c r="D441" s="2" t="s">
        <v>2788</v>
      </c>
      <c r="E441" s="2" t="s">
        <v>39</v>
      </c>
      <c r="F441" s="2"/>
      <c r="G441" s="2"/>
      <c r="H441" s="2"/>
      <c r="I441" s="3">
        <f t="shared" si="6"/>
        <v>87</v>
      </c>
    </row>
    <row r="442" spans="1:9" x14ac:dyDescent="0.3">
      <c r="A442" s="2" t="s">
        <v>146</v>
      </c>
      <c r="B442" s="2" t="s">
        <v>2789</v>
      </c>
      <c r="C442" s="2" t="s">
        <v>491</v>
      </c>
      <c r="D442" s="2" t="s">
        <v>2790</v>
      </c>
      <c r="E442" s="2" t="s">
        <v>39</v>
      </c>
      <c r="F442" s="2"/>
      <c r="G442" s="2"/>
      <c r="H442" s="2"/>
      <c r="I442" s="3">
        <f t="shared" si="6"/>
        <v>87</v>
      </c>
    </row>
    <row r="443" spans="1:9" x14ac:dyDescent="0.3">
      <c r="A443" s="2" t="s">
        <v>146</v>
      </c>
      <c r="B443" s="2" t="s">
        <v>2793</v>
      </c>
      <c r="C443" s="2" t="s">
        <v>491</v>
      </c>
      <c r="D443" s="2" t="s">
        <v>2794</v>
      </c>
      <c r="E443" s="2" t="s">
        <v>39</v>
      </c>
      <c r="F443" s="2"/>
      <c r="G443" s="2"/>
      <c r="H443" s="2"/>
      <c r="I443" s="3">
        <f t="shared" si="6"/>
        <v>87</v>
      </c>
    </row>
    <row r="444" spans="1:9" x14ac:dyDescent="0.3">
      <c r="A444" s="2" t="s">
        <v>146</v>
      </c>
      <c r="B444" s="2" t="s">
        <v>147</v>
      </c>
      <c r="C444" s="2"/>
      <c r="D444" s="2" t="s">
        <v>2795</v>
      </c>
      <c r="E444" s="2" t="s">
        <v>39</v>
      </c>
      <c r="F444" s="2"/>
      <c r="G444" s="2"/>
      <c r="H444" s="2"/>
      <c r="I444" s="3">
        <f t="shared" si="6"/>
        <v>87</v>
      </c>
    </row>
    <row r="445" spans="1:9" x14ac:dyDescent="0.3">
      <c r="A445" s="2" t="s">
        <v>146</v>
      </c>
      <c r="B445" s="2" t="s">
        <v>1928</v>
      </c>
      <c r="C445" s="2" t="s">
        <v>544</v>
      </c>
      <c r="D445" s="2" t="s">
        <v>2798</v>
      </c>
      <c r="E445" s="2" t="s">
        <v>39</v>
      </c>
      <c r="F445" s="2"/>
      <c r="G445" s="2"/>
      <c r="H445" s="2"/>
      <c r="I445" s="3">
        <f t="shared" si="6"/>
        <v>87</v>
      </c>
    </row>
    <row r="446" spans="1:9" ht="24" x14ac:dyDescent="0.3">
      <c r="A446" s="2" t="s">
        <v>146</v>
      </c>
      <c r="B446" s="2" t="s">
        <v>2799</v>
      </c>
      <c r="C446" s="2" t="s">
        <v>144</v>
      </c>
      <c r="D446" s="2" t="s">
        <v>2800</v>
      </c>
      <c r="E446" s="2" t="s">
        <v>39</v>
      </c>
      <c r="F446" s="2"/>
      <c r="G446" s="2"/>
      <c r="H446" s="2"/>
      <c r="I446" s="3">
        <f t="shared" si="6"/>
        <v>87</v>
      </c>
    </row>
    <row r="447" spans="1:9" x14ac:dyDescent="0.3">
      <c r="A447" s="2" t="s">
        <v>146</v>
      </c>
      <c r="B447" s="2" t="s">
        <v>2801</v>
      </c>
      <c r="C447" s="2"/>
      <c r="D447" s="2" t="s">
        <v>2802</v>
      </c>
      <c r="E447" s="2" t="s">
        <v>39</v>
      </c>
      <c r="F447" s="2"/>
      <c r="G447" s="2"/>
      <c r="H447" s="2"/>
      <c r="I447" s="3">
        <f t="shared" si="6"/>
        <v>87</v>
      </c>
    </row>
    <row r="448" spans="1:9" x14ac:dyDescent="0.3">
      <c r="A448" s="2" t="s">
        <v>146</v>
      </c>
      <c r="B448" s="2" t="s">
        <v>1443</v>
      </c>
      <c r="C448" s="2" t="s">
        <v>437</v>
      </c>
      <c r="D448" s="2" t="s">
        <v>2807</v>
      </c>
      <c r="E448" s="2" t="s">
        <v>39</v>
      </c>
      <c r="F448" s="2"/>
      <c r="G448" s="2"/>
      <c r="H448" s="2"/>
      <c r="I448" s="3">
        <f t="shared" si="6"/>
        <v>87</v>
      </c>
    </row>
    <row r="449" spans="1:9" x14ac:dyDescent="0.3">
      <c r="A449" s="2" t="s">
        <v>146</v>
      </c>
      <c r="B449" s="2" t="s">
        <v>2835</v>
      </c>
      <c r="C449" s="2"/>
      <c r="D449" s="2" t="s">
        <v>2836</v>
      </c>
      <c r="E449" s="2" t="s">
        <v>39</v>
      </c>
      <c r="F449" s="2"/>
      <c r="G449" s="2"/>
      <c r="H449" s="2" t="s">
        <v>646</v>
      </c>
      <c r="I449" s="3">
        <f t="shared" si="6"/>
        <v>88</v>
      </c>
    </row>
    <row r="450" spans="1:9" x14ac:dyDescent="0.3">
      <c r="A450" s="2" t="s">
        <v>146</v>
      </c>
      <c r="B450" s="2" t="s">
        <v>2837</v>
      </c>
      <c r="C450" s="2" t="s">
        <v>214</v>
      </c>
      <c r="D450" s="2" t="s">
        <v>2838</v>
      </c>
      <c r="E450" s="2" t="s">
        <v>39</v>
      </c>
      <c r="F450" s="2"/>
      <c r="G450" s="2"/>
      <c r="H450" s="2"/>
      <c r="I450" s="3">
        <f t="shared" ref="I450:I513" si="7">LEN(D450)</f>
        <v>88</v>
      </c>
    </row>
    <row r="451" spans="1:9" x14ac:dyDescent="0.3">
      <c r="A451" s="2" t="s">
        <v>146</v>
      </c>
      <c r="B451" s="2" t="s">
        <v>2844</v>
      </c>
      <c r="C451" s="2" t="s">
        <v>491</v>
      </c>
      <c r="D451" s="2" t="s">
        <v>2845</v>
      </c>
      <c r="E451" s="2" t="s">
        <v>39</v>
      </c>
      <c r="F451" s="2"/>
      <c r="G451" s="2"/>
      <c r="H451" s="2"/>
      <c r="I451" s="3">
        <f t="shared" si="7"/>
        <v>88</v>
      </c>
    </row>
    <row r="452" spans="1:9" x14ac:dyDescent="0.3">
      <c r="A452" s="2" t="s">
        <v>146</v>
      </c>
      <c r="B452" s="2" t="s">
        <v>2846</v>
      </c>
      <c r="C452" s="2" t="s">
        <v>491</v>
      </c>
      <c r="D452" s="2" t="s">
        <v>2847</v>
      </c>
      <c r="E452" s="2" t="s">
        <v>39</v>
      </c>
      <c r="F452" s="2"/>
      <c r="G452" s="2"/>
      <c r="H452" s="2"/>
      <c r="I452" s="3">
        <f t="shared" si="7"/>
        <v>88</v>
      </c>
    </row>
    <row r="453" spans="1:9" x14ac:dyDescent="0.3">
      <c r="A453" s="2" t="s">
        <v>146</v>
      </c>
      <c r="B453" s="2" t="s">
        <v>2848</v>
      </c>
      <c r="C453" s="2" t="s">
        <v>437</v>
      </c>
      <c r="D453" s="2" t="s">
        <v>2849</v>
      </c>
      <c r="E453" s="2" t="s">
        <v>39</v>
      </c>
      <c r="F453" s="2"/>
      <c r="G453" s="2"/>
      <c r="H453" s="2"/>
      <c r="I453" s="3">
        <f t="shared" si="7"/>
        <v>88</v>
      </c>
    </row>
    <row r="454" spans="1:9" x14ac:dyDescent="0.3">
      <c r="A454" s="2" t="s">
        <v>146</v>
      </c>
      <c r="B454" s="2" t="s">
        <v>2856</v>
      </c>
      <c r="C454" s="2"/>
      <c r="D454" s="2" t="s">
        <v>2857</v>
      </c>
      <c r="E454" s="2" t="s">
        <v>393</v>
      </c>
      <c r="F454" s="2"/>
      <c r="G454" s="2"/>
      <c r="H454" s="2"/>
      <c r="I454" s="3">
        <f t="shared" si="7"/>
        <v>88</v>
      </c>
    </row>
    <row r="455" spans="1:9" x14ac:dyDescent="0.3">
      <c r="A455" s="2" t="s">
        <v>146</v>
      </c>
      <c r="B455" s="2" t="s">
        <v>2859</v>
      </c>
      <c r="C455" s="2" t="s">
        <v>480</v>
      </c>
      <c r="D455" s="2" t="s">
        <v>2860</v>
      </c>
      <c r="E455" s="2" t="s">
        <v>39</v>
      </c>
      <c r="F455" s="2"/>
      <c r="G455" s="2"/>
      <c r="H455" s="2"/>
      <c r="I455" s="3">
        <f t="shared" si="7"/>
        <v>88</v>
      </c>
    </row>
    <row r="456" spans="1:9" x14ac:dyDescent="0.3">
      <c r="A456" s="2" t="s">
        <v>146</v>
      </c>
      <c r="B456" s="2" t="s">
        <v>2870</v>
      </c>
      <c r="C456" s="2" t="s">
        <v>911</v>
      </c>
      <c r="D456" s="2" t="s">
        <v>2871</v>
      </c>
      <c r="E456" s="2" t="s">
        <v>39</v>
      </c>
      <c r="F456" s="2"/>
      <c r="G456" s="2"/>
      <c r="H456" s="2"/>
      <c r="I456" s="3">
        <f t="shared" si="7"/>
        <v>88</v>
      </c>
    </row>
    <row r="457" spans="1:9" x14ac:dyDescent="0.3">
      <c r="A457" s="2" t="s">
        <v>146</v>
      </c>
      <c r="B457" s="2" t="s">
        <v>2882</v>
      </c>
      <c r="C457" s="2" t="s">
        <v>214</v>
      </c>
      <c r="D457" s="2" t="s">
        <v>2883</v>
      </c>
      <c r="E457" s="2" t="s">
        <v>39</v>
      </c>
      <c r="F457" s="2"/>
      <c r="G457" s="2"/>
      <c r="H457" s="2"/>
      <c r="I457" s="3">
        <f t="shared" si="7"/>
        <v>89</v>
      </c>
    </row>
    <row r="458" spans="1:9" x14ac:dyDescent="0.3">
      <c r="A458" s="2" t="s">
        <v>146</v>
      </c>
      <c r="B458" s="2" t="s">
        <v>2884</v>
      </c>
      <c r="C458" s="2" t="s">
        <v>95</v>
      </c>
      <c r="D458" s="2" t="s">
        <v>2885</v>
      </c>
      <c r="E458" s="2" t="s">
        <v>39</v>
      </c>
      <c r="F458" s="2"/>
      <c r="G458" s="2"/>
      <c r="H458" s="2"/>
      <c r="I458" s="3">
        <f t="shared" si="7"/>
        <v>89</v>
      </c>
    </row>
    <row r="459" spans="1:9" x14ac:dyDescent="0.3">
      <c r="A459" s="2" t="s">
        <v>146</v>
      </c>
      <c r="B459" s="2" t="s">
        <v>2888</v>
      </c>
      <c r="C459" s="2"/>
      <c r="D459" s="2" t="s">
        <v>2889</v>
      </c>
      <c r="E459" s="2" t="s">
        <v>39</v>
      </c>
      <c r="F459" s="2"/>
      <c r="G459" s="2"/>
      <c r="H459" s="2"/>
      <c r="I459" s="3">
        <f t="shared" si="7"/>
        <v>89</v>
      </c>
    </row>
    <row r="460" spans="1:9" x14ac:dyDescent="0.3">
      <c r="A460" s="2" t="s">
        <v>146</v>
      </c>
      <c r="B460" s="2" t="s">
        <v>2892</v>
      </c>
      <c r="C460" s="2" t="s">
        <v>491</v>
      </c>
      <c r="D460" s="2" t="s">
        <v>2893</v>
      </c>
      <c r="E460" s="2" t="s">
        <v>39</v>
      </c>
      <c r="F460" s="2"/>
      <c r="G460" s="2"/>
      <c r="H460" s="2"/>
      <c r="I460" s="3">
        <f t="shared" si="7"/>
        <v>89</v>
      </c>
    </row>
    <row r="461" spans="1:9" x14ac:dyDescent="0.3">
      <c r="A461" s="2" t="s">
        <v>146</v>
      </c>
      <c r="B461" s="2" t="s">
        <v>2894</v>
      </c>
      <c r="C461" s="2" t="s">
        <v>491</v>
      </c>
      <c r="D461" s="2" t="s">
        <v>2895</v>
      </c>
      <c r="E461" s="2" t="s">
        <v>39</v>
      </c>
      <c r="F461" s="2"/>
      <c r="G461" s="2"/>
      <c r="H461" s="2" t="s">
        <v>646</v>
      </c>
      <c r="I461" s="3">
        <f t="shared" si="7"/>
        <v>89</v>
      </c>
    </row>
    <row r="462" spans="1:9" x14ac:dyDescent="0.3">
      <c r="A462" s="2" t="s">
        <v>146</v>
      </c>
      <c r="B462" s="2" t="s">
        <v>2896</v>
      </c>
      <c r="C462" s="2" t="s">
        <v>491</v>
      </c>
      <c r="D462" s="2" t="s">
        <v>2897</v>
      </c>
      <c r="E462" s="2" t="s">
        <v>39</v>
      </c>
      <c r="F462" s="2"/>
      <c r="G462" s="2"/>
      <c r="H462" s="2"/>
      <c r="I462" s="3">
        <f t="shared" si="7"/>
        <v>89</v>
      </c>
    </row>
    <row r="463" spans="1:9" x14ac:dyDescent="0.3">
      <c r="A463" s="2" t="s">
        <v>146</v>
      </c>
      <c r="B463" s="2" t="s">
        <v>2898</v>
      </c>
      <c r="C463" s="2" t="s">
        <v>437</v>
      </c>
      <c r="D463" s="2" t="s">
        <v>2899</v>
      </c>
      <c r="E463" s="2" t="s">
        <v>39</v>
      </c>
      <c r="F463" s="2"/>
      <c r="G463" s="2"/>
      <c r="H463" s="2"/>
      <c r="I463" s="3">
        <f t="shared" si="7"/>
        <v>89</v>
      </c>
    </row>
    <row r="464" spans="1:9" x14ac:dyDescent="0.3">
      <c r="A464" s="2" t="s">
        <v>146</v>
      </c>
      <c r="B464" s="2" t="s">
        <v>2900</v>
      </c>
      <c r="C464" s="2" t="s">
        <v>437</v>
      </c>
      <c r="D464" s="2" t="s">
        <v>2901</v>
      </c>
      <c r="E464" s="2" t="s">
        <v>39</v>
      </c>
      <c r="F464" s="2"/>
      <c r="G464" s="2"/>
      <c r="H464" s="2"/>
      <c r="I464" s="3">
        <f t="shared" si="7"/>
        <v>89</v>
      </c>
    </row>
    <row r="465" spans="1:9" x14ac:dyDescent="0.3">
      <c r="A465" s="2" t="s">
        <v>146</v>
      </c>
      <c r="B465" s="2" t="s">
        <v>2902</v>
      </c>
      <c r="C465" s="2" t="s">
        <v>332</v>
      </c>
      <c r="D465" s="2" t="s">
        <v>2903</v>
      </c>
      <c r="E465" s="2" t="s">
        <v>39</v>
      </c>
      <c r="F465" s="2"/>
      <c r="G465" s="2"/>
      <c r="H465" s="2"/>
      <c r="I465" s="3">
        <f t="shared" si="7"/>
        <v>89</v>
      </c>
    </row>
    <row r="466" spans="1:9" x14ac:dyDescent="0.3">
      <c r="A466" s="2" t="s">
        <v>146</v>
      </c>
      <c r="B466" s="2" t="s">
        <v>1156</v>
      </c>
      <c r="C466" s="2" t="s">
        <v>332</v>
      </c>
      <c r="D466" s="2" t="s">
        <v>2904</v>
      </c>
      <c r="E466" s="2" t="s">
        <v>39</v>
      </c>
      <c r="F466" s="2"/>
      <c r="G466" s="2"/>
      <c r="H466" s="2"/>
      <c r="I466" s="3">
        <f t="shared" si="7"/>
        <v>89</v>
      </c>
    </row>
    <row r="467" spans="1:9" x14ac:dyDescent="0.3">
      <c r="A467" s="2" t="s">
        <v>146</v>
      </c>
      <c r="B467" s="2" t="s">
        <v>2936</v>
      </c>
      <c r="C467" s="2" t="s">
        <v>95</v>
      </c>
      <c r="D467" s="2" t="s">
        <v>2937</v>
      </c>
      <c r="E467" s="2" t="s">
        <v>39</v>
      </c>
      <c r="F467" s="2"/>
      <c r="G467" s="2"/>
      <c r="H467" s="2"/>
      <c r="I467" s="3">
        <f t="shared" si="7"/>
        <v>90</v>
      </c>
    </row>
    <row r="468" spans="1:9" x14ac:dyDescent="0.3">
      <c r="A468" s="2" t="s">
        <v>146</v>
      </c>
      <c r="B468" s="2" t="s">
        <v>787</v>
      </c>
      <c r="C468" s="2" t="s">
        <v>788</v>
      </c>
      <c r="D468" s="2" t="s">
        <v>2943</v>
      </c>
      <c r="E468" s="2" t="s">
        <v>39</v>
      </c>
      <c r="F468" s="2"/>
      <c r="G468" s="2"/>
      <c r="H468" s="2"/>
      <c r="I468" s="3">
        <f t="shared" si="7"/>
        <v>90</v>
      </c>
    </row>
    <row r="469" spans="1:9" x14ac:dyDescent="0.3">
      <c r="A469" s="2" t="s">
        <v>146</v>
      </c>
      <c r="B469" s="2" t="s">
        <v>1305</v>
      </c>
      <c r="C469" s="2" t="s">
        <v>95</v>
      </c>
      <c r="D469" s="2" t="s">
        <v>2944</v>
      </c>
      <c r="E469" s="2" t="s">
        <v>39</v>
      </c>
      <c r="F469" s="2"/>
      <c r="G469" s="2"/>
      <c r="H469" s="2"/>
      <c r="I469" s="3">
        <f t="shared" si="7"/>
        <v>90</v>
      </c>
    </row>
    <row r="470" spans="1:9" x14ac:dyDescent="0.3">
      <c r="A470" s="2" t="s">
        <v>146</v>
      </c>
      <c r="B470" s="2" t="s">
        <v>2949</v>
      </c>
      <c r="C470" s="2"/>
      <c r="D470" s="2" t="s">
        <v>2950</v>
      </c>
      <c r="E470" s="2" t="s">
        <v>39</v>
      </c>
      <c r="F470" s="2"/>
      <c r="G470" s="2"/>
      <c r="H470" s="2"/>
      <c r="I470" s="3">
        <f t="shared" si="7"/>
        <v>90</v>
      </c>
    </row>
    <row r="471" spans="1:9" x14ac:dyDescent="0.3">
      <c r="A471" s="2" t="s">
        <v>146</v>
      </c>
      <c r="B471" s="2" t="s">
        <v>2837</v>
      </c>
      <c r="C471" s="2" t="s">
        <v>214</v>
      </c>
      <c r="D471" s="2" t="s">
        <v>2951</v>
      </c>
      <c r="E471" s="2" t="s">
        <v>39</v>
      </c>
      <c r="F471" s="2"/>
      <c r="G471" s="2"/>
      <c r="H471" s="2"/>
      <c r="I471" s="3">
        <f t="shared" si="7"/>
        <v>90</v>
      </c>
    </row>
    <row r="472" spans="1:9" x14ac:dyDescent="0.3">
      <c r="A472" s="2" t="s">
        <v>146</v>
      </c>
      <c r="B472" s="2" t="s">
        <v>2952</v>
      </c>
      <c r="C472" s="2" t="s">
        <v>95</v>
      </c>
      <c r="D472" s="2" t="s">
        <v>2953</v>
      </c>
      <c r="E472" s="2" t="s">
        <v>39</v>
      </c>
      <c r="F472" s="2"/>
      <c r="G472" s="2"/>
      <c r="H472" s="2"/>
      <c r="I472" s="3">
        <f t="shared" si="7"/>
        <v>90</v>
      </c>
    </row>
    <row r="473" spans="1:9" x14ac:dyDescent="0.3">
      <c r="A473" s="2" t="s">
        <v>146</v>
      </c>
      <c r="B473" s="2" t="s">
        <v>2957</v>
      </c>
      <c r="C473" s="2"/>
      <c r="D473" s="2" t="s">
        <v>2958</v>
      </c>
      <c r="E473" s="2" t="s">
        <v>39</v>
      </c>
      <c r="F473" s="2"/>
      <c r="G473" s="2"/>
      <c r="H473" s="2"/>
      <c r="I473" s="3">
        <f t="shared" si="7"/>
        <v>90</v>
      </c>
    </row>
    <row r="474" spans="1:9" x14ac:dyDescent="0.3">
      <c r="A474" s="2" t="s">
        <v>146</v>
      </c>
      <c r="B474" s="2" t="s">
        <v>2961</v>
      </c>
      <c r="C474" s="2" t="s">
        <v>491</v>
      </c>
      <c r="D474" s="2" t="s">
        <v>2962</v>
      </c>
      <c r="E474" s="2" t="s">
        <v>39</v>
      </c>
      <c r="F474" s="2"/>
      <c r="G474" s="2"/>
      <c r="H474" s="2"/>
      <c r="I474" s="3">
        <f t="shared" si="7"/>
        <v>90</v>
      </c>
    </row>
    <row r="475" spans="1:9" x14ac:dyDescent="0.3">
      <c r="A475" s="2" t="s">
        <v>146</v>
      </c>
      <c r="B475" s="2" t="s">
        <v>2963</v>
      </c>
      <c r="C475" s="2" t="s">
        <v>491</v>
      </c>
      <c r="D475" s="2" t="s">
        <v>2964</v>
      </c>
      <c r="E475" s="2" t="s">
        <v>39</v>
      </c>
      <c r="F475" s="2"/>
      <c r="G475" s="2"/>
      <c r="H475" s="2"/>
      <c r="I475" s="3">
        <f t="shared" si="7"/>
        <v>90</v>
      </c>
    </row>
    <row r="476" spans="1:9" x14ac:dyDescent="0.3">
      <c r="A476" s="2" t="s">
        <v>146</v>
      </c>
      <c r="B476" s="2" t="s">
        <v>2973</v>
      </c>
      <c r="C476" s="2"/>
      <c r="D476" s="2" t="s">
        <v>2974</v>
      </c>
      <c r="E476" s="2"/>
      <c r="F476" s="2"/>
      <c r="G476" s="2"/>
      <c r="H476" s="2"/>
      <c r="I476" s="3">
        <f t="shared" si="7"/>
        <v>90</v>
      </c>
    </row>
    <row r="477" spans="1:9" x14ac:dyDescent="0.3">
      <c r="A477" s="2" t="s">
        <v>146</v>
      </c>
      <c r="B477" s="2" t="s">
        <v>2978</v>
      </c>
      <c r="C477" s="2" t="s">
        <v>590</v>
      </c>
      <c r="D477" s="2" t="s">
        <v>2979</v>
      </c>
      <c r="E477" s="2" t="s">
        <v>39</v>
      </c>
      <c r="F477" s="2"/>
      <c r="G477" s="2"/>
      <c r="H477" s="2"/>
      <c r="I477" s="3">
        <f t="shared" si="7"/>
        <v>90</v>
      </c>
    </row>
    <row r="478" spans="1:9" ht="24" x14ac:dyDescent="0.3">
      <c r="A478" s="2" t="s">
        <v>146</v>
      </c>
      <c r="B478" s="2" t="s">
        <v>2980</v>
      </c>
      <c r="C478" s="2"/>
      <c r="D478" s="2" t="s">
        <v>2981</v>
      </c>
      <c r="E478" s="2" t="s">
        <v>39</v>
      </c>
      <c r="F478" s="2"/>
      <c r="G478" s="2"/>
      <c r="H478" s="2"/>
      <c r="I478" s="3">
        <f t="shared" si="7"/>
        <v>90</v>
      </c>
    </row>
    <row r="479" spans="1:9" x14ac:dyDescent="0.3">
      <c r="A479" s="2" t="s">
        <v>146</v>
      </c>
      <c r="B479" s="2" t="s">
        <v>2993</v>
      </c>
      <c r="C479" s="2"/>
      <c r="D479" s="2" t="s">
        <v>2994</v>
      </c>
      <c r="E479" s="2"/>
      <c r="F479" s="2"/>
      <c r="G479" s="2"/>
      <c r="H479" s="2"/>
      <c r="I479" s="3">
        <f t="shared" si="7"/>
        <v>91</v>
      </c>
    </row>
    <row r="480" spans="1:9" x14ac:dyDescent="0.3">
      <c r="A480" s="2" t="s">
        <v>146</v>
      </c>
      <c r="B480" s="2" t="s">
        <v>2997</v>
      </c>
      <c r="C480" s="2" t="s">
        <v>214</v>
      </c>
      <c r="D480" s="2" t="s">
        <v>2998</v>
      </c>
      <c r="E480" s="2" t="s">
        <v>39</v>
      </c>
      <c r="F480" s="2"/>
      <c r="G480" s="2"/>
      <c r="H480" s="2"/>
      <c r="I480" s="3">
        <f t="shared" si="7"/>
        <v>91</v>
      </c>
    </row>
    <row r="481" spans="1:9" x14ac:dyDescent="0.3">
      <c r="A481" s="2" t="s">
        <v>146</v>
      </c>
      <c r="B481" s="2" t="s">
        <v>2999</v>
      </c>
      <c r="C481" s="2"/>
      <c r="D481" s="2" t="s">
        <v>3000</v>
      </c>
      <c r="E481" s="2" t="s">
        <v>39</v>
      </c>
      <c r="F481" s="2"/>
      <c r="G481" s="2"/>
      <c r="H481" s="2"/>
      <c r="I481" s="3">
        <f t="shared" si="7"/>
        <v>91</v>
      </c>
    </row>
    <row r="482" spans="1:9" x14ac:dyDescent="0.3">
      <c r="A482" s="2" t="s">
        <v>146</v>
      </c>
      <c r="B482" s="2" t="s">
        <v>3003</v>
      </c>
      <c r="C482" s="2"/>
      <c r="D482" s="2" t="s">
        <v>3004</v>
      </c>
      <c r="E482" s="2" t="s">
        <v>39</v>
      </c>
      <c r="F482" s="2"/>
      <c r="G482" s="2"/>
      <c r="H482" s="2"/>
      <c r="I482" s="3">
        <f t="shared" si="7"/>
        <v>91</v>
      </c>
    </row>
    <row r="483" spans="1:9" x14ac:dyDescent="0.3">
      <c r="A483" s="2" t="s">
        <v>146</v>
      </c>
      <c r="B483" s="2" t="s">
        <v>3005</v>
      </c>
      <c r="C483" s="2" t="s">
        <v>590</v>
      </c>
      <c r="D483" s="2" t="s">
        <v>3006</v>
      </c>
      <c r="E483" s="2" t="s">
        <v>39</v>
      </c>
      <c r="F483" s="2"/>
      <c r="G483" s="2"/>
      <c r="H483" s="2"/>
      <c r="I483" s="3">
        <f t="shared" si="7"/>
        <v>91</v>
      </c>
    </row>
    <row r="484" spans="1:9" x14ac:dyDescent="0.3">
      <c r="A484" s="2" t="s">
        <v>146</v>
      </c>
      <c r="B484" s="2" t="s">
        <v>3009</v>
      </c>
      <c r="C484" s="2" t="s">
        <v>491</v>
      </c>
      <c r="D484" s="2" t="s">
        <v>3010</v>
      </c>
      <c r="E484" s="2" t="s">
        <v>39</v>
      </c>
      <c r="F484" s="2"/>
      <c r="G484" s="2"/>
      <c r="H484" s="2"/>
      <c r="I484" s="3">
        <f t="shared" si="7"/>
        <v>91</v>
      </c>
    </row>
    <row r="485" spans="1:9" x14ac:dyDescent="0.3">
      <c r="A485" s="2" t="s">
        <v>146</v>
      </c>
      <c r="B485" s="2" t="s">
        <v>3011</v>
      </c>
      <c r="C485" s="2" t="s">
        <v>491</v>
      </c>
      <c r="D485" s="2" t="s">
        <v>3012</v>
      </c>
      <c r="E485" s="2" t="s">
        <v>39</v>
      </c>
      <c r="F485" s="2"/>
      <c r="G485" s="2"/>
      <c r="H485" s="2"/>
      <c r="I485" s="3">
        <f t="shared" si="7"/>
        <v>91</v>
      </c>
    </row>
    <row r="486" spans="1:9" x14ac:dyDescent="0.3">
      <c r="A486" s="2" t="s">
        <v>146</v>
      </c>
      <c r="B486" s="2" t="s">
        <v>3013</v>
      </c>
      <c r="C486" s="2" t="s">
        <v>332</v>
      </c>
      <c r="D486" s="2" t="s">
        <v>3014</v>
      </c>
      <c r="E486" s="2" t="s">
        <v>393</v>
      </c>
      <c r="F486" s="2"/>
      <c r="G486" s="2"/>
      <c r="H486" s="2"/>
      <c r="I486" s="3">
        <f t="shared" si="7"/>
        <v>91</v>
      </c>
    </row>
    <row r="487" spans="1:9" x14ac:dyDescent="0.3">
      <c r="A487" s="2" t="s">
        <v>146</v>
      </c>
      <c r="B487" s="2" t="s">
        <v>3024</v>
      </c>
      <c r="C487" s="2" t="s">
        <v>911</v>
      </c>
      <c r="D487" s="2" t="s">
        <v>3025</v>
      </c>
      <c r="E487" s="2" t="s">
        <v>2830</v>
      </c>
      <c r="F487" s="2"/>
      <c r="G487" s="2"/>
      <c r="H487" s="2"/>
      <c r="I487" s="3">
        <f t="shared" si="7"/>
        <v>91</v>
      </c>
    </row>
    <row r="488" spans="1:9" ht="24" x14ac:dyDescent="0.3">
      <c r="A488" s="2" t="s">
        <v>146</v>
      </c>
      <c r="B488" s="2" t="s">
        <v>1759</v>
      </c>
      <c r="C488" s="2" t="s">
        <v>911</v>
      </c>
      <c r="D488" s="2" t="s">
        <v>3029</v>
      </c>
      <c r="E488" s="2" t="s">
        <v>39</v>
      </c>
      <c r="F488" s="2"/>
      <c r="G488" s="2"/>
      <c r="H488" s="2"/>
      <c r="I488" s="3">
        <f t="shared" si="7"/>
        <v>92</v>
      </c>
    </row>
    <row r="489" spans="1:9" x14ac:dyDescent="0.3">
      <c r="A489" s="2" t="s">
        <v>146</v>
      </c>
      <c r="B489" s="2" t="s">
        <v>3030</v>
      </c>
      <c r="C489" s="2"/>
      <c r="D489" s="2" t="s">
        <v>3031</v>
      </c>
      <c r="E489" s="2" t="s">
        <v>39</v>
      </c>
      <c r="F489" s="2"/>
      <c r="G489" s="2"/>
      <c r="H489" s="2"/>
      <c r="I489" s="3">
        <f t="shared" si="7"/>
        <v>92</v>
      </c>
    </row>
    <row r="490" spans="1:9" x14ac:dyDescent="0.3">
      <c r="A490" s="2" t="s">
        <v>146</v>
      </c>
      <c r="B490" s="2" t="s">
        <v>3034</v>
      </c>
      <c r="C490" s="2" t="s">
        <v>437</v>
      </c>
      <c r="D490" s="2" t="s">
        <v>3035</v>
      </c>
      <c r="E490" s="2" t="s">
        <v>3036</v>
      </c>
      <c r="F490" s="2"/>
      <c r="G490" s="2"/>
      <c r="H490" s="2"/>
      <c r="I490" s="3">
        <f t="shared" si="7"/>
        <v>92</v>
      </c>
    </row>
    <row r="491" spans="1:9" x14ac:dyDescent="0.3">
      <c r="A491" s="2" t="s">
        <v>146</v>
      </c>
      <c r="B491" s="2" t="s">
        <v>3037</v>
      </c>
      <c r="C491" s="2" t="s">
        <v>214</v>
      </c>
      <c r="D491" s="2" t="s">
        <v>3038</v>
      </c>
      <c r="E491" s="2" t="s">
        <v>39</v>
      </c>
      <c r="F491" s="2"/>
      <c r="G491" s="2"/>
      <c r="H491" s="2"/>
      <c r="I491" s="3">
        <f t="shared" si="7"/>
        <v>92</v>
      </c>
    </row>
    <row r="492" spans="1:9" x14ac:dyDescent="0.3">
      <c r="A492" s="2" t="s">
        <v>146</v>
      </c>
      <c r="B492" s="2" t="s">
        <v>2936</v>
      </c>
      <c r="C492" s="2" t="s">
        <v>95</v>
      </c>
      <c r="D492" s="2" t="s">
        <v>3041</v>
      </c>
      <c r="E492" s="2" t="s">
        <v>39</v>
      </c>
      <c r="F492" s="2"/>
      <c r="G492" s="2"/>
      <c r="H492" s="2"/>
      <c r="I492" s="3">
        <f t="shared" si="7"/>
        <v>92</v>
      </c>
    </row>
    <row r="493" spans="1:9" x14ac:dyDescent="0.3">
      <c r="A493" s="2" t="s">
        <v>146</v>
      </c>
      <c r="B493" s="2" t="s">
        <v>403</v>
      </c>
      <c r="C493" s="2" t="s">
        <v>95</v>
      </c>
      <c r="D493" s="2" t="s">
        <v>3042</v>
      </c>
      <c r="E493" s="2" t="s">
        <v>39</v>
      </c>
      <c r="F493" s="2"/>
      <c r="G493" s="2"/>
      <c r="H493" s="2"/>
      <c r="I493" s="3">
        <f t="shared" si="7"/>
        <v>92</v>
      </c>
    </row>
    <row r="494" spans="1:9" x14ac:dyDescent="0.3">
      <c r="A494" s="2" t="s">
        <v>146</v>
      </c>
      <c r="B494" s="2" t="s">
        <v>3045</v>
      </c>
      <c r="C494" s="2" t="s">
        <v>491</v>
      </c>
      <c r="D494" s="2" t="s">
        <v>3046</v>
      </c>
      <c r="E494" s="2" t="s">
        <v>39</v>
      </c>
      <c r="F494" s="2"/>
      <c r="G494" s="2"/>
      <c r="H494" s="2"/>
      <c r="I494" s="3">
        <f t="shared" si="7"/>
        <v>92</v>
      </c>
    </row>
    <row r="495" spans="1:9" x14ac:dyDescent="0.3">
      <c r="A495" s="2" t="s">
        <v>146</v>
      </c>
      <c r="B495" s="2" t="s">
        <v>3047</v>
      </c>
      <c r="C495" s="2" t="s">
        <v>491</v>
      </c>
      <c r="D495" s="2" t="s">
        <v>3048</v>
      </c>
      <c r="E495" s="2" t="s">
        <v>39</v>
      </c>
      <c r="F495" s="2"/>
      <c r="G495" s="2"/>
      <c r="H495" s="2"/>
      <c r="I495" s="3">
        <f t="shared" si="7"/>
        <v>92</v>
      </c>
    </row>
    <row r="496" spans="1:9" x14ac:dyDescent="0.3">
      <c r="A496" s="2" t="s">
        <v>146</v>
      </c>
      <c r="B496" s="2" t="s">
        <v>3049</v>
      </c>
      <c r="C496" s="2" t="s">
        <v>491</v>
      </c>
      <c r="D496" s="2" t="s">
        <v>3050</v>
      </c>
      <c r="E496" s="2" t="s">
        <v>39</v>
      </c>
      <c r="F496" s="2"/>
      <c r="G496" s="2"/>
      <c r="H496" s="2"/>
      <c r="I496" s="3">
        <f t="shared" si="7"/>
        <v>92</v>
      </c>
    </row>
    <row r="497" spans="1:9" x14ac:dyDescent="0.3">
      <c r="A497" s="2" t="s">
        <v>146</v>
      </c>
      <c r="B497" s="2" t="s">
        <v>3051</v>
      </c>
      <c r="C497" s="2"/>
      <c r="D497" s="2" t="s">
        <v>3052</v>
      </c>
      <c r="E497" s="2" t="s">
        <v>39</v>
      </c>
      <c r="F497" s="2"/>
      <c r="G497" s="2"/>
      <c r="H497" s="2"/>
      <c r="I497" s="3">
        <f t="shared" si="7"/>
        <v>92</v>
      </c>
    </row>
    <row r="498" spans="1:9" x14ac:dyDescent="0.3">
      <c r="A498" s="2" t="s">
        <v>146</v>
      </c>
      <c r="B498" s="2" t="s">
        <v>3067</v>
      </c>
      <c r="C498" s="2" t="s">
        <v>491</v>
      </c>
      <c r="D498" s="2" t="s">
        <v>3068</v>
      </c>
      <c r="E498" s="2" t="s">
        <v>39</v>
      </c>
      <c r="F498" s="2"/>
      <c r="G498" s="2"/>
      <c r="H498" s="2"/>
      <c r="I498" s="3">
        <f t="shared" si="7"/>
        <v>92</v>
      </c>
    </row>
    <row r="499" spans="1:9" x14ac:dyDescent="0.3">
      <c r="A499" s="2" t="s">
        <v>146</v>
      </c>
      <c r="B499" s="2" t="s">
        <v>3083</v>
      </c>
      <c r="C499" s="2" t="s">
        <v>95</v>
      </c>
      <c r="D499" s="2" t="s">
        <v>3084</v>
      </c>
      <c r="E499" s="2" t="s">
        <v>39</v>
      </c>
      <c r="F499" s="2"/>
      <c r="G499" s="2"/>
      <c r="H499" s="2"/>
      <c r="I499" s="3">
        <f t="shared" si="7"/>
        <v>93</v>
      </c>
    </row>
    <row r="500" spans="1:9" x14ac:dyDescent="0.3">
      <c r="A500" s="2" t="s">
        <v>146</v>
      </c>
      <c r="B500" s="2" t="s">
        <v>3087</v>
      </c>
      <c r="C500" s="2" t="s">
        <v>240</v>
      </c>
      <c r="D500" s="2" t="s">
        <v>3088</v>
      </c>
      <c r="E500" s="2" t="s">
        <v>39</v>
      </c>
      <c r="F500" s="2"/>
      <c r="G500" s="2"/>
      <c r="H500" s="2"/>
      <c r="I500" s="3">
        <f t="shared" si="7"/>
        <v>93</v>
      </c>
    </row>
    <row r="501" spans="1:9" x14ac:dyDescent="0.3">
      <c r="A501" s="2" t="s">
        <v>146</v>
      </c>
      <c r="B501" s="2" t="s">
        <v>1556</v>
      </c>
      <c r="C501" s="2"/>
      <c r="D501" s="2" t="s">
        <v>3091</v>
      </c>
      <c r="E501" s="2" t="s">
        <v>39</v>
      </c>
      <c r="F501" s="2"/>
      <c r="G501" s="2"/>
      <c r="H501" s="2"/>
      <c r="I501" s="3">
        <f t="shared" si="7"/>
        <v>93</v>
      </c>
    </row>
    <row r="502" spans="1:9" x14ac:dyDescent="0.3">
      <c r="A502" s="2" t="s">
        <v>146</v>
      </c>
      <c r="B502" s="2" t="s">
        <v>3107</v>
      </c>
      <c r="C502" s="2"/>
      <c r="D502" s="2" t="s">
        <v>3108</v>
      </c>
      <c r="E502" s="2" t="s">
        <v>39</v>
      </c>
      <c r="F502" s="2"/>
      <c r="G502" s="2"/>
      <c r="H502" s="2"/>
      <c r="I502" s="3">
        <f t="shared" si="7"/>
        <v>93</v>
      </c>
    </row>
    <row r="503" spans="1:9" x14ac:dyDescent="0.3">
      <c r="A503" s="2" t="s">
        <v>146</v>
      </c>
      <c r="B503" s="2" t="s">
        <v>1910</v>
      </c>
      <c r="C503" s="2" t="s">
        <v>95</v>
      </c>
      <c r="D503" s="2" t="s">
        <v>3109</v>
      </c>
      <c r="E503" s="2" t="s">
        <v>39</v>
      </c>
      <c r="F503" s="2"/>
      <c r="G503" s="2"/>
      <c r="H503" s="2"/>
      <c r="I503" s="3">
        <f t="shared" si="7"/>
        <v>93</v>
      </c>
    </row>
    <row r="504" spans="1:9" x14ac:dyDescent="0.3">
      <c r="A504" s="2" t="s">
        <v>146</v>
      </c>
      <c r="B504" s="2" t="s">
        <v>3110</v>
      </c>
      <c r="C504" s="2" t="s">
        <v>3111</v>
      </c>
      <c r="D504" s="2" t="s">
        <v>3112</v>
      </c>
      <c r="E504" s="2" t="s">
        <v>39</v>
      </c>
      <c r="F504" s="2"/>
      <c r="G504" s="2"/>
      <c r="H504" s="2"/>
      <c r="I504" s="3">
        <f t="shared" si="7"/>
        <v>93</v>
      </c>
    </row>
    <row r="505" spans="1:9" x14ac:dyDescent="0.3">
      <c r="A505" s="2" t="s">
        <v>146</v>
      </c>
      <c r="B505" s="2" t="s">
        <v>3117</v>
      </c>
      <c r="C505" s="2" t="s">
        <v>389</v>
      </c>
      <c r="D505" s="2" t="s">
        <v>3118</v>
      </c>
      <c r="E505" s="2"/>
      <c r="F505" s="2"/>
      <c r="G505" s="2"/>
      <c r="H505" s="2"/>
      <c r="I505" s="3">
        <f t="shared" si="7"/>
        <v>94</v>
      </c>
    </row>
    <row r="506" spans="1:9" x14ac:dyDescent="0.3">
      <c r="A506" s="2" t="s">
        <v>146</v>
      </c>
      <c r="B506" s="2" t="s">
        <v>851</v>
      </c>
      <c r="C506" s="2" t="s">
        <v>95</v>
      </c>
      <c r="D506" s="2" t="s">
        <v>3129</v>
      </c>
      <c r="E506" s="2" t="s">
        <v>39</v>
      </c>
      <c r="F506" s="2"/>
      <c r="G506" s="2"/>
      <c r="H506" s="2"/>
      <c r="I506" s="3">
        <f t="shared" si="7"/>
        <v>94</v>
      </c>
    </row>
    <row r="507" spans="1:9" x14ac:dyDescent="0.3">
      <c r="A507" s="2" t="s">
        <v>146</v>
      </c>
      <c r="B507" s="2" t="s">
        <v>3130</v>
      </c>
      <c r="C507" s="2"/>
      <c r="D507" s="2" t="s">
        <v>3131</v>
      </c>
      <c r="E507" s="2" t="s">
        <v>39</v>
      </c>
      <c r="F507" s="2"/>
      <c r="G507" s="2"/>
      <c r="H507" s="2"/>
      <c r="I507" s="3">
        <f t="shared" si="7"/>
        <v>94</v>
      </c>
    </row>
    <row r="508" spans="1:9" x14ac:dyDescent="0.3">
      <c r="A508" s="2" t="s">
        <v>146</v>
      </c>
      <c r="B508" s="2" t="s">
        <v>3134</v>
      </c>
      <c r="C508" s="2" t="s">
        <v>95</v>
      </c>
      <c r="D508" s="2" t="s">
        <v>3135</v>
      </c>
      <c r="E508" s="2" t="s">
        <v>39</v>
      </c>
      <c r="F508" s="2"/>
      <c r="G508" s="2"/>
      <c r="H508" s="2"/>
      <c r="I508" s="3">
        <f t="shared" si="7"/>
        <v>94</v>
      </c>
    </row>
    <row r="509" spans="1:9" x14ac:dyDescent="0.3">
      <c r="A509" s="2" t="s">
        <v>146</v>
      </c>
      <c r="B509" s="2" t="s">
        <v>1443</v>
      </c>
      <c r="C509" s="2" t="s">
        <v>95</v>
      </c>
      <c r="D509" s="2" t="s">
        <v>3136</v>
      </c>
      <c r="E509" s="2" t="s">
        <v>39</v>
      </c>
      <c r="F509" s="2"/>
      <c r="G509" s="2"/>
      <c r="H509" s="2"/>
      <c r="I509" s="3">
        <f t="shared" si="7"/>
        <v>94</v>
      </c>
    </row>
    <row r="510" spans="1:9" x14ac:dyDescent="0.3">
      <c r="A510" s="2" t="s">
        <v>146</v>
      </c>
      <c r="B510" s="2" t="s">
        <v>3137</v>
      </c>
      <c r="C510" s="2" t="s">
        <v>422</v>
      </c>
      <c r="D510" s="2" t="s">
        <v>3138</v>
      </c>
      <c r="E510" s="2" t="s">
        <v>39</v>
      </c>
      <c r="F510" s="2"/>
      <c r="G510" s="2"/>
      <c r="H510" s="2"/>
      <c r="I510" s="3">
        <f t="shared" si="7"/>
        <v>94</v>
      </c>
    </row>
    <row r="511" spans="1:9" x14ac:dyDescent="0.3">
      <c r="A511" s="2" t="s">
        <v>146</v>
      </c>
      <c r="B511" s="2" t="s">
        <v>3139</v>
      </c>
      <c r="C511" s="2" t="s">
        <v>807</v>
      </c>
      <c r="D511" s="2" t="s">
        <v>3140</v>
      </c>
      <c r="E511" s="2" t="s">
        <v>39</v>
      </c>
      <c r="F511" s="2"/>
      <c r="G511" s="2"/>
      <c r="H511" s="2"/>
      <c r="I511" s="3">
        <f t="shared" si="7"/>
        <v>94</v>
      </c>
    </row>
    <row r="512" spans="1:9" x14ac:dyDescent="0.3">
      <c r="A512" s="2" t="s">
        <v>146</v>
      </c>
      <c r="B512" s="2" t="s">
        <v>3141</v>
      </c>
      <c r="C512" s="2" t="s">
        <v>491</v>
      </c>
      <c r="D512" s="2" t="s">
        <v>3142</v>
      </c>
      <c r="E512" s="2" t="s">
        <v>39</v>
      </c>
      <c r="F512" s="2"/>
      <c r="G512" s="2"/>
      <c r="H512" s="2"/>
      <c r="I512" s="3">
        <f t="shared" si="7"/>
        <v>94</v>
      </c>
    </row>
    <row r="513" spans="1:9" x14ac:dyDescent="0.3">
      <c r="A513" s="2" t="s">
        <v>146</v>
      </c>
      <c r="B513" s="2" t="s">
        <v>3143</v>
      </c>
      <c r="C513" s="2" t="s">
        <v>491</v>
      </c>
      <c r="D513" s="2" t="s">
        <v>3144</v>
      </c>
      <c r="E513" s="2" t="s">
        <v>39</v>
      </c>
      <c r="F513" s="2"/>
      <c r="G513" s="2"/>
      <c r="H513" s="2"/>
      <c r="I513" s="3">
        <f t="shared" si="7"/>
        <v>94</v>
      </c>
    </row>
    <row r="514" spans="1:9" x14ac:dyDescent="0.3">
      <c r="A514" s="2" t="s">
        <v>146</v>
      </c>
      <c r="B514" s="2" t="s">
        <v>3145</v>
      </c>
      <c r="C514" s="2" t="s">
        <v>491</v>
      </c>
      <c r="D514" s="2" t="s">
        <v>3146</v>
      </c>
      <c r="E514" s="2" t="s">
        <v>39</v>
      </c>
      <c r="F514" s="2"/>
      <c r="G514" s="2"/>
      <c r="H514" s="2"/>
      <c r="I514" s="3">
        <f t="shared" ref="I514:I577" si="8">LEN(D514)</f>
        <v>94</v>
      </c>
    </row>
    <row r="515" spans="1:9" x14ac:dyDescent="0.3">
      <c r="A515" s="2" t="s">
        <v>146</v>
      </c>
      <c r="B515" s="2" t="s">
        <v>2423</v>
      </c>
      <c r="C515" s="2" t="s">
        <v>437</v>
      </c>
      <c r="D515" s="2" t="s">
        <v>3147</v>
      </c>
      <c r="E515" s="2" t="s">
        <v>39</v>
      </c>
      <c r="F515" s="2"/>
      <c r="G515" s="2"/>
      <c r="H515" s="2"/>
      <c r="I515" s="3">
        <f t="shared" si="8"/>
        <v>94</v>
      </c>
    </row>
    <row r="516" spans="1:9" x14ac:dyDescent="0.3">
      <c r="A516" s="2" t="s">
        <v>146</v>
      </c>
      <c r="B516" s="2" t="s">
        <v>3158</v>
      </c>
      <c r="C516" s="2" t="s">
        <v>214</v>
      </c>
      <c r="D516" s="2" t="s">
        <v>3159</v>
      </c>
      <c r="E516" s="2" t="s">
        <v>39</v>
      </c>
      <c r="F516" s="2"/>
      <c r="G516" s="2"/>
      <c r="H516" s="2"/>
      <c r="I516" s="3">
        <f t="shared" si="8"/>
        <v>94</v>
      </c>
    </row>
    <row r="517" spans="1:9" x14ac:dyDescent="0.3">
      <c r="A517" s="2" t="s">
        <v>146</v>
      </c>
      <c r="B517" s="2" t="s">
        <v>3160</v>
      </c>
      <c r="C517" s="2" t="s">
        <v>240</v>
      </c>
      <c r="D517" s="2" t="s">
        <v>3161</v>
      </c>
      <c r="E517" s="2" t="s">
        <v>39</v>
      </c>
      <c r="F517" s="2"/>
      <c r="G517" s="2"/>
      <c r="H517" s="2"/>
      <c r="I517" s="3">
        <f t="shared" si="8"/>
        <v>94</v>
      </c>
    </row>
    <row r="518" spans="1:9" x14ac:dyDescent="0.3">
      <c r="A518" s="2" t="s">
        <v>146</v>
      </c>
      <c r="B518" s="2" t="s">
        <v>3162</v>
      </c>
      <c r="C518" s="2" t="s">
        <v>911</v>
      </c>
      <c r="D518" s="2" t="s">
        <v>3163</v>
      </c>
      <c r="E518" s="2" t="s">
        <v>278</v>
      </c>
      <c r="F518" s="2"/>
      <c r="G518" s="2"/>
      <c r="H518" s="2"/>
      <c r="I518" s="3">
        <f t="shared" si="8"/>
        <v>95</v>
      </c>
    </row>
    <row r="519" spans="1:9" x14ac:dyDescent="0.3">
      <c r="A519" s="2" t="s">
        <v>146</v>
      </c>
      <c r="B519" s="2" t="s">
        <v>3170</v>
      </c>
      <c r="C519" s="2" t="s">
        <v>515</v>
      </c>
      <c r="D519" s="2" t="s">
        <v>3171</v>
      </c>
      <c r="E519" s="2" t="s">
        <v>39</v>
      </c>
      <c r="F519" s="2"/>
      <c r="G519" s="2"/>
      <c r="H519" s="2"/>
      <c r="I519" s="3">
        <f t="shared" si="8"/>
        <v>95</v>
      </c>
    </row>
    <row r="520" spans="1:9" x14ac:dyDescent="0.3">
      <c r="A520" s="2" t="s">
        <v>146</v>
      </c>
      <c r="B520" s="2" t="s">
        <v>558</v>
      </c>
      <c r="C520" s="2"/>
      <c r="D520" s="2" t="s">
        <v>3174</v>
      </c>
      <c r="E520" s="2" t="s">
        <v>39</v>
      </c>
      <c r="F520" s="2"/>
      <c r="G520" s="2"/>
      <c r="H520" s="2"/>
      <c r="I520" s="3">
        <f t="shared" si="8"/>
        <v>95</v>
      </c>
    </row>
    <row r="521" spans="1:9" x14ac:dyDescent="0.3">
      <c r="A521" s="2" t="s">
        <v>146</v>
      </c>
      <c r="B521" s="2" t="s">
        <v>3177</v>
      </c>
      <c r="C521" s="2" t="s">
        <v>422</v>
      </c>
      <c r="D521" s="2" t="s">
        <v>3178</v>
      </c>
      <c r="E521" s="2" t="s">
        <v>39</v>
      </c>
      <c r="F521" s="2"/>
      <c r="G521" s="2"/>
      <c r="H521" s="2"/>
      <c r="I521" s="3">
        <f t="shared" si="8"/>
        <v>95</v>
      </c>
    </row>
    <row r="522" spans="1:9" x14ac:dyDescent="0.3">
      <c r="A522" s="2" t="s">
        <v>146</v>
      </c>
      <c r="B522" s="2" t="s">
        <v>3179</v>
      </c>
      <c r="C522" s="2" t="s">
        <v>491</v>
      </c>
      <c r="D522" s="2" t="s">
        <v>3180</v>
      </c>
      <c r="E522" s="2" t="s">
        <v>39</v>
      </c>
      <c r="F522" s="2"/>
      <c r="G522" s="2"/>
      <c r="H522" s="2"/>
      <c r="I522" s="3">
        <f t="shared" si="8"/>
        <v>95</v>
      </c>
    </row>
    <row r="523" spans="1:9" x14ac:dyDescent="0.3">
      <c r="A523" s="2" t="s">
        <v>146</v>
      </c>
      <c r="B523" s="2" t="s">
        <v>3181</v>
      </c>
      <c r="C523" s="2" t="s">
        <v>3182</v>
      </c>
      <c r="D523" s="2" t="s">
        <v>3183</v>
      </c>
      <c r="E523" s="2" t="s">
        <v>39</v>
      </c>
      <c r="F523" s="2"/>
      <c r="G523" s="2"/>
      <c r="H523" s="2"/>
      <c r="I523" s="3">
        <f t="shared" si="8"/>
        <v>95</v>
      </c>
    </row>
    <row r="524" spans="1:9" x14ac:dyDescent="0.3">
      <c r="A524" s="2" t="s">
        <v>146</v>
      </c>
      <c r="B524" s="2" t="s">
        <v>3143</v>
      </c>
      <c r="C524" s="2" t="s">
        <v>491</v>
      </c>
      <c r="D524" s="2" t="s">
        <v>3184</v>
      </c>
      <c r="E524" s="2" t="s">
        <v>39</v>
      </c>
      <c r="F524" s="2"/>
      <c r="G524" s="2"/>
      <c r="H524" s="2"/>
      <c r="I524" s="3">
        <f t="shared" si="8"/>
        <v>95</v>
      </c>
    </row>
    <row r="525" spans="1:9" x14ac:dyDescent="0.3">
      <c r="A525" s="2" t="s">
        <v>146</v>
      </c>
      <c r="B525" s="2" t="s">
        <v>3185</v>
      </c>
      <c r="C525" s="2" t="s">
        <v>491</v>
      </c>
      <c r="D525" s="2" t="s">
        <v>3186</v>
      </c>
      <c r="E525" s="2" t="s">
        <v>39</v>
      </c>
      <c r="F525" s="2"/>
      <c r="G525" s="2"/>
      <c r="H525" s="2"/>
      <c r="I525" s="3">
        <f t="shared" si="8"/>
        <v>95</v>
      </c>
    </row>
    <row r="526" spans="1:9" x14ac:dyDescent="0.3">
      <c r="A526" s="2" t="s">
        <v>146</v>
      </c>
      <c r="B526" s="2" t="s">
        <v>3187</v>
      </c>
      <c r="C526" s="2" t="s">
        <v>95</v>
      </c>
      <c r="D526" s="2" t="s">
        <v>3188</v>
      </c>
      <c r="E526" s="2" t="s">
        <v>39</v>
      </c>
      <c r="F526" s="2"/>
      <c r="G526" s="2"/>
      <c r="H526" s="2"/>
      <c r="I526" s="3">
        <f t="shared" si="8"/>
        <v>95</v>
      </c>
    </row>
    <row r="527" spans="1:9" x14ac:dyDescent="0.3">
      <c r="A527" s="2" t="s">
        <v>146</v>
      </c>
      <c r="B527" s="2" t="s">
        <v>3198</v>
      </c>
      <c r="C527" s="2" t="s">
        <v>437</v>
      </c>
      <c r="D527" s="2" t="s">
        <v>3199</v>
      </c>
      <c r="E527" s="2" t="s">
        <v>3200</v>
      </c>
      <c r="F527" s="2"/>
      <c r="G527" s="2"/>
      <c r="H527" s="2"/>
      <c r="I527" s="3">
        <f t="shared" si="8"/>
        <v>95</v>
      </c>
    </row>
    <row r="528" spans="1:9" x14ac:dyDescent="0.3">
      <c r="A528" s="2" t="s">
        <v>146</v>
      </c>
      <c r="B528" s="2" t="s">
        <v>3203</v>
      </c>
      <c r="C528" s="2"/>
      <c r="D528" s="2" t="s">
        <v>3204</v>
      </c>
      <c r="E528" s="2" t="s">
        <v>39</v>
      </c>
      <c r="F528" s="2"/>
      <c r="G528" s="2"/>
      <c r="H528" s="2"/>
      <c r="I528" s="3">
        <f t="shared" si="8"/>
        <v>95</v>
      </c>
    </row>
    <row r="529" spans="1:9" x14ac:dyDescent="0.3">
      <c r="A529" s="2" t="s">
        <v>146</v>
      </c>
      <c r="B529" s="2" t="s">
        <v>3205</v>
      </c>
      <c r="C529" s="2"/>
      <c r="D529" s="2" t="s">
        <v>3206</v>
      </c>
      <c r="E529" s="2" t="s">
        <v>39</v>
      </c>
      <c r="F529" s="2"/>
      <c r="G529" s="2"/>
      <c r="H529" s="2"/>
      <c r="I529" s="3">
        <f t="shared" si="8"/>
        <v>96</v>
      </c>
    </row>
    <row r="530" spans="1:9" x14ac:dyDescent="0.3">
      <c r="A530" s="2" t="s">
        <v>146</v>
      </c>
      <c r="B530" s="2" t="s">
        <v>3207</v>
      </c>
      <c r="C530" s="2" t="s">
        <v>896</v>
      </c>
      <c r="D530" s="2" t="s">
        <v>3208</v>
      </c>
      <c r="E530" s="2" t="s">
        <v>3209</v>
      </c>
      <c r="F530" s="2"/>
      <c r="G530" s="2"/>
      <c r="H530" s="2" t="s">
        <v>898</v>
      </c>
      <c r="I530" s="3">
        <f t="shared" si="8"/>
        <v>96</v>
      </c>
    </row>
    <row r="531" spans="1:9" x14ac:dyDescent="0.3">
      <c r="A531" s="2" t="s">
        <v>146</v>
      </c>
      <c r="B531" s="2" t="s">
        <v>2195</v>
      </c>
      <c r="C531" s="2"/>
      <c r="D531" s="2" t="s">
        <v>3212</v>
      </c>
      <c r="E531" s="2" t="s">
        <v>39</v>
      </c>
      <c r="F531" s="2"/>
      <c r="G531" s="2"/>
      <c r="H531" s="2"/>
      <c r="I531" s="3">
        <f t="shared" si="8"/>
        <v>96</v>
      </c>
    </row>
    <row r="532" spans="1:9" x14ac:dyDescent="0.3">
      <c r="A532" s="2" t="s">
        <v>146</v>
      </c>
      <c r="B532" s="2" t="s">
        <v>3219</v>
      </c>
      <c r="C532" s="2" t="s">
        <v>253</v>
      </c>
      <c r="D532" s="2" t="s">
        <v>3220</v>
      </c>
      <c r="E532" s="2" t="s">
        <v>39</v>
      </c>
      <c r="F532" s="2"/>
      <c r="G532" s="2"/>
      <c r="H532" s="2"/>
      <c r="I532" s="3">
        <f t="shared" si="8"/>
        <v>96</v>
      </c>
    </row>
    <row r="533" spans="1:9" x14ac:dyDescent="0.3">
      <c r="A533" s="2" t="s">
        <v>146</v>
      </c>
      <c r="B533" s="2" t="s">
        <v>3227</v>
      </c>
      <c r="C533" s="2" t="s">
        <v>95</v>
      </c>
      <c r="D533" s="2" t="s">
        <v>3228</v>
      </c>
      <c r="E533" s="2" t="s">
        <v>39</v>
      </c>
      <c r="F533" s="2"/>
      <c r="G533" s="2"/>
      <c r="H533" s="2"/>
      <c r="I533" s="3">
        <f t="shared" si="8"/>
        <v>96</v>
      </c>
    </row>
    <row r="534" spans="1:9" x14ac:dyDescent="0.3">
      <c r="A534" s="2" t="s">
        <v>146</v>
      </c>
      <c r="B534" s="2" t="s">
        <v>2780</v>
      </c>
      <c r="C534" s="2" t="s">
        <v>515</v>
      </c>
      <c r="D534" s="2" t="s">
        <v>3229</v>
      </c>
      <c r="E534" s="2" t="s">
        <v>39</v>
      </c>
      <c r="F534" s="2"/>
      <c r="G534" s="2"/>
      <c r="H534" s="2"/>
      <c r="I534" s="3">
        <f t="shared" si="8"/>
        <v>96</v>
      </c>
    </row>
    <row r="535" spans="1:9" x14ac:dyDescent="0.3">
      <c r="A535" s="2" t="s">
        <v>146</v>
      </c>
      <c r="B535" s="2" t="s">
        <v>3011</v>
      </c>
      <c r="C535" s="2" t="s">
        <v>515</v>
      </c>
      <c r="D535" s="2" t="s">
        <v>3230</v>
      </c>
      <c r="E535" s="2" t="s">
        <v>39</v>
      </c>
      <c r="F535" s="2"/>
      <c r="G535" s="2"/>
      <c r="H535" s="2"/>
      <c r="I535" s="3">
        <f t="shared" si="8"/>
        <v>96</v>
      </c>
    </row>
    <row r="536" spans="1:9" x14ac:dyDescent="0.3">
      <c r="A536" s="2" t="s">
        <v>146</v>
      </c>
      <c r="B536" s="2" t="s">
        <v>3231</v>
      </c>
      <c r="C536" s="2" t="s">
        <v>491</v>
      </c>
      <c r="D536" s="2" t="s">
        <v>3232</v>
      </c>
      <c r="E536" s="2" t="s">
        <v>39</v>
      </c>
      <c r="F536" s="2"/>
      <c r="G536" s="2"/>
      <c r="H536" s="2"/>
      <c r="I536" s="3">
        <f t="shared" si="8"/>
        <v>96</v>
      </c>
    </row>
    <row r="537" spans="1:9" x14ac:dyDescent="0.3">
      <c r="A537" s="2" t="s">
        <v>146</v>
      </c>
      <c r="B537" s="2" t="s">
        <v>3233</v>
      </c>
      <c r="C537" s="2" t="s">
        <v>491</v>
      </c>
      <c r="D537" s="2" t="s">
        <v>3234</v>
      </c>
      <c r="E537" s="2" t="s">
        <v>39</v>
      </c>
      <c r="F537" s="2"/>
      <c r="G537" s="2"/>
      <c r="H537" s="2"/>
      <c r="I537" s="3">
        <f t="shared" si="8"/>
        <v>96</v>
      </c>
    </row>
    <row r="538" spans="1:9" x14ac:dyDescent="0.3">
      <c r="A538" s="2" t="s">
        <v>146</v>
      </c>
      <c r="B538" s="2" t="s">
        <v>3235</v>
      </c>
      <c r="C538" s="2" t="s">
        <v>491</v>
      </c>
      <c r="D538" s="2" t="s">
        <v>3236</v>
      </c>
      <c r="E538" s="2" t="s">
        <v>39</v>
      </c>
      <c r="F538" s="2"/>
      <c r="G538" s="2"/>
      <c r="H538" s="2"/>
      <c r="I538" s="3">
        <f t="shared" si="8"/>
        <v>96</v>
      </c>
    </row>
    <row r="539" spans="1:9" x14ac:dyDescent="0.3">
      <c r="A539" s="2" t="s">
        <v>146</v>
      </c>
      <c r="B539" s="2" t="s">
        <v>3237</v>
      </c>
      <c r="C539" s="2" t="s">
        <v>491</v>
      </c>
      <c r="D539" s="2" t="s">
        <v>3238</v>
      </c>
      <c r="E539" s="2" t="s">
        <v>39</v>
      </c>
      <c r="F539" s="2"/>
      <c r="G539" s="2"/>
      <c r="H539" s="2"/>
      <c r="I539" s="3">
        <f t="shared" si="8"/>
        <v>96</v>
      </c>
    </row>
    <row r="540" spans="1:9" x14ac:dyDescent="0.3">
      <c r="A540" s="2" t="s">
        <v>146</v>
      </c>
      <c r="B540" s="2" t="s">
        <v>3242</v>
      </c>
      <c r="C540" s="2" t="s">
        <v>178</v>
      </c>
      <c r="D540" s="2" t="s">
        <v>3243</v>
      </c>
      <c r="E540" s="2" t="s">
        <v>39</v>
      </c>
      <c r="F540" s="2"/>
      <c r="G540" s="2"/>
      <c r="H540" s="2"/>
      <c r="I540" s="3">
        <f t="shared" si="8"/>
        <v>96</v>
      </c>
    </row>
    <row r="541" spans="1:9" x14ac:dyDescent="0.3">
      <c r="A541" s="2" t="s">
        <v>146</v>
      </c>
      <c r="B541" s="2" t="s">
        <v>1429</v>
      </c>
      <c r="C541" s="2" t="s">
        <v>491</v>
      </c>
      <c r="D541" s="2" t="s">
        <v>3246</v>
      </c>
      <c r="E541" s="2" t="s">
        <v>39</v>
      </c>
      <c r="F541" s="2"/>
      <c r="G541" s="2"/>
      <c r="H541" s="2"/>
      <c r="I541" s="3">
        <f t="shared" si="8"/>
        <v>96</v>
      </c>
    </row>
    <row r="542" spans="1:9" x14ac:dyDescent="0.3">
      <c r="A542" s="2" t="s">
        <v>146</v>
      </c>
      <c r="B542" s="2" t="s">
        <v>3249</v>
      </c>
      <c r="C542" s="2" t="s">
        <v>896</v>
      </c>
      <c r="D542" s="2" t="s">
        <v>3250</v>
      </c>
      <c r="E542" s="2" t="s">
        <v>3251</v>
      </c>
      <c r="F542" s="2"/>
      <c r="G542" s="2"/>
      <c r="H542" s="2" t="s">
        <v>898</v>
      </c>
      <c r="I542" s="3">
        <f t="shared" si="8"/>
        <v>97</v>
      </c>
    </row>
    <row r="543" spans="1:9" x14ac:dyDescent="0.3">
      <c r="A543" s="2" t="s">
        <v>146</v>
      </c>
      <c r="B543" s="2" t="s">
        <v>3266</v>
      </c>
      <c r="C543" s="2"/>
      <c r="D543" s="2" t="s">
        <v>3267</v>
      </c>
      <c r="E543" s="2" t="s">
        <v>39</v>
      </c>
      <c r="F543" s="2"/>
      <c r="G543" s="2"/>
      <c r="H543" s="2"/>
      <c r="I543" s="3">
        <f t="shared" si="8"/>
        <v>97</v>
      </c>
    </row>
    <row r="544" spans="1:9" x14ac:dyDescent="0.3">
      <c r="A544" s="2" t="s">
        <v>146</v>
      </c>
      <c r="B544" s="2" t="s">
        <v>3268</v>
      </c>
      <c r="C544" s="2" t="s">
        <v>911</v>
      </c>
      <c r="D544" s="2" t="s">
        <v>3269</v>
      </c>
      <c r="E544" s="2" t="s">
        <v>39</v>
      </c>
      <c r="F544" s="2"/>
      <c r="G544" s="2"/>
      <c r="H544" s="2"/>
      <c r="I544" s="3">
        <f t="shared" si="8"/>
        <v>97</v>
      </c>
    </row>
    <row r="545" spans="1:9" x14ac:dyDescent="0.3">
      <c r="A545" s="2" t="s">
        <v>146</v>
      </c>
      <c r="B545" s="2" t="s">
        <v>1779</v>
      </c>
      <c r="C545" s="2"/>
      <c r="D545" s="2" t="s">
        <v>3270</v>
      </c>
      <c r="E545" s="2" t="s">
        <v>39</v>
      </c>
      <c r="F545" s="2"/>
      <c r="G545" s="2"/>
      <c r="H545" s="2"/>
      <c r="I545" s="3">
        <f t="shared" si="8"/>
        <v>97</v>
      </c>
    </row>
    <row r="546" spans="1:9" x14ac:dyDescent="0.3">
      <c r="A546" s="2" t="s">
        <v>146</v>
      </c>
      <c r="B546" s="2" t="s">
        <v>3271</v>
      </c>
      <c r="C546" s="2" t="s">
        <v>214</v>
      </c>
      <c r="D546" s="2" t="s">
        <v>3272</v>
      </c>
      <c r="E546" s="2" t="s">
        <v>39</v>
      </c>
      <c r="F546" s="2"/>
      <c r="G546" s="2"/>
      <c r="H546" s="2"/>
      <c r="I546" s="3">
        <f t="shared" si="8"/>
        <v>97</v>
      </c>
    </row>
    <row r="547" spans="1:9" x14ac:dyDescent="0.3">
      <c r="A547" s="2" t="s">
        <v>146</v>
      </c>
      <c r="B547" s="2" t="s">
        <v>1317</v>
      </c>
      <c r="C547" s="2"/>
      <c r="D547" s="2" t="s">
        <v>3273</v>
      </c>
      <c r="E547" s="2" t="s">
        <v>39</v>
      </c>
      <c r="F547" s="2"/>
      <c r="G547" s="2"/>
      <c r="H547" s="2"/>
      <c r="I547" s="3">
        <f t="shared" si="8"/>
        <v>97</v>
      </c>
    </row>
    <row r="548" spans="1:9" x14ac:dyDescent="0.3">
      <c r="A548" s="2" t="s">
        <v>146</v>
      </c>
      <c r="B548" s="2" t="s">
        <v>1965</v>
      </c>
      <c r="C548" s="2" t="s">
        <v>491</v>
      </c>
      <c r="D548" s="2" t="s">
        <v>3274</v>
      </c>
      <c r="E548" s="2" t="s">
        <v>39</v>
      </c>
      <c r="F548" s="2"/>
      <c r="G548" s="2"/>
      <c r="H548" s="2"/>
      <c r="I548" s="3">
        <f t="shared" si="8"/>
        <v>97</v>
      </c>
    </row>
    <row r="549" spans="1:9" x14ac:dyDescent="0.3">
      <c r="A549" s="2" t="s">
        <v>146</v>
      </c>
      <c r="B549" s="2" t="s">
        <v>3275</v>
      </c>
      <c r="C549" s="2" t="s">
        <v>491</v>
      </c>
      <c r="D549" s="2" t="s">
        <v>3276</v>
      </c>
      <c r="E549" s="2" t="s">
        <v>39</v>
      </c>
      <c r="F549" s="2"/>
      <c r="G549" s="2"/>
      <c r="H549" s="2"/>
      <c r="I549" s="3">
        <f t="shared" si="8"/>
        <v>97</v>
      </c>
    </row>
    <row r="550" spans="1:9" ht="24" x14ac:dyDescent="0.3">
      <c r="A550" s="2" t="s">
        <v>146</v>
      </c>
      <c r="B550" s="2" t="s">
        <v>3277</v>
      </c>
      <c r="C550" s="2" t="s">
        <v>491</v>
      </c>
      <c r="D550" s="2" t="s">
        <v>3278</v>
      </c>
      <c r="E550" s="2" t="s">
        <v>39</v>
      </c>
      <c r="F550" s="2"/>
      <c r="G550" s="2"/>
      <c r="H550" s="2"/>
      <c r="I550" s="3">
        <f t="shared" si="8"/>
        <v>97</v>
      </c>
    </row>
    <row r="551" spans="1:9" x14ac:dyDescent="0.3">
      <c r="A551" s="2" t="s">
        <v>146</v>
      </c>
      <c r="B551" s="2" t="s">
        <v>3279</v>
      </c>
      <c r="C551" s="2" t="s">
        <v>491</v>
      </c>
      <c r="D551" s="2" t="s">
        <v>3280</v>
      </c>
      <c r="E551" s="2" t="s">
        <v>39</v>
      </c>
      <c r="F551" s="2"/>
      <c r="G551" s="2"/>
      <c r="H551" s="2"/>
      <c r="I551" s="3">
        <f t="shared" si="8"/>
        <v>97</v>
      </c>
    </row>
    <row r="552" spans="1:9" x14ac:dyDescent="0.3">
      <c r="A552" s="2" t="s">
        <v>146</v>
      </c>
      <c r="B552" s="2" t="s">
        <v>3281</v>
      </c>
      <c r="C552" s="2" t="s">
        <v>491</v>
      </c>
      <c r="D552" s="2" t="s">
        <v>3282</v>
      </c>
      <c r="E552" s="2" t="s">
        <v>39</v>
      </c>
      <c r="F552" s="2"/>
      <c r="G552" s="2"/>
      <c r="H552" s="2"/>
      <c r="I552" s="3">
        <f t="shared" si="8"/>
        <v>97</v>
      </c>
    </row>
    <row r="553" spans="1:9" x14ac:dyDescent="0.3">
      <c r="A553" s="2" t="s">
        <v>146</v>
      </c>
      <c r="B553" s="2" t="s">
        <v>2091</v>
      </c>
      <c r="C553" s="2" t="s">
        <v>1507</v>
      </c>
      <c r="D553" s="2" t="s">
        <v>3295</v>
      </c>
      <c r="E553" s="2" t="s">
        <v>39</v>
      </c>
      <c r="F553" s="2"/>
      <c r="G553" s="2"/>
      <c r="H553" s="2"/>
      <c r="I553" s="3">
        <f t="shared" si="8"/>
        <v>97</v>
      </c>
    </row>
    <row r="554" spans="1:9" x14ac:dyDescent="0.3">
      <c r="A554" s="2" t="s">
        <v>146</v>
      </c>
      <c r="B554" s="2" t="s">
        <v>1732</v>
      </c>
      <c r="C554" s="2"/>
      <c r="D554" s="2" t="s">
        <v>3306</v>
      </c>
      <c r="E554" s="2" t="s">
        <v>39</v>
      </c>
      <c r="F554" s="2"/>
      <c r="G554" s="2"/>
      <c r="H554" s="2"/>
      <c r="I554" s="3">
        <f t="shared" si="8"/>
        <v>98</v>
      </c>
    </row>
    <row r="555" spans="1:9" x14ac:dyDescent="0.3">
      <c r="A555" s="2" t="s">
        <v>146</v>
      </c>
      <c r="B555" s="2" t="s">
        <v>3309</v>
      </c>
      <c r="C555" s="2"/>
      <c r="D555" s="2" t="s">
        <v>3310</v>
      </c>
      <c r="E555" s="2" t="s">
        <v>39</v>
      </c>
      <c r="F555" s="2"/>
      <c r="G555" s="2"/>
      <c r="H555" s="2"/>
      <c r="I555" s="3">
        <f t="shared" si="8"/>
        <v>98</v>
      </c>
    </row>
    <row r="556" spans="1:9" x14ac:dyDescent="0.3">
      <c r="A556" s="2" t="s">
        <v>146</v>
      </c>
      <c r="B556" s="2" t="s">
        <v>3311</v>
      </c>
      <c r="C556" s="2" t="s">
        <v>437</v>
      </c>
      <c r="D556" s="2" t="s">
        <v>3312</v>
      </c>
      <c r="E556" s="2" t="s">
        <v>39</v>
      </c>
      <c r="F556" s="2"/>
      <c r="G556" s="2"/>
      <c r="H556" s="2"/>
      <c r="I556" s="3">
        <f t="shared" si="8"/>
        <v>98</v>
      </c>
    </row>
    <row r="557" spans="1:9" x14ac:dyDescent="0.3">
      <c r="A557" s="2" t="s">
        <v>146</v>
      </c>
      <c r="B557" s="2" t="s">
        <v>1607</v>
      </c>
      <c r="C557" s="2" t="s">
        <v>515</v>
      </c>
      <c r="D557" s="2" t="s">
        <v>3319</v>
      </c>
      <c r="E557" s="2" t="s">
        <v>39</v>
      </c>
      <c r="F557" s="2"/>
      <c r="G557" s="2"/>
      <c r="H557" s="2"/>
      <c r="I557" s="3">
        <f t="shared" si="8"/>
        <v>98</v>
      </c>
    </row>
    <row r="558" spans="1:9" x14ac:dyDescent="0.3">
      <c r="A558" s="2" t="s">
        <v>146</v>
      </c>
      <c r="B558" s="2" t="s">
        <v>3320</v>
      </c>
      <c r="C558" s="2"/>
      <c r="D558" s="2" t="s">
        <v>3321</v>
      </c>
      <c r="E558" s="2" t="s">
        <v>39</v>
      </c>
      <c r="F558" s="2"/>
      <c r="G558" s="2"/>
      <c r="H558" s="2"/>
      <c r="I558" s="3">
        <f t="shared" si="8"/>
        <v>98</v>
      </c>
    </row>
    <row r="559" spans="1:9" x14ac:dyDescent="0.3">
      <c r="A559" s="2" t="s">
        <v>146</v>
      </c>
      <c r="B559" s="2" t="s">
        <v>3324</v>
      </c>
      <c r="C559" s="2" t="s">
        <v>491</v>
      </c>
      <c r="D559" s="2" t="s">
        <v>3325</v>
      </c>
      <c r="E559" s="2" t="s">
        <v>39</v>
      </c>
      <c r="F559" s="2"/>
      <c r="G559" s="2"/>
      <c r="H559" s="2"/>
      <c r="I559" s="3">
        <f t="shared" si="8"/>
        <v>98</v>
      </c>
    </row>
    <row r="560" spans="1:9" x14ac:dyDescent="0.3">
      <c r="A560" s="2" t="s">
        <v>146</v>
      </c>
      <c r="B560" s="2" t="s">
        <v>3332</v>
      </c>
      <c r="C560" s="2"/>
      <c r="D560" s="2" t="s">
        <v>3333</v>
      </c>
      <c r="E560" s="2" t="s">
        <v>433</v>
      </c>
      <c r="F560" s="2"/>
      <c r="G560" s="2"/>
      <c r="H560" s="2"/>
      <c r="I560" s="3">
        <f t="shared" si="8"/>
        <v>98</v>
      </c>
    </row>
    <row r="561" spans="1:9" x14ac:dyDescent="0.3">
      <c r="A561" s="2" t="s">
        <v>146</v>
      </c>
      <c r="B561" s="2" t="s">
        <v>3335</v>
      </c>
      <c r="C561" s="2" t="s">
        <v>437</v>
      </c>
      <c r="D561" s="2" t="s">
        <v>3336</v>
      </c>
      <c r="E561" s="2" t="s">
        <v>39</v>
      </c>
      <c r="F561" s="2"/>
      <c r="G561" s="2"/>
      <c r="H561" s="2"/>
      <c r="I561" s="3">
        <f t="shared" si="8"/>
        <v>98</v>
      </c>
    </row>
    <row r="562" spans="1:9" x14ac:dyDescent="0.3">
      <c r="A562" s="2" t="s">
        <v>146</v>
      </c>
      <c r="B562" s="2" t="s">
        <v>3346</v>
      </c>
      <c r="C562" s="3" t="s">
        <v>911</v>
      </c>
      <c r="D562" s="2" t="s">
        <v>3347</v>
      </c>
      <c r="E562" s="2" t="s">
        <v>39</v>
      </c>
      <c r="F562" s="2"/>
      <c r="G562" s="2"/>
      <c r="H562" s="2"/>
      <c r="I562" s="3">
        <f t="shared" si="8"/>
        <v>99</v>
      </c>
    </row>
    <row r="563" spans="1:9" x14ac:dyDescent="0.3">
      <c r="A563" s="2" t="s">
        <v>146</v>
      </c>
      <c r="B563" s="2" t="s">
        <v>3170</v>
      </c>
      <c r="C563" s="2"/>
      <c r="D563" s="2" t="s">
        <v>3348</v>
      </c>
      <c r="E563" s="2" t="s">
        <v>39</v>
      </c>
      <c r="F563" s="2"/>
      <c r="G563" s="2"/>
      <c r="H563" s="2"/>
      <c r="I563" s="3">
        <f t="shared" si="8"/>
        <v>99</v>
      </c>
    </row>
    <row r="564" spans="1:9" x14ac:dyDescent="0.3">
      <c r="A564" s="2" t="s">
        <v>146</v>
      </c>
      <c r="B564" s="2" t="s">
        <v>3349</v>
      </c>
      <c r="C564" s="2" t="s">
        <v>3350</v>
      </c>
      <c r="D564" s="2" t="s">
        <v>3351</v>
      </c>
      <c r="E564" s="2" t="s">
        <v>39</v>
      </c>
      <c r="F564" s="2"/>
      <c r="G564" s="2"/>
      <c r="H564" s="2"/>
      <c r="I564" s="3">
        <f t="shared" si="8"/>
        <v>99</v>
      </c>
    </row>
    <row r="565" spans="1:9" x14ac:dyDescent="0.3">
      <c r="A565" s="2" t="s">
        <v>146</v>
      </c>
      <c r="B565" s="2" t="s">
        <v>3355</v>
      </c>
      <c r="C565" s="2" t="s">
        <v>240</v>
      </c>
      <c r="D565" s="2" t="s">
        <v>3356</v>
      </c>
      <c r="E565" s="2" t="s">
        <v>211</v>
      </c>
      <c r="F565" s="2"/>
      <c r="G565" s="2"/>
      <c r="H565" s="2"/>
      <c r="I565" s="3">
        <f t="shared" si="8"/>
        <v>99</v>
      </c>
    </row>
    <row r="566" spans="1:9" x14ac:dyDescent="0.3">
      <c r="A566" s="2" t="s">
        <v>146</v>
      </c>
      <c r="B566" s="2" t="s">
        <v>3175</v>
      </c>
      <c r="C566" s="2" t="s">
        <v>95</v>
      </c>
      <c r="D566" s="2" t="s">
        <v>3361</v>
      </c>
      <c r="E566" s="2"/>
      <c r="F566" s="2"/>
      <c r="G566" s="2"/>
      <c r="H566" s="2"/>
      <c r="I566" s="3">
        <f t="shared" si="8"/>
        <v>99</v>
      </c>
    </row>
    <row r="567" spans="1:9" ht="24" x14ac:dyDescent="0.3">
      <c r="A567" s="2" t="s">
        <v>146</v>
      </c>
      <c r="B567" s="2" t="s">
        <v>3363</v>
      </c>
      <c r="C567" s="2" t="s">
        <v>491</v>
      </c>
      <c r="D567" s="2" t="s">
        <v>3364</v>
      </c>
      <c r="E567" s="2" t="s">
        <v>39</v>
      </c>
      <c r="F567" s="2"/>
      <c r="G567" s="2"/>
      <c r="H567" s="2"/>
      <c r="I567" s="3">
        <f t="shared" si="8"/>
        <v>99</v>
      </c>
    </row>
    <row r="568" spans="1:9" x14ac:dyDescent="0.3">
      <c r="A568" s="2" t="s">
        <v>146</v>
      </c>
      <c r="B568" s="2" t="s">
        <v>3365</v>
      </c>
      <c r="C568" s="2" t="s">
        <v>437</v>
      </c>
      <c r="D568" s="2" t="s">
        <v>3366</v>
      </c>
      <c r="E568" s="2" t="s">
        <v>39</v>
      </c>
      <c r="F568" s="2"/>
      <c r="G568" s="2"/>
      <c r="H568" s="2"/>
      <c r="I568" s="3">
        <f t="shared" si="8"/>
        <v>99</v>
      </c>
    </row>
    <row r="569" spans="1:9" ht="24" x14ac:dyDescent="0.3">
      <c r="A569" s="2" t="s">
        <v>146</v>
      </c>
      <c r="B569" s="2" t="s">
        <v>3369</v>
      </c>
      <c r="C569" s="2"/>
      <c r="D569" s="2" t="s">
        <v>3370</v>
      </c>
      <c r="E569" s="2" t="s">
        <v>2477</v>
      </c>
      <c r="F569" s="2"/>
      <c r="G569" s="2"/>
      <c r="H569" s="2"/>
      <c r="I569" s="3">
        <f t="shared" si="8"/>
        <v>99</v>
      </c>
    </row>
    <row r="570" spans="1:9" x14ac:dyDescent="0.3">
      <c r="A570" s="2" t="s">
        <v>146</v>
      </c>
      <c r="B570" s="2" t="s">
        <v>3377</v>
      </c>
      <c r="C570" s="2" t="s">
        <v>1354</v>
      </c>
      <c r="D570" s="2" t="s">
        <v>3378</v>
      </c>
      <c r="E570" s="2" t="s">
        <v>39</v>
      </c>
      <c r="F570" s="2"/>
      <c r="G570" s="2"/>
      <c r="H570" s="2" t="s">
        <v>194</v>
      </c>
      <c r="I570" s="3">
        <f t="shared" si="8"/>
        <v>99</v>
      </c>
    </row>
    <row r="571" spans="1:9" x14ac:dyDescent="0.3">
      <c r="A571" s="2" t="s">
        <v>146</v>
      </c>
      <c r="B571" s="2" t="s">
        <v>3382</v>
      </c>
      <c r="C571" s="2" t="s">
        <v>491</v>
      </c>
      <c r="D571" s="2" t="s">
        <v>3383</v>
      </c>
      <c r="E571" s="2" t="s">
        <v>39</v>
      </c>
      <c r="F571" s="2"/>
      <c r="G571" s="2"/>
      <c r="H571" s="2"/>
      <c r="I571" s="3">
        <f t="shared" si="8"/>
        <v>99</v>
      </c>
    </row>
    <row r="572" spans="1:9" x14ac:dyDescent="0.3">
      <c r="A572" s="2" t="s">
        <v>146</v>
      </c>
      <c r="B572" s="2" t="s">
        <v>3395</v>
      </c>
      <c r="C572" s="2" t="s">
        <v>2707</v>
      </c>
      <c r="D572" s="2" t="s">
        <v>3396</v>
      </c>
      <c r="E572" s="2" t="s">
        <v>2693</v>
      </c>
      <c r="F572" s="2"/>
      <c r="G572" s="2"/>
      <c r="H572" s="2" t="s">
        <v>898</v>
      </c>
      <c r="I572" s="3">
        <f t="shared" si="8"/>
        <v>100</v>
      </c>
    </row>
    <row r="573" spans="1:9" x14ac:dyDescent="0.3">
      <c r="A573" s="2" t="s">
        <v>146</v>
      </c>
      <c r="B573" s="2" t="s">
        <v>3399</v>
      </c>
      <c r="C573" s="2" t="s">
        <v>389</v>
      </c>
      <c r="D573" s="2" t="s">
        <v>3400</v>
      </c>
      <c r="E573" s="2" t="s">
        <v>39</v>
      </c>
      <c r="F573" s="2"/>
      <c r="G573" s="2"/>
      <c r="H573" s="2"/>
      <c r="I573" s="3">
        <f t="shared" si="8"/>
        <v>100</v>
      </c>
    </row>
    <row r="574" spans="1:9" ht="24" x14ac:dyDescent="0.3">
      <c r="A574" s="2" t="s">
        <v>146</v>
      </c>
      <c r="B574" s="2" t="s">
        <v>3401</v>
      </c>
      <c r="C574" s="2" t="s">
        <v>535</v>
      </c>
      <c r="D574" s="2" t="s">
        <v>3402</v>
      </c>
      <c r="E574" s="2" t="s">
        <v>39</v>
      </c>
      <c r="F574" s="2"/>
      <c r="G574" s="2"/>
      <c r="H574" s="2" t="s">
        <v>537</v>
      </c>
      <c r="I574" s="3">
        <f t="shared" si="8"/>
        <v>100</v>
      </c>
    </row>
    <row r="575" spans="1:9" ht="24" x14ac:dyDescent="0.3">
      <c r="A575" s="2" t="s">
        <v>146</v>
      </c>
      <c r="B575" s="2" t="s">
        <v>3403</v>
      </c>
      <c r="C575" s="2" t="s">
        <v>535</v>
      </c>
      <c r="D575" s="2" t="s">
        <v>3404</v>
      </c>
      <c r="E575" s="2" t="s">
        <v>39</v>
      </c>
      <c r="F575" s="2"/>
      <c r="G575" s="2"/>
      <c r="H575" s="2" t="s">
        <v>537</v>
      </c>
      <c r="I575" s="3">
        <f t="shared" si="8"/>
        <v>100</v>
      </c>
    </row>
    <row r="576" spans="1:9" ht="24" x14ac:dyDescent="0.3">
      <c r="A576" s="2" t="s">
        <v>146</v>
      </c>
      <c r="B576" s="2" t="s">
        <v>3401</v>
      </c>
      <c r="C576" s="2" t="s">
        <v>535</v>
      </c>
      <c r="D576" s="2" t="s">
        <v>3405</v>
      </c>
      <c r="E576" s="2" t="s">
        <v>39</v>
      </c>
      <c r="F576" s="2"/>
      <c r="G576" s="2"/>
      <c r="H576" s="2" t="s">
        <v>537</v>
      </c>
      <c r="I576" s="3">
        <f t="shared" si="8"/>
        <v>100</v>
      </c>
    </row>
    <row r="577" spans="1:9" ht="24" x14ac:dyDescent="0.3">
      <c r="A577" s="2" t="s">
        <v>146</v>
      </c>
      <c r="B577" s="2" t="s">
        <v>3406</v>
      </c>
      <c r="C577" s="2" t="s">
        <v>95</v>
      </c>
      <c r="D577" s="2" t="s">
        <v>3407</v>
      </c>
      <c r="E577" s="2" t="s">
        <v>39</v>
      </c>
      <c r="F577" s="2"/>
      <c r="G577" s="2"/>
      <c r="H577" s="2"/>
      <c r="I577" s="3">
        <f t="shared" si="8"/>
        <v>100</v>
      </c>
    </row>
    <row r="578" spans="1:9" ht="24" x14ac:dyDescent="0.3">
      <c r="A578" s="2" t="s">
        <v>146</v>
      </c>
      <c r="B578" s="2" t="s">
        <v>3410</v>
      </c>
      <c r="C578" s="2"/>
      <c r="D578" s="2" t="s">
        <v>3411</v>
      </c>
      <c r="E578" s="2" t="s">
        <v>39</v>
      </c>
      <c r="F578" s="2"/>
      <c r="G578" s="2"/>
      <c r="H578" s="2" t="s">
        <v>194</v>
      </c>
      <c r="I578" s="3">
        <f t="shared" ref="I578:I641" si="9">LEN(D578)</f>
        <v>100</v>
      </c>
    </row>
    <row r="579" spans="1:9" x14ac:dyDescent="0.3">
      <c r="A579" s="2" t="s">
        <v>146</v>
      </c>
      <c r="B579" s="2" t="s">
        <v>3412</v>
      </c>
      <c r="C579" s="2" t="s">
        <v>491</v>
      </c>
      <c r="D579" s="2" t="s">
        <v>3413</v>
      </c>
      <c r="E579" s="2" t="s">
        <v>39</v>
      </c>
      <c r="F579" s="2"/>
      <c r="G579" s="2"/>
      <c r="H579" s="2"/>
      <c r="I579" s="3">
        <f t="shared" si="9"/>
        <v>100</v>
      </c>
    </row>
    <row r="580" spans="1:9" x14ac:dyDescent="0.3">
      <c r="A580" s="2" t="s">
        <v>146</v>
      </c>
      <c r="B580" s="2" t="s">
        <v>3414</v>
      </c>
      <c r="C580" s="2" t="s">
        <v>491</v>
      </c>
      <c r="D580" s="2" t="s">
        <v>3415</v>
      </c>
      <c r="E580" s="2" t="s">
        <v>39</v>
      </c>
      <c r="F580" s="2"/>
      <c r="G580" s="2"/>
      <c r="H580" s="2"/>
      <c r="I580" s="3">
        <f t="shared" si="9"/>
        <v>100</v>
      </c>
    </row>
    <row r="581" spans="1:9" ht="24" x14ac:dyDescent="0.3">
      <c r="A581" s="2" t="s">
        <v>146</v>
      </c>
      <c r="B581" s="2" t="s">
        <v>3416</v>
      </c>
      <c r="C581" s="2" t="s">
        <v>491</v>
      </c>
      <c r="D581" s="2" t="s">
        <v>3417</v>
      </c>
      <c r="E581" s="2" t="s">
        <v>39</v>
      </c>
      <c r="F581" s="2"/>
      <c r="G581" s="2"/>
      <c r="H581" s="2"/>
      <c r="I581" s="3">
        <f t="shared" si="9"/>
        <v>100</v>
      </c>
    </row>
    <row r="582" spans="1:9" ht="24" x14ac:dyDescent="0.3">
      <c r="A582" s="2" t="s">
        <v>146</v>
      </c>
      <c r="B582" s="2" t="s">
        <v>1810</v>
      </c>
      <c r="C582" s="2" t="s">
        <v>1472</v>
      </c>
      <c r="D582" s="2" t="s">
        <v>3424</v>
      </c>
      <c r="E582" s="2" t="s">
        <v>39</v>
      </c>
      <c r="F582" s="2"/>
      <c r="G582" s="2"/>
      <c r="H582" s="2"/>
      <c r="I582" s="3">
        <f t="shared" si="9"/>
        <v>100</v>
      </c>
    </row>
    <row r="583" spans="1:9" x14ac:dyDescent="0.3">
      <c r="A583" s="2" t="s">
        <v>146</v>
      </c>
      <c r="B583" s="2" t="s">
        <v>2637</v>
      </c>
      <c r="C583" s="2"/>
      <c r="D583" s="2" t="s">
        <v>3425</v>
      </c>
      <c r="E583" s="2"/>
      <c r="F583" s="2"/>
      <c r="G583" s="2"/>
      <c r="H583" s="2"/>
      <c r="I583" s="3">
        <f t="shared" si="9"/>
        <v>100</v>
      </c>
    </row>
    <row r="584" spans="1:9" x14ac:dyDescent="0.3">
      <c r="A584" s="2" t="s">
        <v>146</v>
      </c>
      <c r="B584" s="2" t="s">
        <v>3426</v>
      </c>
      <c r="C584" s="2" t="s">
        <v>515</v>
      </c>
      <c r="D584" s="2" t="s">
        <v>3427</v>
      </c>
      <c r="E584" s="2" t="s">
        <v>39</v>
      </c>
      <c r="F584" s="2"/>
      <c r="G584" s="2"/>
      <c r="H584" s="2"/>
      <c r="I584" s="3">
        <f t="shared" si="9"/>
        <v>100</v>
      </c>
    </row>
    <row r="585" spans="1:9" x14ac:dyDescent="0.3">
      <c r="A585" s="2" t="s">
        <v>146</v>
      </c>
      <c r="B585" s="2" t="s">
        <v>3428</v>
      </c>
      <c r="C585" s="2" t="s">
        <v>226</v>
      </c>
      <c r="D585" s="2" t="s">
        <v>3429</v>
      </c>
      <c r="E585" s="2" t="s">
        <v>39</v>
      </c>
      <c r="F585" s="2"/>
      <c r="G585" s="2"/>
      <c r="H585" s="2"/>
      <c r="I585" s="3">
        <f t="shared" si="9"/>
        <v>100</v>
      </c>
    </row>
    <row r="586" spans="1:9" x14ac:dyDescent="0.3">
      <c r="A586" s="2" t="s">
        <v>146</v>
      </c>
      <c r="B586" s="2" t="s">
        <v>3430</v>
      </c>
      <c r="C586" s="2"/>
      <c r="D586" s="2" t="s">
        <v>3431</v>
      </c>
      <c r="E586" s="2" t="s">
        <v>39</v>
      </c>
      <c r="F586" s="2"/>
      <c r="G586" s="2"/>
      <c r="H586" s="2"/>
      <c r="I586" s="3">
        <f t="shared" si="9"/>
        <v>100</v>
      </c>
    </row>
    <row r="587" spans="1:9" x14ac:dyDescent="0.3">
      <c r="A587" s="2" t="s">
        <v>146</v>
      </c>
      <c r="B587" s="2" t="s">
        <v>3432</v>
      </c>
      <c r="C587" s="2"/>
      <c r="D587" s="2" t="s">
        <v>3433</v>
      </c>
      <c r="E587" s="2" t="s">
        <v>39</v>
      </c>
      <c r="F587" s="2"/>
      <c r="G587" s="2"/>
      <c r="H587" s="2"/>
      <c r="I587" s="3">
        <f t="shared" si="9"/>
        <v>100</v>
      </c>
    </row>
    <row r="588" spans="1:9" x14ac:dyDescent="0.3">
      <c r="A588" s="2" t="s">
        <v>146</v>
      </c>
      <c r="B588" s="2" t="s">
        <v>3445</v>
      </c>
      <c r="C588" s="2" t="s">
        <v>389</v>
      </c>
      <c r="D588" s="2" t="s">
        <v>3446</v>
      </c>
      <c r="E588" s="2" t="s">
        <v>39</v>
      </c>
      <c r="F588" s="2"/>
      <c r="G588" s="2"/>
      <c r="H588" s="2"/>
      <c r="I588" s="3">
        <f t="shared" si="9"/>
        <v>101</v>
      </c>
    </row>
    <row r="589" spans="1:9" x14ac:dyDescent="0.3">
      <c r="A589" s="2" t="s">
        <v>146</v>
      </c>
      <c r="B589" s="2" t="s">
        <v>3448</v>
      </c>
      <c r="C589" s="2"/>
      <c r="D589" s="2" t="s">
        <v>3449</v>
      </c>
      <c r="E589" s="2" t="s">
        <v>39</v>
      </c>
      <c r="F589" s="2"/>
      <c r="G589" s="2"/>
      <c r="H589" s="2"/>
      <c r="I589" s="3">
        <f t="shared" si="9"/>
        <v>101</v>
      </c>
    </row>
    <row r="590" spans="1:9" x14ac:dyDescent="0.3">
      <c r="A590" s="2" t="s">
        <v>146</v>
      </c>
      <c r="B590" s="2" t="s">
        <v>3450</v>
      </c>
      <c r="C590" s="2" t="s">
        <v>95</v>
      </c>
      <c r="D590" s="2" t="s">
        <v>3451</v>
      </c>
      <c r="E590" s="2" t="s">
        <v>39</v>
      </c>
      <c r="F590" s="2"/>
      <c r="G590" s="2"/>
      <c r="H590" s="2"/>
      <c r="I590" s="3">
        <f t="shared" si="9"/>
        <v>101</v>
      </c>
    </row>
    <row r="591" spans="1:9" ht="24" x14ac:dyDescent="0.3">
      <c r="A591" s="2" t="s">
        <v>146</v>
      </c>
      <c r="B591" s="2" t="s">
        <v>3452</v>
      </c>
      <c r="C591" s="2" t="s">
        <v>491</v>
      </c>
      <c r="D591" s="2" t="s">
        <v>3453</v>
      </c>
      <c r="E591" s="2" t="s">
        <v>39</v>
      </c>
      <c r="F591" s="2"/>
      <c r="G591" s="2"/>
      <c r="H591" s="2"/>
      <c r="I591" s="3">
        <f t="shared" si="9"/>
        <v>101</v>
      </c>
    </row>
    <row r="592" spans="1:9" ht="24" x14ac:dyDescent="0.3">
      <c r="A592" s="2" t="s">
        <v>146</v>
      </c>
      <c r="B592" s="2" t="s">
        <v>3454</v>
      </c>
      <c r="C592" s="2" t="s">
        <v>491</v>
      </c>
      <c r="D592" s="2" t="s">
        <v>3455</v>
      </c>
      <c r="E592" s="2" t="s">
        <v>39</v>
      </c>
      <c r="F592" s="2"/>
      <c r="G592" s="2"/>
      <c r="H592" s="2"/>
      <c r="I592" s="3">
        <f t="shared" si="9"/>
        <v>101</v>
      </c>
    </row>
    <row r="593" spans="1:9" x14ac:dyDescent="0.3">
      <c r="A593" s="2" t="s">
        <v>146</v>
      </c>
      <c r="B593" s="2" t="s">
        <v>3456</v>
      </c>
      <c r="C593" s="2" t="s">
        <v>437</v>
      </c>
      <c r="D593" s="2" t="s">
        <v>3457</v>
      </c>
      <c r="E593" s="2" t="s">
        <v>39</v>
      </c>
      <c r="F593" s="2"/>
      <c r="G593" s="2"/>
      <c r="H593" s="2"/>
      <c r="I593" s="3">
        <f t="shared" si="9"/>
        <v>101</v>
      </c>
    </row>
    <row r="594" spans="1:9" x14ac:dyDescent="0.3">
      <c r="A594" s="2" t="s">
        <v>146</v>
      </c>
      <c r="B594" s="2" t="s">
        <v>3458</v>
      </c>
      <c r="C594" s="2" t="s">
        <v>515</v>
      </c>
      <c r="D594" s="2" t="s">
        <v>3459</v>
      </c>
      <c r="E594" s="2" t="s">
        <v>39</v>
      </c>
      <c r="F594" s="2"/>
      <c r="G594" s="2"/>
      <c r="H594" s="2"/>
      <c r="I594" s="3">
        <f t="shared" si="9"/>
        <v>101</v>
      </c>
    </row>
    <row r="595" spans="1:9" x14ac:dyDescent="0.3">
      <c r="A595" s="2" t="s">
        <v>146</v>
      </c>
      <c r="B595" s="2" t="s">
        <v>3466</v>
      </c>
      <c r="C595" s="2" t="s">
        <v>535</v>
      </c>
      <c r="D595" s="2" t="s">
        <v>3467</v>
      </c>
      <c r="E595" s="2"/>
      <c r="F595" s="2"/>
      <c r="G595" s="2"/>
      <c r="H595" s="2" t="s">
        <v>537</v>
      </c>
      <c r="I595" s="3">
        <f t="shared" si="9"/>
        <v>101</v>
      </c>
    </row>
    <row r="596" spans="1:9" ht="24" x14ac:dyDescent="0.3">
      <c r="A596" s="2" t="s">
        <v>146</v>
      </c>
      <c r="B596" s="2" t="s">
        <v>3479</v>
      </c>
      <c r="C596" s="2"/>
      <c r="D596" s="2" t="s">
        <v>3480</v>
      </c>
      <c r="E596" s="2" t="s">
        <v>278</v>
      </c>
      <c r="F596" s="2"/>
      <c r="G596" s="2"/>
      <c r="H596" s="2"/>
      <c r="I596" s="3">
        <f t="shared" si="9"/>
        <v>102</v>
      </c>
    </row>
    <row r="597" spans="1:9" ht="24" x14ac:dyDescent="0.3">
      <c r="A597" s="2" t="s">
        <v>146</v>
      </c>
      <c r="B597" s="2" t="s">
        <v>2706</v>
      </c>
      <c r="C597" s="2" t="s">
        <v>2707</v>
      </c>
      <c r="D597" s="2" t="s">
        <v>3485</v>
      </c>
      <c r="E597" s="2" t="s">
        <v>2693</v>
      </c>
      <c r="F597" s="2"/>
      <c r="G597" s="2"/>
      <c r="H597" s="2" t="s">
        <v>898</v>
      </c>
      <c r="I597" s="3">
        <f t="shared" si="9"/>
        <v>102</v>
      </c>
    </row>
    <row r="598" spans="1:9" x14ac:dyDescent="0.3">
      <c r="A598" s="2" t="s">
        <v>146</v>
      </c>
      <c r="B598" s="2" t="s">
        <v>3492</v>
      </c>
      <c r="C598" s="2" t="s">
        <v>2516</v>
      </c>
      <c r="D598" s="2" t="s">
        <v>3493</v>
      </c>
      <c r="E598" s="2" t="s">
        <v>39</v>
      </c>
      <c r="F598" s="2"/>
      <c r="G598" s="2"/>
      <c r="H598" s="2"/>
      <c r="I598" s="3">
        <f t="shared" si="9"/>
        <v>102</v>
      </c>
    </row>
    <row r="599" spans="1:9" x14ac:dyDescent="0.3">
      <c r="A599" s="2" t="s">
        <v>146</v>
      </c>
      <c r="B599" s="2" t="s">
        <v>3495</v>
      </c>
      <c r="C599" s="2"/>
      <c r="D599" s="2" t="s">
        <v>3496</v>
      </c>
      <c r="E599" s="2" t="s">
        <v>39</v>
      </c>
      <c r="F599" s="2"/>
      <c r="G599" s="2"/>
      <c r="H599" s="2"/>
      <c r="I599" s="3">
        <f t="shared" si="9"/>
        <v>102</v>
      </c>
    </row>
    <row r="600" spans="1:9" x14ac:dyDescent="0.3">
      <c r="A600" s="2" t="s">
        <v>146</v>
      </c>
      <c r="B600" s="2" t="s">
        <v>3497</v>
      </c>
      <c r="C600" s="2" t="s">
        <v>807</v>
      </c>
      <c r="D600" s="2" t="s">
        <v>3498</v>
      </c>
      <c r="E600" s="2" t="s">
        <v>39</v>
      </c>
      <c r="F600" s="2"/>
      <c r="G600" s="2"/>
      <c r="H600" s="2"/>
      <c r="I600" s="3">
        <f t="shared" si="9"/>
        <v>102</v>
      </c>
    </row>
    <row r="601" spans="1:9" x14ac:dyDescent="0.3">
      <c r="A601" s="2" t="s">
        <v>146</v>
      </c>
      <c r="B601" s="2" t="s">
        <v>3499</v>
      </c>
      <c r="C601" s="2" t="s">
        <v>491</v>
      </c>
      <c r="D601" s="2" t="s">
        <v>3500</v>
      </c>
      <c r="E601" s="2" t="s">
        <v>39</v>
      </c>
      <c r="F601" s="2"/>
      <c r="G601" s="2"/>
      <c r="H601" s="2"/>
      <c r="I601" s="3">
        <f t="shared" si="9"/>
        <v>102</v>
      </c>
    </row>
    <row r="602" spans="1:9" x14ac:dyDescent="0.3">
      <c r="A602" s="2" t="s">
        <v>146</v>
      </c>
      <c r="B602" s="2" t="s">
        <v>3501</v>
      </c>
      <c r="C602" s="2" t="s">
        <v>491</v>
      </c>
      <c r="D602" s="2" t="s">
        <v>3502</v>
      </c>
      <c r="E602" s="2" t="s">
        <v>39</v>
      </c>
      <c r="F602" s="2"/>
      <c r="G602" s="2"/>
      <c r="H602" s="2"/>
      <c r="I602" s="3">
        <f t="shared" si="9"/>
        <v>102</v>
      </c>
    </row>
    <row r="603" spans="1:9" ht="24" x14ac:dyDescent="0.3">
      <c r="A603" s="2" t="s">
        <v>146</v>
      </c>
      <c r="B603" s="2" t="s">
        <v>3514</v>
      </c>
      <c r="C603" s="2" t="s">
        <v>896</v>
      </c>
      <c r="D603" s="2" t="s">
        <v>3515</v>
      </c>
      <c r="E603" s="2" t="s">
        <v>1692</v>
      </c>
      <c r="F603" s="2"/>
      <c r="G603" s="2"/>
      <c r="H603" s="2" t="s">
        <v>898</v>
      </c>
      <c r="I603" s="3">
        <f t="shared" si="9"/>
        <v>103</v>
      </c>
    </row>
    <row r="604" spans="1:9" x14ac:dyDescent="0.3">
      <c r="A604" s="2" t="s">
        <v>146</v>
      </c>
      <c r="B604" s="2" t="s">
        <v>3523</v>
      </c>
      <c r="C604" s="2"/>
      <c r="D604" s="2" t="s">
        <v>3524</v>
      </c>
      <c r="E604" s="2" t="s">
        <v>39</v>
      </c>
      <c r="F604" s="2"/>
      <c r="G604" s="2"/>
      <c r="H604" s="2"/>
      <c r="I604" s="3">
        <f t="shared" si="9"/>
        <v>103</v>
      </c>
    </row>
    <row r="605" spans="1:9" x14ac:dyDescent="0.3">
      <c r="A605" s="2" t="s">
        <v>146</v>
      </c>
      <c r="B605" s="2" t="s">
        <v>767</v>
      </c>
      <c r="C605" s="2" t="s">
        <v>95</v>
      </c>
      <c r="D605" s="2" t="s">
        <v>3527</v>
      </c>
      <c r="E605" s="2" t="s">
        <v>39</v>
      </c>
      <c r="F605" s="2"/>
      <c r="G605" s="2"/>
      <c r="H605" s="2"/>
      <c r="I605" s="3">
        <f t="shared" si="9"/>
        <v>103</v>
      </c>
    </row>
    <row r="606" spans="1:9" ht="24" x14ac:dyDescent="0.3">
      <c r="A606" s="2" t="s">
        <v>146</v>
      </c>
      <c r="B606" s="2" t="s">
        <v>3530</v>
      </c>
      <c r="C606" s="2" t="s">
        <v>491</v>
      </c>
      <c r="D606" s="2" t="s">
        <v>3531</v>
      </c>
      <c r="E606" s="2" t="s">
        <v>39</v>
      </c>
      <c r="F606" s="2"/>
      <c r="G606" s="2"/>
      <c r="H606" s="2"/>
      <c r="I606" s="3">
        <f t="shared" si="9"/>
        <v>103</v>
      </c>
    </row>
    <row r="607" spans="1:9" x14ac:dyDescent="0.3">
      <c r="A607" s="2" t="s">
        <v>146</v>
      </c>
      <c r="B607" s="2" t="s">
        <v>3534</v>
      </c>
      <c r="C607" s="2"/>
      <c r="D607" s="2" t="s">
        <v>3535</v>
      </c>
      <c r="E607" s="2" t="s">
        <v>39</v>
      </c>
      <c r="F607" s="2"/>
      <c r="G607" s="2"/>
      <c r="H607" s="2"/>
      <c r="I607" s="3">
        <f t="shared" si="9"/>
        <v>103</v>
      </c>
    </row>
    <row r="608" spans="1:9" ht="24" x14ac:dyDescent="0.3">
      <c r="A608" s="2" t="s">
        <v>146</v>
      </c>
      <c r="B608" s="2" t="s">
        <v>2613</v>
      </c>
      <c r="C608" s="2" t="s">
        <v>1507</v>
      </c>
      <c r="D608" s="2" t="s">
        <v>3540</v>
      </c>
      <c r="E608" s="2" t="s">
        <v>239</v>
      </c>
      <c r="F608" s="2"/>
      <c r="G608" s="2"/>
      <c r="H608" s="2"/>
      <c r="I608" s="3">
        <f t="shared" si="9"/>
        <v>103</v>
      </c>
    </row>
    <row r="609" spans="1:9" x14ac:dyDescent="0.3">
      <c r="A609" s="2" t="s">
        <v>146</v>
      </c>
      <c r="B609" s="2" t="s">
        <v>3546</v>
      </c>
      <c r="C609" s="2" t="s">
        <v>491</v>
      </c>
      <c r="D609" s="2" t="s">
        <v>3547</v>
      </c>
      <c r="E609" s="2" t="s">
        <v>39</v>
      </c>
      <c r="F609" s="2"/>
      <c r="G609" s="2"/>
      <c r="H609" s="2"/>
      <c r="I609" s="3">
        <f t="shared" si="9"/>
        <v>103</v>
      </c>
    </row>
    <row r="610" spans="1:9" x14ac:dyDescent="0.3">
      <c r="A610" s="2" t="s">
        <v>146</v>
      </c>
      <c r="B610" s="2" t="s">
        <v>3549</v>
      </c>
      <c r="C610" s="2" t="s">
        <v>500</v>
      </c>
      <c r="D610" s="2" t="s">
        <v>3550</v>
      </c>
      <c r="E610" s="2" t="s">
        <v>39</v>
      </c>
      <c r="F610" s="2"/>
      <c r="G610" s="2"/>
      <c r="H610" s="2" t="s">
        <v>402</v>
      </c>
      <c r="I610" s="3">
        <f t="shared" si="9"/>
        <v>103</v>
      </c>
    </row>
    <row r="611" spans="1:9" x14ac:dyDescent="0.3">
      <c r="A611" s="2" t="s">
        <v>146</v>
      </c>
      <c r="B611" s="2" t="s">
        <v>2051</v>
      </c>
      <c r="C611" s="2"/>
      <c r="D611" s="2" t="s">
        <v>3551</v>
      </c>
      <c r="E611" s="2" t="s">
        <v>39</v>
      </c>
      <c r="F611" s="2"/>
      <c r="G611" s="2"/>
      <c r="H611" s="2"/>
      <c r="I611" s="3">
        <f t="shared" si="9"/>
        <v>103</v>
      </c>
    </row>
    <row r="612" spans="1:9" ht="24" x14ac:dyDescent="0.3">
      <c r="A612" s="2" t="s">
        <v>146</v>
      </c>
      <c r="B612" s="2" t="s">
        <v>3560</v>
      </c>
      <c r="C612" s="2"/>
      <c r="D612" s="2" t="s">
        <v>3561</v>
      </c>
      <c r="E612" s="2" t="s">
        <v>39</v>
      </c>
      <c r="F612" s="2"/>
      <c r="G612" s="2"/>
      <c r="H612" s="2"/>
      <c r="I612" s="3">
        <f t="shared" si="9"/>
        <v>104</v>
      </c>
    </row>
    <row r="613" spans="1:9" ht="24" x14ac:dyDescent="0.3">
      <c r="A613" s="2" t="s">
        <v>146</v>
      </c>
      <c r="B613" s="2" t="s">
        <v>3562</v>
      </c>
      <c r="C613" s="2" t="s">
        <v>95</v>
      </c>
      <c r="D613" s="2" t="s">
        <v>3563</v>
      </c>
      <c r="E613" s="2" t="s">
        <v>39</v>
      </c>
      <c r="F613" s="2"/>
      <c r="G613" s="2"/>
      <c r="H613" s="2"/>
      <c r="I613" s="3">
        <f t="shared" si="9"/>
        <v>104</v>
      </c>
    </row>
    <row r="614" spans="1:9" ht="24" x14ac:dyDescent="0.3">
      <c r="A614" s="2" t="s">
        <v>146</v>
      </c>
      <c r="B614" s="2" t="s">
        <v>2082</v>
      </c>
      <c r="C614" s="2" t="s">
        <v>95</v>
      </c>
      <c r="D614" s="2" t="s">
        <v>3564</v>
      </c>
      <c r="E614" s="2" t="s">
        <v>39</v>
      </c>
      <c r="F614" s="2"/>
      <c r="G614" s="2"/>
      <c r="H614" s="2"/>
      <c r="I614" s="3">
        <f t="shared" si="9"/>
        <v>104</v>
      </c>
    </row>
    <row r="615" spans="1:9" x14ac:dyDescent="0.3">
      <c r="A615" s="2" t="s">
        <v>146</v>
      </c>
      <c r="B615" s="2" t="s">
        <v>3567</v>
      </c>
      <c r="C615" s="2" t="s">
        <v>437</v>
      </c>
      <c r="D615" s="2" t="s">
        <v>3568</v>
      </c>
      <c r="E615" s="2" t="s">
        <v>39</v>
      </c>
      <c r="F615" s="2"/>
      <c r="G615" s="2"/>
      <c r="H615" s="2"/>
      <c r="I615" s="3">
        <f t="shared" si="9"/>
        <v>104</v>
      </c>
    </row>
    <row r="616" spans="1:9" x14ac:dyDescent="0.3">
      <c r="A616" s="2" t="s">
        <v>146</v>
      </c>
      <c r="B616" s="2" t="s">
        <v>3569</v>
      </c>
      <c r="C616" s="2" t="s">
        <v>437</v>
      </c>
      <c r="D616" s="2" t="s">
        <v>3570</v>
      </c>
      <c r="E616" s="2" t="s">
        <v>3571</v>
      </c>
      <c r="F616" s="2"/>
      <c r="G616" s="2"/>
      <c r="H616" s="2"/>
      <c r="I616" s="3">
        <f t="shared" si="9"/>
        <v>104</v>
      </c>
    </row>
    <row r="617" spans="1:9" ht="24" x14ac:dyDescent="0.3">
      <c r="A617" s="2" t="s">
        <v>146</v>
      </c>
      <c r="B617" s="2" t="s">
        <v>3572</v>
      </c>
      <c r="C617" s="2" t="s">
        <v>437</v>
      </c>
      <c r="D617" s="2" t="s">
        <v>3573</v>
      </c>
      <c r="E617" s="2" t="s">
        <v>379</v>
      </c>
      <c r="F617" s="2"/>
      <c r="G617" s="2"/>
      <c r="H617" s="2"/>
      <c r="I617" s="3">
        <f t="shared" si="9"/>
        <v>104</v>
      </c>
    </row>
    <row r="618" spans="1:9" ht="24" x14ac:dyDescent="0.3">
      <c r="A618" s="2" t="s">
        <v>146</v>
      </c>
      <c r="B618" s="2" t="s">
        <v>1985</v>
      </c>
      <c r="C618" s="2" t="s">
        <v>95</v>
      </c>
      <c r="D618" s="2" t="s">
        <v>3585</v>
      </c>
      <c r="E618" s="2" t="s">
        <v>39</v>
      </c>
      <c r="F618" s="2"/>
      <c r="G618" s="2"/>
      <c r="H618" s="2"/>
      <c r="I618" s="3">
        <f t="shared" si="9"/>
        <v>104</v>
      </c>
    </row>
    <row r="619" spans="1:9" ht="24" x14ac:dyDescent="0.3">
      <c r="A619" s="2" t="s">
        <v>146</v>
      </c>
      <c r="B619" s="2" t="s">
        <v>3586</v>
      </c>
      <c r="C619" s="2"/>
      <c r="D619" s="2" t="s">
        <v>3587</v>
      </c>
      <c r="E619" s="2" t="s">
        <v>39</v>
      </c>
      <c r="F619" s="2"/>
      <c r="G619" s="2"/>
      <c r="H619" s="2"/>
      <c r="I619" s="3">
        <f t="shared" si="9"/>
        <v>104</v>
      </c>
    </row>
    <row r="620" spans="1:9" ht="24" x14ac:dyDescent="0.3">
      <c r="A620" s="2" t="s">
        <v>146</v>
      </c>
      <c r="B620" s="2" t="s">
        <v>3588</v>
      </c>
      <c r="C620" s="2" t="s">
        <v>214</v>
      </c>
      <c r="D620" s="2" t="s">
        <v>3589</v>
      </c>
      <c r="E620" s="2" t="s">
        <v>39</v>
      </c>
      <c r="F620" s="2"/>
      <c r="G620" s="2"/>
      <c r="H620" s="2"/>
      <c r="I620" s="3">
        <f t="shared" si="9"/>
        <v>104</v>
      </c>
    </row>
    <row r="621" spans="1:9" ht="24" x14ac:dyDescent="0.3">
      <c r="A621" s="2" t="s">
        <v>146</v>
      </c>
      <c r="B621" s="2" t="s">
        <v>3590</v>
      </c>
      <c r="C621" s="2"/>
      <c r="D621" s="2" t="s">
        <v>3591</v>
      </c>
      <c r="E621" s="2" t="s">
        <v>39</v>
      </c>
      <c r="F621" s="2"/>
      <c r="G621" s="2"/>
      <c r="H621" s="2"/>
      <c r="I621" s="3">
        <f t="shared" si="9"/>
        <v>104</v>
      </c>
    </row>
    <row r="622" spans="1:9" ht="24" x14ac:dyDescent="0.3">
      <c r="A622" s="2" t="s">
        <v>146</v>
      </c>
      <c r="B622" s="2" t="s">
        <v>3592</v>
      </c>
      <c r="C622" s="2" t="s">
        <v>389</v>
      </c>
      <c r="D622" s="2" t="s">
        <v>3593</v>
      </c>
      <c r="E622" s="2" t="s">
        <v>39</v>
      </c>
      <c r="F622" s="2"/>
      <c r="G622" s="2"/>
      <c r="H622" s="2"/>
      <c r="I622" s="3">
        <f t="shared" si="9"/>
        <v>104</v>
      </c>
    </row>
    <row r="623" spans="1:9" ht="24" x14ac:dyDescent="0.3">
      <c r="A623" s="2" t="s">
        <v>146</v>
      </c>
      <c r="B623" s="2" t="s">
        <v>3594</v>
      </c>
      <c r="C623" s="2" t="s">
        <v>691</v>
      </c>
      <c r="D623" s="2" t="s">
        <v>3595</v>
      </c>
      <c r="E623" s="2" t="s">
        <v>39</v>
      </c>
      <c r="F623" s="2"/>
      <c r="G623" s="2"/>
      <c r="H623" s="2"/>
      <c r="I623" s="3">
        <f t="shared" si="9"/>
        <v>104</v>
      </c>
    </row>
    <row r="624" spans="1:9" x14ac:dyDescent="0.3">
      <c r="A624" s="2" t="s">
        <v>146</v>
      </c>
      <c r="B624" s="2" t="s">
        <v>3601</v>
      </c>
      <c r="C624" s="2"/>
      <c r="D624" s="2" t="s">
        <v>3602</v>
      </c>
      <c r="E624" s="2" t="s">
        <v>39</v>
      </c>
      <c r="F624" s="2"/>
      <c r="G624" s="2"/>
      <c r="H624" s="2"/>
      <c r="I624" s="3">
        <f t="shared" si="9"/>
        <v>104</v>
      </c>
    </row>
    <row r="625" spans="1:9" ht="24" x14ac:dyDescent="0.3">
      <c r="A625" s="2" t="s">
        <v>146</v>
      </c>
      <c r="B625" s="2" t="s">
        <v>3603</v>
      </c>
      <c r="C625" s="2" t="s">
        <v>240</v>
      </c>
      <c r="D625" s="2" t="s">
        <v>3604</v>
      </c>
      <c r="E625" s="2" t="s">
        <v>211</v>
      </c>
      <c r="F625" s="2"/>
      <c r="G625" s="2"/>
      <c r="H625" s="2"/>
      <c r="I625" s="3">
        <f t="shared" si="9"/>
        <v>104</v>
      </c>
    </row>
    <row r="626" spans="1:9" x14ac:dyDescent="0.3">
      <c r="A626" s="2" t="s">
        <v>146</v>
      </c>
      <c r="B626" s="2" t="s">
        <v>3605</v>
      </c>
      <c r="C626" s="2" t="s">
        <v>332</v>
      </c>
      <c r="D626" s="2" t="s">
        <v>3606</v>
      </c>
      <c r="E626" s="2" t="s">
        <v>39</v>
      </c>
      <c r="F626" s="2"/>
      <c r="G626" s="2"/>
      <c r="H626" s="2"/>
      <c r="I626" s="3">
        <f t="shared" si="9"/>
        <v>104</v>
      </c>
    </row>
    <row r="627" spans="1:9" x14ac:dyDescent="0.3">
      <c r="A627" s="2" t="s">
        <v>146</v>
      </c>
      <c r="B627" s="2" t="s">
        <v>3612</v>
      </c>
      <c r="C627" s="2" t="s">
        <v>911</v>
      </c>
      <c r="D627" s="2" t="s">
        <v>3613</v>
      </c>
      <c r="E627" s="2" t="s">
        <v>39</v>
      </c>
      <c r="F627" s="2"/>
      <c r="G627" s="2"/>
      <c r="H627" s="2"/>
      <c r="I627" s="3">
        <f t="shared" si="9"/>
        <v>104</v>
      </c>
    </row>
    <row r="628" spans="1:9" ht="24" x14ac:dyDescent="0.3">
      <c r="A628" s="2" t="s">
        <v>146</v>
      </c>
      <c r="B628" s="2" t="s">
        <v>3017</v>
      </c>
      <c r="C628" s="2" t="s">
        <v>57</v>
      </c>
      <c r="D628" s="2" t="s">
        <v>8733</v>
      </c>
      <c r="E628" s="2"/>
      <c r="F628" s="2" t="s">
        <v>1778</v>
      </c>
      <c r="G628" s="2" t="s">
        <v>1717</v>
      </c>
      <c r="H628" s="2"/>
      <c r="I628" s="3">
        <f t="shared" si="9"/>
        <v>103</v>
      </c>
    </row>
    <row r="629" spans="1:9" x14ac:dyDescent="0.3">
      <c r="A629" s="2" t="s">
        <v>146</v>
      </c>
      <c r="B629" s="2" t="s">
        <v>1117</v>
      </c>
      <c r="C629" s="2"/>
      <c r="D629" s="2" t="s">
        <v>3619</v>
      </c>
      <c r="E629" s="2" t="s">
        <v>39</v>
      </c>
      <c r="F629" s="2"/>
      <c r="G629" s="2"/>
      <c r="H629" s="2"/>
      <c r="I629" s="3">
        <f t="shared" si="9"/>
        <v>105</v>
      </c>
    </row>
    <row r="630" spans="1:9" ht="24" x14ac:dyDescent="0.3">
      <c r="A630" s="2" t="s">
        <v>146</v>
      </c>
      <c r="B630" s="2" t="s">
        <v>3624</v>
      </c>
      <c r="C630" s="2" t="s">
        <v>348</v>
      </c>
      <c r="D630" s="2" t="s">
        <v>3625</v>
      </c>
      <c r="E630" s="2" t="s">
        <v>39</v>
      </c>
      <c r="F630" s="2"/>
      <c r="G630" s="2" t="s">
        <v>1717</v>
      </c>
      <c r="H630" s="2"/>
      <c r="I630" s="3">
        <f t="shared" si="9"/>
        <v>105</v>
      </c>
    </row>
    <row r="631" spans="1:9" ht="24" x14ac:dyDescent="0.3">
      <c r="A631" s="2" t="s">
        <v>146</v>
      </c>
      <c r="B631" s="2" t="s">
        <v>3627</v>
      </c>
      <c r="C631" s="2"/>
      <c r="D631" s="2" t="s">
        <v>3628</v>
      </c>
      <c r="E631" s="2" t="s">
        <v>39</v>
      </c>
      <c r="F631" s="2"/>
      <c r="G631" s="2"/>
      <c r="H631" s="2"/>
      <c r="I631" s="3">
        <f t="shared" si="9"/>
        <v>105</v>
      </c>
    </row>
    <row r="632" spans="1:9" ht="24" x14ac:dyDescent="0.3">
      <c r="A632" s="2" t="s">
        <v>146</v>
      </c>
      <c r="B632" s="2" t="s">
        <v>3630</v>
      </c>
      <c r="C632" s="2" t="s">
        <v>491</v>
      </c>
      <c r="D632" s="2" t="s">
        <v>3631</v>
      </c>
      <c r="E632" s="2" t="s">
        <v>39</v>
      </c>
      <c r="F632" s="2"/>
      <c r="G632" s="2"/>
      <c r="H632" s="2"/>
      <c r="I632" s="3">
        <f t="shared" si="9"/>
        <v>105</v>
      </c>
    </row>
    <row r="633" spans="1:9" ht="24" x14ac:dyDescent="0.3">
      <c r="A633" s="2" t="s">
        <v>146</v>
      </c>
      <c r="B633" s="2" t="s">
        <v>3632</v>
      </c>
      <c r="C633" s="2" t="s">
        <v>491</v>
      </c>
      <c r="D633" s="2" t="s">
        <v>3633</v>
      </c>
      <c r="E633" s="2" t="s">
        <v>39</v>
      </c>
      <c r="F633" s="2"/>
      <c r="G633" s="2"/>
      <c r="H633" s="2"/>
      <c r="I633" s="3">
        <f t="shared" si="9"/>
        <v>105</v>
      </c>
    </row>
    <row r="634" spans="1:9" ht="24" x14ac:dyDescent="0.3">
      <c r="A634" s="2" t="s">
        <v>146</v>
      </c>
      <c r="B634" s="2" t="s">
        <v>177</v>
      </c>
      <c r="C634" s="2" t="s">
        <v>178</v>
      </c>
      <c r="D634" s="2" t="s">
        <v>3634</v>
      </c>
      <c r="E634" s="2" t="s">
        <v>39</v>
      </c>
      <c r="F634" s="2"/>
      <c r="G634" s="2"/>
      <c r="H634" s="2"/>
      <c r="I634" s="3">
        <f t="shared" si="9"/>
        <v>105</v>
      </c>
    </row>
    <row r="635" spans="1:9" x14ac:dyDescent="0.3">
      <c r="A635" s="2" t="s">
        <v>146</v>
      </c>
      <c r="B635" s="2" t="s">
        <v>3635</v>
      </c>
      <c r="C635" s="2" t="s">
        <v>95</v>
      </c>
      <c r="D635" s="2" t="s">
        <v>3636</v>
      </c>
      <c r="E635" s="2" t="s">
        <v>39</v>
      </c>
      <c r="F635" s="2"/>
      <c r="G635" s="2"/>
      <c r="H635" s="2"/>
      <c r="I635" s="3">
        <f t="shared" si="9"/>
        <v>105</v>
      </c>
    </row>
    <row r="636" spans="1:9" x14ac:dyDescent="0.3">
      <c r="A636" s="2" t="s">
        <v>146</v>
      </c>
      <c r="B636" s="2" t="s">
        <v>3641</v>
      </c>
      <c r="C636" s="2" t="s">
        <v>98</v>
      </c>
      <c r="D636" s="2" t="s">
        <v>3642</v>
      </c>
      <c r="E636" s="2" t="s">
        <v>3643</v>
      </c>
      <c r="F636" s="2"/>
      <c r="G636" s="2"/>
      <c r="H636" s="2"/>
      <c r="I636" s="3">
        <f t="shared" si="9"/>
        <v>105</v>
      </c>
    </row>
    <row r="637" spans="1:9" ht="24" x14ac:dyDescent="0.3">
      <c r="A637" s="2" t="s">
        <v>146</v>
      </c>
      <c r="B637" s="2" t="s">
        <v>2127</v>
      </c>
      <c r="C637" s="2" t="s">
        <v>1507</v>
      </c>
      <c r="D637" s="2" t="s">
        <v>3647</v>
      </c>
      <c r="E637" s="2"/>
      <c r="F637" s="2"/>
      <c r="G637" s="2"/>
      <c r="H637" s="2"/>
      <c r="I637" s="3">
        <f t="shared" si="9"/>
        <v>105</v>
      </c>
    </row>
    <row r="638" spans="1:9" ht="24" x14ac:dyDescent="0.3">
      <c r="A638" s="2" t="s">
        <v>146</v>
      </c>
      <c r="B638" s="2" t="s">
        <v>3648</v>
      </c>
      <c r="C638" s="2" t="s">
        <v>911</v>
      </c>
      <c r="D638" s="2" t="s">
        <v>3649</v>
      </c>
      <c r="E638" s="2" t="s">
        <v>1692</v>
      </c>
      <c r="F638" s="2"/>
      <c r="G638" s="2"/>
      <c r="H638" s="2"/>
      <c r="I638" s="3">
        <f t="shared" si="9"/>
        <v>106</v>
      </c>
    </row>
    <row r="639" spans="1:9" ht="24" x14ac:dyDescent="0.3">
      <c r="A639" s="2" t="s">
        <v>146</v>
      </c>
      <c r="B639" s="2" t="s">
        <v>3661</v>
      </c>
      <c r="C639" s="2" t="s">
        <v>389</v>
      </c>
      <c r="D639" s="2" t="s">
        <v>3662</v>
      </c>
      <c r="E639" s="2" t="s">
        <v>39</v>
      </c>
      <c r="F639" s="2"/>
      <c r="G639" s="2"/>
      <c r="H639" s="2"/>
      <c r="I639" s="3">
        <f t="shared" si="9"/>
        <v>106</v>
      </c>
    </row>
    <row r="640" spans="1:9" ht="24" x14ac:dyDescent="0.3">
      <c r="A640" s="2" t="s">
        <v>146</v>
      </c>
      <c r="B640" s="2" t="s">
        <v>3663</v>
      </c>
      <c r="C640" s="2" t="s">
        <v>491</v>
      </c>
      <c r="D640" s="2" t="s">
        <v>3664</v>
      </c>
      <c r="E640" s="2" t="s">
        <v>39</v>
      </c>
      <c r="F640" s="2"/>
      <c r="G640" s="2"/>
      <c r="H640" s="2"/>
      <c r="I640" s="3">
        <f t="shared" si="9"/>
        <v>106</v>
      </c>
    </row>
    <row r="641" spans="1:9" x14ac:dyDescent="0.3">
      <c r="A641" s="2" t="s">
        <v>146</v>
      </c>
      <c r="B641" s="2" t="s">
        <v>3635</v>
      </c>
      <c r="C641" s="2" t="s">
        <v>95</v>
      </c>
      <c r="D641" s="2" t="s">
        <v>3668</v>
      </c>
      <c r="E641" s="2" t="s">
        <v>39</v>
      </c>
      <c r="F641" s="2"/>
      <c r="G641" s="2"/>
      <c r="H641" s="2"/>
      <c r="I641" s="3">
        <f t="shared" si="9"/>
        <v>106</v>
      </c>
    </row>
    <row r="642" spans="1:9" ht="24" x14ac:dyDescent="0.3">
      <c r="A642" s="2" t="s">
        <v>146</v>
      </c>
      <c r="B642" s="2" t="s">
        <v>3669</v>
      </c>
      <c r="C642" s="2"/>
      <c r="D642" s="2" t="s">
        <v>3670</v>
      </c>
      <c r="E642" s="2" t="s">
        <v>3671</v>
      </c>
      <c r="F642" s="2"/>
      <c r="G642" s="2"/>
      <c r="H642" s="2"/>
      <c r="I642" s="3">
        <f t="shared" ref="I642:I705" si="10">LEN(D642)</f>
        <v>106</v>
      </c>
    </row>
    <row r="643" spans="1:9" x14ac:dyDescent="0.3">
      <c r="A643" s="2" t="s">
        <v>146</v>
      </c>
      <c r="B643" s="2" t="s">
        <v>3673</v>
      </c>
      <c r="C643" s="2" t="s">
        <v>3674</v>
      </c>
      <c r="D643" s="2" t="s">
        <v>3675</v>
      </c>
      <c r="E643" s="2"/>
      <c r="F643" s="2"/>
      <c r="G643" s="2"/>
      <c r="H643" s="2"/>
      <c r="I643" s="3">
        <f t="shared" si="10"/>
        <v>106</v>
      </c>
    </row>
    <row r="644" spans="1:9" ht="24" x14ac:dyDescent="0.3">
      <c r="A644" s="2" t="s">
        <v>146</v>
      </c>
      <c r="B644" s="2" t="s">
        <v>3678</v>
      </c>
      <c r="C644" s="2" t="s">
        <v>95</v>
      </c>
      <c r="D644" s="2" t="s">
        <v>3679</v>
      </c>
      <c r="E644" s="2" t="s">
        <v>39</v>
      </c>
      <c r="F644" s="2"/>
      <c r="G644" s="2"/>
      <c r="H644" s="2"/>
      <c r="I644" s="3">
        <f t="shared" si="10"/>
        <v>106</v>
      </c>
    </row>
    <row r="645" spans="1:9" ht="24" x14ac:dyDescent="0.3">
      <c r="A645" s="2" t="s">
        <v>146</v>
      </c>
      <c r="B645" s="2" t="s">
        <v>3680</v>
      </c>
      <c r="C645" s="2"/>
      <c r="D645" s="2" t="s">
        <v>3681</v>
      </c>
      <c r="E645" s="2" t="s">
        <v>39</v>
      </c>
      <c r="F645" s="2"/>
      <c r="G645" s="2"/>
      <c r="H645" s="2"/>
      <c r="I645" s="3">
        <f t="shared" si="10"/>
        <v>106</v>
      </c>
    </row>
    <row r="646" spans="1:9" x14ac:dyDescent="0.3">
      <c r="A646" s="2" t="s">
        <v>146</v>
      </c>
      <c r="B646" s="2" t="s">
        <v>2870</v>
      </c>
      <c r="C646" s="2" t="s">
        <v>911</v>
      </c>
      <c r="D646" s="2" t="s">
        <v>3683</v>
      </c>
      <c r="E646" s="2" t="s">
        <v>39</v>
      </c>
      <c r="F646" s="2"/>
      <c r="G646" s="2"/>
      <c r="H646" s="2"/>
      <c r="I646" s="3">
        <f t="shared" si="10"/>
        <v>106</v>
      </c>
    </row>
    <row r="647" spans="1:9" ht="24" x14ac:dyDescent="0.3">
      <c r="A647" s="2" t="s">
        <v>146</v>
      </c>
      <c r="B647" s="2" t="s">
        <v>3684</v>
      </c>
      <c r="C647" s="2"/>
      <c r="D647" s="2" t="s">
        <v>3685</v>
      </c>
      <c r="E647" s="2" t="s">
        <v>3686</v>
      </c>
      <c r="F647" s="2"/>
      <c r="G647" s="2"/>
      <c r="H647" s="2"/>
      <c r="I647" s="3">
        <f t="shared" si="10"/>
        <v>107</v>
      </c>
    </row>
    <row r="648" spans="1:9" ht="24" x14ac:dyDescent="0.3">
      <c r="A648" s="2" t="s">
        <v>146</v>
      </c>
      <c r="B648" s="2" t="s">
        <v>3689</v>
      </c>
      <c r="C648" s="2" t="s">
        <v>1647</v>
      </c>
      <c r="D648" s="2" t="s">
        <v>3690</v>
      </c>
      <c r="E648" s="2" t="s">
        <v>39</v>
      </c>
      <c r="F648" s="2"/>
      <c r="G648" s="2"/>
      <c r="H648" s="2"/>
      <c r="I648" s="3">
        <f t="shared" si="10"/>
        <v>107</v>
      </c>
    </row>
    <row r="649" spans="1:9" ht="24" x14ac:dyDescent="0.3">
      <c r="A649" s="2" t="s">
        <v>146</v>
      </c>
      <c r="B649" s="2" t="s">
        <v>3698</v>
      </c>
      <c r="C649" s="3" t="s">
        <v>911</v>
      </c>
      <c r="D649" s="2" t="s">
        <v>3699</v>
      </c>
      <c r="E649" s="2" t="s">
        <v>3700</v>
      </c>
      <c r="F649" s="2"/>
      <c r="G649" s="2"/>
      <c r="H649" s="2"/>
      <c r="I649" s="3">
        <f t="shared" si="10"/>
        <v>107</v>
      </c>
    </row>
    <row r="650" spans="1:9" ht="24" x14ac:dyDescent="0.3">
      <c r="A650" s="2" t="s">
        <v>146</v>
      </c>
      <c r="B650" s="2" t="s">
        <v>3701</v>
      </c>
      <c r="C650" s="2" t="s">
        <v>911</v>
      </c>
      <c r="D650" s="2" t="s">
        <v>3702</v>
      </c>
      <c r="E650" s="2" t="s">
        <v>39</v>
      </c>
      <c r="F650" s="2"/>
      <c r="G650" s="2"/>
      <c r="H650" s="2"/>
      <c r="I650" s="3">
        <f t="shared" si="10"/>
        <v>107</v>
      </c>
    </row>
    <row r="651" spans="1:9" ht="24" x14ac:dyDescent="0.3">
      <c r="A651" s="2" t="s">
        <v>146</v>
      </c>
      <c r="B651" s="2" t="s">
        <v>3703</v>
      </c>
      <c r="C651" s="2"/>
      <c r="D651" s="2" t="s">
        <v>3704</v>
      </c>
      <c r="E651" s="2" t="s">
        <v>39</v>
      </c>
      <c r="F651" s="2"/>
      <c r="G651" s="2"/>
      <c r="H651" s="2"/>
      <c r="I651" s="3">
        <f t="shared" si="10"/>
        <v>107</v>
      </c>
    </row>
    <row r="652" spans="1:9" ht="24" x14ac:dyDescent="0.3">
      <c r="A652" s="2" t="s">
        <v>146</v>
      </c>
      <c r="B652" s="2" t="s">
        <v>3707</v>
      </c>
      <c r="C652" s="2"/>
      <c r="D652" s="2" t="s">
        <v>3708</v>
      </c>
      <c r="E652" s="2" t="s">
        <v>39</v>
      </c>
      <c r="F652" s="2"/>
      <c r="G652" s="2"/>
      <c r="H652" s="2"/>
      <c r="I652" s="3">
        <f t="shared" si="10"/>
        <v>107</v>
      </c>
    </row>
    <row r="653" spans="1:9" ht="24" x14ac:dyDescent="0.3">
      <c r="A653" s="2" t="s">
        <v>146</v>
      </c>
      <c r="B653" s="2" t="s">
        <v>3715</v>
      </c>
      <c r="C653" s="2" t="s">
        <v>491</v>
      </c>
      <c r="D653" s="2" t="s">
        <v>3716</v>
      </c>
      <c r="E653" s="2" t="s">
        <v>39</v>
      </c>
      <c r="F653" s="2"/>
      <c r="G653" s="2"/>
      <c r="H653" s="2"/>
      <c r="I653" s="3">
        <f t="shared" si="10"/>
        <v>107</v>
      </c>
    </row>
    <row r="654" spans="1:9" ht="24" x14ac:dyDescent="0.3">
      <c r="A654" s="2" t="s">
        <v>146</v>
      </c>
      <c r="B654" s="2" t="s">
        <v>3717</v>
      </c>
      <c r="C654" s="2"/>
      <c r="D654" s="2" t="s">
        <v>3718</v>
      </c>
      <c r="E654" s="2" t="s">
        <v>39</v>
      </c>
      <c r="F654" s="2"/>
      <c r="G654" s="2"/>
      <c r="H654" s="2"/>
      <c r="I654" s="3">
        <f t="shared" si="10"/>
        <v>107</v>
      </c>
    </row>
    <row r="655" spans="1:9" ht="24" x14ac:dyDescent="0.3">
      <c r="A655" s="2" t="s">
        <v>146</v>
      </c>
      <c r="B655" s="2" t="s">
        <v>3719</v>
      </c>
      <c r="C655" s="2" t="s">
        <v>437</v>
      </c>
      <c r="D655" s="2" t="s">
        <v>3720</v>
      </c>
      <c r="E655" s="2" t="s">
        <v>39</v>
      </c>
      <c r="F655" s="2"/>
      <c r="G655" s="2"/>
      <c r="H655" s="2"/>
      <c r="I655" s="3">
        <f t="shared" si="10"/>
        <v>107</v>
      </c>
    </row>
    <row r="656" spans="1:9" ht="24" x14ac:dyDescent="0.3">
      <c r="A656" s="2" t="s">
        <v>146</v>
      </c>
      <c r="B656" s="2" t="s">
        <v>3721</v>
      </c>
      <c r="C656" s="2" t="s">
        <v>95</v>
      </c>
      <c r="D656" s="2" t="s">
        <v>3722</v>
      </c>
      <c r="E656" s="2" t="s">
        <v>39</v>
      </c>
      <c r="F656" s="2"/>
      <c r="G656" s="2"/>
      <c r="H656" s="2"/>
      <c r="I656" s="3">
        <f t="shared" si="10"/>
        <v>107</v>
      </c>
    </row>
    <row r="657" spans="1:9" ht="24" x14ac:dyDescent="0.3">
      <c r="A657" s="2" t="s">
        <v>146</v>
      </c>
      <c r="B657" s="2" t="s">
        <v>1759</v>
      </c>
      <c r="C657" s="2" t="s">
        <v>911</v>
      </c>
      <c r="D657" s="2" t="s">
        <v>3723</v>
      </c>
      <c r="E657" s="2" t="s">
        <v>39</v>
      </c>
      <c r="F657" s="2"/>
      <c r="G657" s="2"/>
      <c r="H657" s="2"/>
      <c r="I657" s="3">
        <f t="shared" si="10"/>
        <v>107</v>
      </c>
    </row>
    <row r="658" spans="1:9" ht="24" x14ac:dyDescent="0.3">
      <c r="A658" s="2" t="s">
        <v>146</v>
      </c>
      <c r="B658" s="2" t="s">
        <v>3734</v>
      </c>
      <c r="C658" s="2" t="s">
        <v>214</v>
      </c>
      <c r="D658" s="2" t="s">
        <v>3735</v>
      </c>
      <c r="E658" s="2" t="s">
        <v>39</v>
      </c>
      <c r="F658" s="2"/>
      <c r="G658" s="2"/>
      <c r="H658" s="2"/>
      <c r="I658" s="3">
        <f t="shared" si="10"/>
        <v>107</v>
      </c>
    </row>
    <row r="659" spans="1:9" ht="24" x14ac:dyDescent="0.3">
      <c r="A659" s="2" t="s">
        <v>146</v>
      </c>
      <c r="B659" s="2" t="s">
        <v>3743</v>
      </c>
      <c r="C659" s="2" t="s">
        <v>329</v>
      </c>
      <c r="D659" s="2" t="s">
        <v>3744</v>
      </c>
      <c r="E659" s="2" t="s">
        <v>39</v>
      </c>
      <c r="F659" s="2"/>
      <c r="G659" s="2"/>
      <c r="H659" s="2"/>
      <c r="I659" s="3">
        <f t="shared" si="10"/>
        <v>108</v>
      </c>
    </row>
    <row r="660" spans="1:9" ht="24" x14ac:dyDescent="0.3">
      <c r="A660" s="2" t="s">
        <v>146</v>
      </c>
      <c r="B660" s="2" t="s">
        <v>895</v>
      </c>
      <c r="C660" s="2" t="s">
        <v>240</v>
      </c>
      <c r="D660" s="2" t="s">
        <v>3745</v>
      </c>
      <c r="E660" s="2" t="s">
        <v>1188</v>
      </c>
      <c r="F660" s="2"/>
      <c r="G660" s="2"/>
      <c r="H660" s="2"/>
      <c r="I660" s="3">
        <f t="shared" si="10"/>
        <v>108</v>
      </c>
    </row>
    <row r="661" spans="1:9" ht="24" x14ac:dyDescent="0.3">
      <c r="A661" s="2" t="s">
        <v>146</v>
      </c>
      <c r="B661" s="2" t="s">
        <v>3746</v>
      </c>
      <c r="C661" s="3" t="s">
        <v>911</v>
      </c>
      <c r="D661" s="2" t="s">
        <v>3747</v>
      </c>
      <c r="E661" s="2" t="s">
        <v>3251</v>
      </c>
      <c r="F661" s="2"/>
      <c r="G661" s="2"/>
      <c r="H661" s="2"/>
      <c r="I661" s="3">
        <f t="shared" si="10"/>
        <v>108</v>
      </c>
    </row>
    <row r="662" spans="1:9" ht="24" x14ac:dyDescent="0.3">
      <c r="A662" s="2" t="s">
        <v>146</v>
      </c>
      <c r="B662" s="2" t="s">
        <v>3752</v>
      </c>
      <c r="C662" s="2" t="s">
        <v>437</v>
      </c>
      <c r="D662" s="2" t="s">
        <v>3753</v>
      </c>
      <c r="E662" s="2" t="s">
        <v>1776</v>
      </c>
      <c r="F662" s="2"/>
      <c r="G662" s="2"/>
      <c r="H662" s="2"/>
      <c r="I662" s="3">
        <f t="shared" si="10"/>
        <v>108</v>
      </c>
    </row>
    <row r="663" spans="1:9" ht="24" x14ac:dyDescent="0.3">
      <c r="A663" s="2" t="s">
        <v>146</v>
      </c>
      <c r="B663" s="2" t="s">
        <v>3756</v>
      </c>
      <c r="C663" s="2"/>
      <c r="D663" s="2" t="s">
        <v>3757</v>
      </c>
      <c r="E663" s="2" t="s">
        <v>39</v>
      </c>
      <c r="F663" s="2"/>
      <c r="G663" s="2"/>
      <c r="H663" s="2"/>
      <c r="I663" s="3">
        <f t="shared" si="10"/>
        <v>108</v>
      </c>
    </row>
    <row r="664" spans="1:9" ht="24" x14ac:dyDescent="0.3">
      <c r="A664" s="2" t="s">
        <v>146</v>
      </c>
      <c r="B664" s="2" t="s">
        <v>3758</v>
      </c>
      <c r="C664" s="2" t="s">
        <v>3759</v>
      </c>
      <c r="D664" s="2" t="s">
        <v>3760</v>
      </c>
      <c r="E664" s="2" t="s">
        <v>39</v>
      </c>
      <c r="F664" s="2"/>
      <c r="G664" s="2"/>
      <c r="H664" s="2"/>
      <c r="I664" s="3">
        <f t="shared" si="10"/>
        <v>108</v>
      </c>
    </row>
    <row r="665" spans="1:9" ht="24" x14ac:dyDescent="0.3">
      <c r="A665" s="2" t="s">
        <v>146</v>
      </c>
      <c r="B665" s="2" t="s">
        <v>3761</v>
      </c>
      <c r="C665" s="2" t="s">
        <v>691</v>
      </c>
      <c r="D665" s="2" t="s">
        <v>3762</v>
      </c>
      <c r="E665" s="2" t="s">
        <v>39</v>
      </c>
      <c r="F665" s="2"/>
      <c r="G665" s="2"/>
      <c r="H665" s="2"/>
      <c r="I665" s="3">
        <f t="shared" si="10"/>
        <v>108</v>
      </c>
    </row>
    <row r="666" spans="1:9" ht="24" x14ac:dyDescent="0.3">
      <c r="A666" s="2" t="s">
        <v>146</v>
      </c>
      <c r="B666" s="2" t="s">
        <v>3774</v>
      </c>
      <c r="C666" s="2"/>
      <c r="D666" s="2" t="s">
        <v>3775</v>
      </c>
      <c r="E666" s="2" t="s">
        <v>3776</v>
      </c>
      <c r="F666" s="2"/>
      <c r="G666" s="2"/>
      <c r="H666" s="2"/>
      <c r="I666" s="3">
        <f t="shared" si="10"/>
        <v>108</v>
      </c>
    </row>
    <row r="667" spans="1:9" ht="24" x14ac:dyDescent="0.3">
      <c r="A667" s="2" t="s">
        <v>146</v>
      </c>
      <c r="B667" s="2" t="s">
        <v>3780</v>
      </c>
      <c r="C667" s="2" t="s">
        <v>186</v>
      </c>
      <c r="D667" s="2" t="s">
        <v>3781</v>
      </c>
      <c r="E667" s="2" t="s">
        <v>1692</v>
      </c>
      <c r="F667" s="2"/>
      <c r="G667" s="2"/>
      <c r="H667" s="2"/>
      <c r="I667" s="3">
        <f t="shared" si="10"/>
        <v>109</v>
      </c>
    </row>
    <row r="668" spans="1:9" ht="24" x14ac:dyDescent="0.3">
      <c r="A668" s="2" t="s">
        <v>146</v>
      </c>
      <c r="B668" s="2" t="s">
        <v>3787</v>
      </c>
      <c r="C668" s="2"/>
      <c r="D668" s="2" t="s">
        <v>3788</v>
      </c>
      <c r="E668" s="2" t="s">
        <v>39</v>
      </c>
      <c r="F668" s="2"/>
      <c r="G668" s="2"/>
      <c r="H668" s="2"/>
      <c r="I668" s="3">
        <f t="shared" si="10"/>
        <v>109</v>
      </c>
    </row>
    <row r="669" spans="1:9" ht="24" x14ac:dyDescent="0.3">
      <c r="A669" s="2" t="s">
        <v>146</v>
      </c>
      <c r="B669" s="2" t="s">
        <v>3790</v>
      </c>
      <c r="C669" s="2" t="s">
        <v>911</v>
      </c>
      <c r="D669" s="2" t="s">
        <v>3791</v>
      </c>
      <c r="E669" s="2" t="s">
        <v>39</v>
      </c>
      <c r="F669" s="2"/>
      <c r="G669" s="2"/>
      <c r="H669" s="2"/>
      <c r="I669" s="3">
        <f t="shared" si="10"/>
        <v>109</v>
      </c>
    </row>
    <row r="670" spans="1:9" ht="24" x14ac:dyDescent="0.3">
      <c r="A670" s="2" t="s">
        <v>146</v>
      </c>
      <c r="B670" s="2" t="s">
        <v>3792</v>
      </c>
      <c r="C670" s="2" t="s">
        <v>3793</v>
      </c>
      <c r="D670" s="2" t="s">
        <v>3794</v>
      </c>
      <c r="E670" s="2" t="s">
        <v>393</v>
      </c>
      <c r="F670" s="2"/>
      <c r="G670" s="2"/>
      <c r="H670" s="2"/>
      <c r="I670" s="3">
        <f t="shared" si="10"/>
        <v>109</v>
      </c>
    </row>
    <row r="671" spans="1:9" ht="24" x14ac:dyDescent="0.3">
      <c r="A671" s="2" t="s">
        <v>146</v>
      </c>
      <c r="B671" s="2" t="s">
        <v>3799</v>
      </c>
      <c r="C671" s="2" t="s">
        <v>691</v>
      </c>
      <c r="D671" s="2" t="s">
        <v>3800</v>
      </c>
      <c r="E671" s="2" t="s">
        <v>39</v>
      </c>
      <c r="F671" s="2"/>
      <c r="G671" s="2"/>
      <c r="H671" s="2"/>
      <c r="I671" s="3">
        <f t="shared" si="10"/>
        <v>109</v>
      </c>
    </row>
    <row r="672" spans="1:9" ht="24" x14ac:dyDescent="0.3">
      <c r="A672" s="2" t="s">
        <v>146</v>
      </c>
      <c r="B672" s="2" t="s">
        <v>971</v>
      </c>
      <c r="C672" s="2" t="s">
        <v>422</v>
      </c>
      <c r="D672" s="2" t="s">
        <v>3801</v>
      </c>
      <c r="E672" s="2" t="s">
        <v>39</v>
      </c>
      <c r="F672" s="2"/>
      <c r="G672" s="2"/>
      <c r="H672" s="2"/>
      <c r="I672" s="3">
        <f t="shared" si="10"/>
        <v>109</v>
      </c>
    </row>
    <row r="673" spans="1:9" ht="24" x14ac:dyDescent="0.3">
      <c r="A673" s="2" t="s">
        <v>146</v>
      </c>
      <c r="B673" s="2" t="s">
        <v>3802</v>
      </c>
      <c r="C673" s="2" t="s">
        <v>491</v>
      </c>
      <c r="D673" s="2" t="s">
        <v>3803</v>
      </c>
      <c r="E673" s="2" t="s">
        <v>39</v>
      </c>
      <c r="F673" s="2"/>
      <c r="G673" s="2"/>
      <c r="H673" s="2"/>
      <c r="I673" s="3">
        <f t="shared" si="10"/>
        <v>109</v>
      </c>
    </row>
    <row r="674" spans="1:9" ht="24" x14ac:dyDescent="0.3">
      <c r="A674" s="2" t="s">
        <v>146</v>
      </c>
      <c r="B674" s="2" t="s">
        <v>3804</v>
      </c>
      <c r="C674" s="2" t="s">
        <v>491</v>
      </c>
      <c r="D674" s="2" t="s">
        <v>3805</v>
      </c>
      <c r="E674" s="2" t="s">
        <v>39</v>
      </c>
      <c r="F674" s="2"/>
      <c r="G674" s="2"/>
      <c r="H674" s="2"/>
      <c r="I674" s="3">
        <f t="shared" si="10"/>
        <v>109</v>
      </c>
    </row>
    <row r="675" spans="1:9" ht="24" x14ac:dyDescent="0.3">
      <c r="A675" s="2" t="s">
        <v>146</v>
      </c>
      <c r="B675" s="2" t="s">
        <v>3806</v>
      </c>
      <c r="C675" s="2" t="s">
        <v>95</v>
      </c>
      <c r="D675" s="2" t="s">
        <v>3807</v>
      </c>
      <c r="E675" s="2" t="s">
        <v>39</v>
      </c>
      <c r="F675" s="2"/>
      <c r="G675" s="2"/>
      <c r="H675" s="2"/>
      <c r="I675" s="3">
        <f t="shared" si="10"/>
        <v>109</v>
      </c>
    </row>
    <row r="676" spans="1:9" ht="24" x14ac:dyDescent="0.3">
      <c r="A676" s="2" t="s">
        <v>146</v>
      </c>
      <c r="B676" s="2" t="s">
        <v>1467</v>
      </c>
      <c r="C676" s="2" t="s">
        <v>95</v>
      </c>
      <c r="D676" s="2" t="s">
        <v>3808</v>
      </c>
      <c r="E676" s="2" t="s">
        <v>39</v>
      </c>
      <c r="F676" s="2"/>
      <c r="G676" s="2"/>
      <c r="H676" s="2"/>
      <c r="I676" s="3">
        <f t="shared" si="10"/>
        <v>109</v>
      </c>
    </row>
    <row r="677" spans="1:9" x14ac:dyDescent="0.3">
      <c r="A677" s="2" t="s">
        <v>146</v>
      </c>
      <c r="B677" s="2" t="s">
        <v>3809</v>
      </c>
      <c r="C677" s="2" t="s">
        <v>332</v>
      </c>
      <c r="D677" s="2" t="s">
        <v>3810</v>
      </c>
      <c r="E677" s="2" t="s">
        <v>39</v>
      </c>
      <c r="F677" s="2"/>
      <c r="G677" s="2"/>
      <c r="H677" s="2"/>
      <c r="I677" s="3">
        <f t="shared" si="10"/>
        <v>109</v>
      </c>
    </row>
    <row r="678" spans="1:9" ht="24" x14ac:dyDescent="0.3">
      <c r="A678" s="2" t="s">
        <v>146</v>
      </c>
      <c r="B678" s="2" t="s">
        <v>3817</v>
      </c>
      <c r="C678" s="2" t="s">
        <v>186</v>
      </c>
      <c r="D678" s="2" t="s">
        <v>3818</v>
      </c>
      <c r="E678" s="2" t="s">
        <v>39</v>
      </c>
      <c r="F678" s="2"/>
      <c r="G678" s="2"/>
      <c r="H678" s="2"/>
      <c r="I678" s="3">
        <f t="shared" si="10"/>
        <v>109</v>
      </c>
    </row>
    <row r="679" spans="1:9" ht="24" x14ac:dyDescent="0.3">
      <c r="A679" s="2" t="s">
        <v>146</v>
      </c>
      <c r="B679" s="2" t="s">
        <v>3819</v>
      </c>
      <c r="C679" s="2" t="s">
        <v>544</v>
      </c>
      <c r="D679" s="2" t="s">
        <v>3820</v>
      </c>
      <c r="E679" s="2" t="s">
        <v>39</v>
      </c>
      <c r="F679" s="2"/>
      <c r="G679" s="2"/>
      <c r="H679" s="2"/>
      <c r="I679" s="3">
        <f t="shared" si="10"/>
        <v>109</v>
      </c>
    </row>
    <row r="680" spans="1:9" ht="24" x14ac:dyDescent="0.3">
      <c r="A680" s="2" t="s">
        <v>146</v>
      </c>
      <c r="B680" s="2" t="s">
        <v>3824</v>
      </c>
      <c r="C680" s="2"/>
      <c r="D680" s="2" t="s">
        <v>3825</v>
      </c>
      <c r="E680" s="2" t="s">
        <v>39</v>
      </c>
      <c r="F680" s="2"/>
      <c r="G680" s="2"/>
      <c r="H680" s="2"/>
      <c r="I680" s="3">
        <f t="shared" si="10"/>
        <v>110</v>
      </c>
    </row>
    <row r="681" spans="1:9" ht="24" x14ac:dyDescent="0.3">
      <c r="A681" s="2" t="s">
        <v>146</v>
      </c>
      <c r="B681" s="2" t="s">
        <v>2408</v>
      </c>
      <c r="C681" s="2" t="s">
        <v>788</v>
      </c>
      <c r="D681" s="2" t="s">
        <v>3828</v>
      </c>
      <c r="E681" s="2" t="s">
        <v>39</v>
      </c>
      <c r="F681" s="2"/>
      <c r="G681" s="2"/>
      <c r="H681" s="2"/>
      <c r="I681" s="3">
        <f t="shared" si="10"/>
        <v>110</v>
      </c>
    </row>
    <row r="682" spans="1:9" x14ac:dyDescent="0.3">
      <c r="A682" s="2" t="s">
        <v>146</v>
      </c>
      <c r="B682" s="2" t="s">
        <v>3829</v>
      </c>
      <c r="C682" s="2" t="s">
        <v>491</v>
      </c>
      <c r="D682" s="2" t="s">
        <v>3830</v>
      </c>
      <c r="E682" s="2" t="s">
        <v>39</v>
      </c>
      <c r="F682" s="2"/>
      <c r="G682" s="2"/>
      <c r="H682" s="2"/>
      <c r="I682" s="3">
        <f t="shared" si="10"/>
        <v>110</v>
      </c>
    </row>
    <row r="683" spans="1:9" ht="24" x14ac:dyDescent="0.3">
      <c r="A683" s="2" t="s">
        <v>146</v>
      </c>
      <c r="B683" s="2" t="s">
        <v>965</v>
      </c>
      <c r="C683" s="2" t="s">
        <v>389</v>
      </c>
      <c r="D683" s="2" t="s">
        <v>3831</v>
      </c>
      <c r="E683" s="2" t="s">
        <v>39</v>
      </c>
      <c r="F683" s="2"/>
      <c r="G683" s="2"/>
      <c r="H683" s="2"/>
      <c r="I683" s="3">
        <f t="shared" si="10"/>
        <v>110</v>
      </c>
    </row>
    <row r="684" spans="1:9" ht="24" x14ac:dyDescent="0.3">
      <c r="A684" s="2" t="s">
        <v>146</v>
      </c>
      <c r="B684" s="2" t="s">
        <v>3837</v>
      </c>
      <c r="C684" s="2" t="s">
        <v>2060</v>
      </c>
      <c r="D684" s="2" t="s">
        <v>3838</v>
      </c>
      <c r="E684" s="2" t="s">
        <v>39</v>
      </c>
      <c r="F684" s="2"/>
      <c r="G684" s="2"/>
      <c r="H684" s="2"/>
      <c r="I684" s="3">
        <f t="shared" si="10"/>
        <v>110</v>
      </c>
    </row>
    <row r="685" spans="1:9" ht="24" x14ac:dyDescent="0.3">
      <c r="A685" s="2" t="s">
        <v>146</v>
      </c>
      <c r="B685" s="2" t="s">
        <v>3839</v>
      </c>
      <c r="C685" s="2"/>
      <c r="D685" s="2" t="s">
        <v>3840</v>
      </c>
      <c r="E685" s="2" t="s">
        <v>39</v>
      </c>
      <c r="F685" s="2"/>
      <c r="G685" s="2"/>
      <c r="H685" s="2"/>
      <c r="I685" s="3">
        <f t="shared" si="10"/>
        <v>110</v>
      </c>
    </row>
    <row r="686" spans="1:9" ht="24" x14ac:dyDescent="0.3">
      <c r="A686" s="2" t="s">
        <v>146</v>
      </c>
      <c r="B686" s="2" t="s">
        <v>2674</v>
      </c>
      <c r="C686" s="2" t="s">
        <v>515</v>
      </c>
      <c r="D686" s="2" t="s">
        <v>3841</v>
      </c>
      <c r="E686" s="2" t="s">
        <v>39</v>
      </c>
      <c r="F686" s="2"/>
      <c r="G686" s="2"/>
      <c r="H686" s="2"/>
      <c r="I686" s="3">
        <f t="shared" si="10"/>
        <v>110</v>
      </c>
    </row>
    <row r="687" spans="1:9" ht="24" x14ac:dyDescent="0.3">
      <c r="A687" s="2" t="s">
        <v>146</v>
      </c>
      <c r="B687" s="2" t="s">
        <v>3842</v>
      </c>
      <c r="C687" s="2" t="s">
        <v>515</v>
      </c>
      <c r="D687" s="2" t="s">
        <v>3843</v>
      </c>
      <c r="E687" s="2" t="s">
        <v>39</v>
      </c>
      <c r="F687" s="2"/>
      <c r="G687" s="2"/>
      <c r="H687" s="2"/>
      <c r="I687" s="3">
        <f t="shared" si="10"/>
        <v>110</v>
      </c>
    </row>
    <row r="688" spans="1:9" ht="24" x14ac:dyDescent="0.3">
      <c r="A688" s="2" t="s">
        <v>146</v>
      </c>
      <c r="B688" s="2" t="s">
        <v>3844</v>
      </c>
      <c r="C688" s="2" t="s">
        <v>491</v>
      </c>
      <c r="D688" s="2" t="s">
        <v>3845</v>
      </c>
      <c r="E688" s="2" t="s">
        <v>39</v>
      </c>
      <c r="F688" s="2"/>
      <c r="G688" s="2"/>
      <c r="H688" s="2"/>
      <c r="I688" s="3">
        <f t="shared" si="10"/>
        <v>110</v>
      </c>
    </row>
    <row r="689" spans="1:9" ht="24" x14ac:dyDescent="0.3">
      <c r="A689" s="2" t="s">
        <v>146</v>
      </c>
      <c r="B689" s="2" t="s">
        <v>3846</v>
      </c>
      <c r="C689" s="2" t="s">
        <v>491</v>
      </c>
      <c r="D689" s="2" t="s">
        <v>3847</v>
      </c>
      <c r="E689" s="2" t="s">
        <v>39</v>
      </c>
      <c r="F689" s="2"/>
      <c r="G689" s="2"/>
      <c r="H689" s="2"/>
      <c r="I689" s="3">
        <f t="shared" si="10"/>
        <v>110</v>
      </c>
    </row>
    <row r="690" spans="1:9" ht="24" x14ac:dyDescent="0.3">
      <c r="A690" s="2" t="s">
        <v>146</v>
      </c>
      <c r="B690" s="2" t="s">
        <v>177</v>
      </c>
      <c r="C690" s="2" t="s">
        <v>178</v>
      </c>
      <c r="D690" s="2" t="s">
        <v>3848</v>
      </c>
      <c r="E690" s="2" t="s">
        <v>39</v>
      </c>
      <c r="F690" s="2"/>
      <c r="G690" s="2"/>
      <c r="H690" s="2"/>
      <c r="I690" s="3">
        <f t="shared" si="10"/>
        <v>110</v>
      </c>
    </row>
    <row r="691" spans="1:9" ht="24" x14ac:dyDescent="0.3">
      <c r="A691" s="2" t="s">
        <v>146</v>
      </c>
      <c r="B691" s="2" t="s">
        <v>3857</v>
      </c>
      <c r="C691" s="2" t="s">
        <v>95</v>
      </c>
      <c r="D691" s="2" t="s">
        <v>3858</v>
      </c>
      <c r="E691" s="2" t="s">
        <v>39</v>
      </c>
      <c r="F691" s="2"/>
      <c r="G691" s="2"/>
      <c r="H691" s="2"/>
      <c r="I691" s="3">
        <f t="shared" si="10"/>
        <v>110</v>
      </c>
    </row>
    <row r="692" spans="1:9" ht="24" x14ac:dyDescent="0.3">
      <c r="A692" s="2" t="s">
        <v>146</v>
      </c>
      <c r="B692" s="2" t="s">
        <v>3859</v>
      </c>
      <c r="C692" s="2" t="s">
        <v>389</v>
      </c>
      <c r="D692" s="2" t="s">
        <v>3860</v>
      </c>
      <c r="E692" s="2" t="s">
        <v>39</v>
      </c>
      <c r="F692" s="2"/>
      <c r="G692" s="2"/>
      <c r="H692" s="2"/>
      <c r="I692" s="3">
        <f t="shared" si="10"/>
        <v>110</v>
      </c>
    </row>
    <row r="693" spans="1:9" ht="24" x14ac:dyDescent="0.3">
      <c r="A693" s="2" t="s">
        <v>146</v>
      </c>
      <c r="B693" s="2" t="s">
        <v>3863</v>
      </c>
      <c r="C693" s="2" t="s">
        <v>332</v>
      </c>
      <c r="D693" s="2" t="s">
        <v>3864</v>
      </c>
      <c r="E693" s="2" t="s">
        <v>3643</v>
      </c>
      <c r="F693" s="2"/>
      <c r="G693" s="2"/>
      <c r="H693" s="2"/>
      <c r="I693" s="3">
        <f t="shared" si="10"/>
        <v>110</v>
      </c>
    </row>
    <row r="694" spans="1:9" x14ac:dyDescent="0.3">
      <c r="A694" s="2" t="s">
        <v>146</v>
      </c>
      <c r="B694" s="2" t="s">
        <v>3868</v>
      </c>
      <c r="C694" s="2"/>
      <c r="D694" s="2" t="s">
        <v>3869</v>
      </c>
      <c r="E694" s="2" t="s">
        <v>39</v>
      </c>
      <c r="F694" s="2"/>
      <c r="G694" s="2"/>
      <c r="H694" s="2"/>
      <c r="I694" s="3">
        <f t="shared" si="10"/>
        <v>110</v>
      </c>
    </row>
    <row r="695" spans="1:9" x14ac:dyDescent="0.3">
      <c r="A695" s="2" t="s">
        <v>146</v>
      </c>
      <c r="B695" s="2" t="s">
        <v>3870</v>
      </c>
      <c r="C695" s="2" t="s">
        <v>332</v>
      </c>
      <c r="D695" s="2" t="s">
        <v>3871</v>
      </c>
      <c r="E695" s="2" t="s">
        <v>39</v>
      </c>
      <c r="F695" s="2"/>
      <c r="G695" s="2"/>
      <c r="H695" s="2"/>
      <c r="I695" s="3">
        <f t="shared" si="10"/>
        <v>110</v>
      </c>
    </row>
    <row r="696" spans="1:9" ht="24" x14ac:dyDescent="0.3">
      <c r="A696" s="2" t="s">
        <v>146</v>
      </c>
      <c r="B696" s="2" t="s">
        <v>3874</v>
      </c>
      <c r="C696" s="2"/>
      <c r="D696" s="2" t="s">
        <v>3875</v>
      </c>
      <c r="E696" s="2" t="s">
        <v>39</v>
      </c>
      <c r="F696" s="2"/>
      <c r="G696" s="2"/>
      <c r="H696" s="2" t="s">
        <v>1176</v>
      </c>
      <c r="I696" s="3">
        <f t="shared" si="10"/>
        <v>111</v>
      </c>
    </row>
    <row r="697" spans="1:9" ht="24" x14ac:dyDescent="0.3">
      <c r="A697" s="2" t="s">
        <v>146</v>
      </c>
      <c r="B697" s="2" t="s">
        <v>3879</v>
      </c>
      <c r="C697" s="2"/>
      <c r="D697" s="2" t="s">
        <v>3880</v>
      </c>
      <c r="E697" s="2" t="s">
        <v>39</v>
      </c>
      <c r="F697" s="2"/>
      <c r="G697" s="2"/>
      <c r="H697" s="2"/>
      <c r="I697" s="3">
        <f t="shared" si="10"/>
        <v>111</v>
      </c>
    </row>
    <row r="698" spans="1:9" ht="24" x14ac:dyDescent="0.3">
      <c r="A698" s="2" t="s">
        <v>146</v>
      </c>
      <c r="B698" s="2" t="s">
        <v>600</v>
      </c>
      <c r="C698" s="2" t="s">
        <v>491</v>
      </c>
      <c r="D698" s="2" t="s">
        <v>3881</v>
      </c>
      <c r="E698" s="2" t="s">
        <v>39</v>
      </c>
      <c r="F698" s="2"/>
      <c r="G698" s="2"/>
      <c r="H698" s="2"/>
      <c r="I698" s="3">
        <f t="shared" si="10"/>
        <v>111</v>
      </c>
    </row>
    <row r="699" spans="1:9" x14ac:dyDescent="0.3">
      <c r="A699" s="2" t="s">
        <v>146</v>
      </c>
      <c r="B699" s="2" t="s">
        <v>3221</v>
      </c>
      <c r="C699" s="2" t="s">
        <v>332</v>
      </c>
      <c r="D699" s="2" t="s">
        <v>3882</v>
      </c>
      <c r="E699" s="2" t="s">
        <v>39</v>
      </c>
      <c r="F699" s="2"/>
      <c r="G699" s="2"/>
      <c r="H699" s="2"/>
      <c r="I699" s="3">
        <f t="shared" si="10"/>
        <v>111</v>
      </c>
    </row>
    <row r="700" spans="1:9" ht="24" x14ac:dyDescent="0.3">
      <c r="A700" s="2" t="s">
        <v>146</v>
      </c>
      <c r="B700" s="2" t="s">
        <v>3890</v>
      </c>
      <c r="C700" s="2" t="s">
        <v>911</v>
      </c>
      <c r="D700" s="2" t="s">
        <v>3891</v>
      </c>
      <c r="E700" s="2" t="s">
        <v>3700</v>
      </c>
      <c r="F700" s="2"/>
      <c r="G700" s="2"/>
      <c r="H700" s="2"/>
      <c r="I700" s="3">
        <f t="shared" si="10"/>
        <v>111</v>
      </c>
    </row>
    <row r="701" spans="1:9" ht="24" x14ac:dyDescent="0.3">
      <c r="A701" s="2" t="s">
        <v>146</v>
      </c>
      <c r="B701" s="2" t="s">
        <v>3896</v>
      </c>
      <c r="C701" s="2" t="s">
        <v>491</v>
      </c>
      <c r="D701" s="2" t="s">
        <v>3897</v>
      </c>
      <c r="E701" s="2" t="s">
        <v>39</v>
      </c>
      <c r="F701" s="2"/>
      <c r="G701" s="2"/>
      <c r="H701" s="2"/>
      <c r="I701" s="3">
        <f t="shared" si="10"/>
        <v>111</v>
      </c>
    </row>
    <row r="702" spans="1:9" ht="24" x14ac:dyDescent="0.3">
      <c r="A702" s="2" t="s">
        <v>146</v>
      </c>
      <c r="B702" s="2" t="s">
        <v>1656</v>
      </c>
      <c r="C702" s="2"/>
      <c r="D702" s="2" t="s">
        <v>3898</v>
      </c>
      <c r="E702" s="2" t="s">
        <v>39</v>
      </c>
      <c r="F702" s="2"/>
      <c r="G702" s="2"/>
      <c r="H702" s="2" t="s">
        <v>194</v>
      </c>
      <c r="I702" s="3">
        <f t="shared" si="10"/>
        <v>111</v>
      </c>
    </row>
    <row r="703" spans="1:9" ht="24" x14ac:dyDescent="0.3">
      <c r="A703" s="2" t="s">
        <v>146</v>
      </c>
      <c r="B703" s="2" t="s">
        <v>3899</v>
      </c>
      <c r="C703" s="2"/>
      <c r="D703" s="2" t="s">
        <v>3900</v>
      </c>
      <c r="E703" s="2" t="s">
        <v>39</v>
      </c>
      <c r="F703" s="2"/>
      <c r="G703" s="2"/>
      <c r="H703" s="2"/>
      <c r="I703" s="3">
        <f t="shared" si="10"/>
        <v>112</v>
      </c>
    </row>
    <row r="704" spans="1:9" ht="24" x14ac:dyDescent="0.3">
      <c r="A704" s="2" t="s">
        <v>146</v>
      </c>
      <c r="B704" s="2" t="s">
        <v>3901</v>
      </c>
      <c r="C704" s="2"/>
      <c r="D704" s="2" t="s">
        <v>3902</v>
      </c>
      <c r="E704" s="2" t="s">
        <v>39</v>
      </c>
      <c r="F704" s="2"/>
      <c r="G704" s="2"/>
      <c r="H704" s="2" t="s">
        <v>194</v>
      </c>
      <c r="I704" s="3">
        <f t="shared" si="10"/>
        <v>112</v>
      </c>
    </row>
    <row r="705" spans="1:9" ht="24" x14ac:dyDescent="0.3">
      <c r="A705" s="2" t="s">
        <v>146</v>
      </c>
      <c r="B705" s="2" t="s">
        <v>2195</v>
      </c>
      <c r="C705" s="2"/>
      <c r="D705" s="2" t="s">
        <v>3905</v>
      </c>
      <c r="E705" s="2" t="s">
        <v>39</v>
      </c>
      <c r="F705" s="2"/>
      <c r="G705" s="2"/>
      <c r="H705" s="2"/>
      <c r="I705" s="3">
        <f t="shared" si="10"/>
        <v>112</v>
      </c>
    </row>
    <row r="706" spans="1:9" ht="24" x14ac:dyDescent="0.3">
      <c r="A706" s="2" t="s">
        <v>146</v>
      </c>
      <c r="B706" s="2" t="s">
        <v>1961</v>
      </c>
      <c r="C706" s="2" t="s">
        <v>214</v>
      </c>
      <c r="D706" s="2" t="s">
        <v>3912</v>
      </c>
      <c r="E706" s="2" t="s">
        <v>39</v>
      </c>
      <c r="F706" s="2"/>
      <c r="G706" s="2"/>
      <c r="H706" s="2"/>
      <c r="I706" s="3">
        <f t="shared" ref="I706:I769" si="11">LEN(D706)</f>
        <v>112</v>
      </c>
    </row>
    <row r="707" spans="1:9" ht="24" x14ac:dyDescent="0.3">
      <c r="A707" s="2" t="s">
        <v>146</v>
      </c>
      <c r="B707" s="2" t="s">
        <v>3913</v>
      </c>
      <c r="C707" s="2" t="s">
        <v>214</v>
      </c>
      <c r="D707" s="2" t="s">
        <v>3914</v>
      </c>
      <c r="E707" s="2" t="s">
        <v>39</v>
      </c>
      <c r="F707" s="2"/>
      <c r="G707" s="2"/>
      <c r="H707" s="2"/>
      <c r="I707" s="3">
        <f t="shared" si="11"/>
        <v>112</v>
      </c>
    </row>
    <row r="708" spans="1:9" ht="24" x14ac:dyDescent="0.3">
      <c r="A708" s="2" t="s">
        <v>146</v>
      </c>
      <c r="B708" s="2" t="s">
        <v>3915</v>
      </c>
      <c r="C708" s="2" t="s">
        <v>95</v>
      </c>
      <c r="D708" s="2" t="s">
        <v>3916</v>
      </c>
      <c r="E708" s="2" t="s">
        <v>39</v>
      </c>
      <c r="F708" s="2"/>
      <c r="G708" s="2"/>
      <c r="H708" s="2"/>
      <c r="I708" s="3">
        <f t="shared" si="11"/>
        <v>112</v>
      </c>
    </row>
    <row r="709" spans="1:9" ht="24" x14ac:dyDescent="0.3">
      <c r="A709" s="2" t="s">
        <v>146</v>
      </c>
      <c r="B709" s="2" t="s">
        <v>3917</v>
      </c>
      <c r="C709" s="2" t="s">
        <v>491</v>
      </c>
      <c r="D709" s="2" t="s">
        <v>3918</v>
      </c>
      <c r="E709" s="2" t="s">
        <v>39</v>
      </c>
      <c r="F709" s="2"/>
      <c r="G709" s="2"/>
      <c r="H709" s="2"/>
      <c r="I709" s="3">
        <f t="shared" si="11"/>
        <v>112</v>
      </c>
    </row>
    <row r="710" spans="1:9" ht="24" x14ac:dyDescent="0.3">
      <c r="A710" s="2" t="s">
        <v>146</v>
      </c>
      <c r="B710" s="2" t="s">
        <v>3921</v>
      </c>
      <c r="C710" s="2" t="s">
        <v>437</v>
      </c>
      <c r="D710" s="2" t="s">
        <v>3922</v>
      </c>
      <c r="E710" s="2" t="s">
        <v>39</v>
      </c>
      <c r="F710" s="2"/>
      <c r="G710" s="2"/>
      <c r="H710" s="2"/>
      <c r="I710" s="3">
        <f t="shared" si="11"/>
        <v>112</v>
      </c>
    </row>
    <row r="711" spans="1:9" ht="24" x14ac:dyDescent="0.3">
      <c r="A711" s="2" t="s">
        <v>146</v>
      </c>
      <c r="B711" s="2" t="s">
        <v>3923</v>
      </c>
      <c r="C711" s="2" t="s">
        <v>946</v>
      </c>
      <c r="D711" s="2" t="s">
        <v>3924</v>
      </c>
      <c r="E711" s="2" t="s">
        <v>39</v>
      </c>
      <c r="F711" s="2"/>
      <c r="G711" s="2"/>
      <c r="H711" s="2"/>
      <c r="I711" s="3">
        <f t="shared" si="11"/>
        <v>112</v>
      </c>
    </row>
    <row r="712" spans="1:9" ht="24" x14ac:dyDescent="0.3">
      <c r="A712" s="2" t="s">
        <v>146</v>
      </c>
      <c r="B712" s="2" t="s">
        <v>3929</v>
      </c>
      <c r="C712" s="2"/>
      <c r="D712" s="2" t="s">
        <v>3930</v>
      </c>
      <c r="E712" s="2" t="s">
        <v>39</v>
      </c>
      <c r="F712" s="2"/>
      <c r="G712" s="2"/>
      <c r="H712" s="2"/>
      <c r="I712" s="3">
        <f t="shared" si="11"/>
        <v>112</v>
      </c>
    </row>
    <row r="713" spans="1:9" ht="24" x14ac:dyDescent="0.3">
      <c r="A713" s="2" t="s">
        <v>146</v>
      </c>
      <c r="B713" s="2" t="s">
        <v>3934</v>
      </c>
      <c r="C713" s="2" t="s">
        <v>240</v>
      </c>
      <c r="D713" s="2" t="s">
        <v>3935</v>
      </c>
      <c r="E713" s="2" t="s">
        <v>3936</v>
      </c>
      <c r="F713" s="2"/>
      <c r="G713" s="2"/>
      <c r="H713" s="2"/>
      <c r="I713" s="3">
        <f t="shared" si="11"/>
        <v>112</v>
      </c>
    </row>
    <row r="714" spans="1:9" ht="24" x14ac:dyDescent="0.3">
      <c r="A714" s="2" t="s">
        <v>146</v>
      </c>
      <c r="B714" s="2" t="s">
        <v>3939</v>
      </c>
      <c r="C714" s="2"/>
      <c r="D714" s="2" t="s">
        <v>3940</v>
      </c>
      <c r="E714" s="2" t="s">
        <v>39</v>
      </c>
      <c r="F714" s="2"/>
      <c r="G714" s="2"/>
      <c r="H714" s="2" t="s">
        <v>646</v>
      </c>
      <c r="I714" s="3">
        <f t="shared" si="11"/>
        <v>112</v>
      </c>
    </row>
    <row r="715" spans="1:9" ht="24" x14ac:dyDescent="0.3">
      <c r="A715" s="2" t="s">
        <v>146</v>
      </c>
      <c r="B715" s="2" t="s">
        <v>3943</v>
      </c>
      <c r="C715" s="2" t="s">
        <v>1507</v>
      </c>
      <c r="D715" s="2" t="s">
        <v>3944</v>
      </c>
      <c r="E715" s="2" t="s">
        <v>39</v>
      </c>
      <c r="F715" s="2"/>
      <c r="G715" s="2"/>
      <c r="H715" s="2"/>
      <c r="I715" s="3">
        <f t="shared" si="11"/>
        <v>112</v>
      </c>
    </row>
    <row r="716" spans="1:9" ht="24" x14ac:dyDescent="0.3">
      <c r="A716" s="2" t="s">
        <v>146</v>
      </c>
      <c r="B716" s="2" t="s">
        <v>3324</v>
      </c>
      <c r="C716" s="2" t="s">
        <v>389</v>
      </c>
      <c r="D716" s="2" t="s">
        <v>3945</v>
      </c>
      <c r="E716" s="2" t="s">
        <v>39</v>
      </c>
      <c r="F716" s="2"/>
      <c r="G716" s="2"/>
      <c r="H716" s="2"/>
      <c r="I716" s="3">
        <f t="shared" si="11"/>
        <v>113</v>
      </c>
    </row>
    <row r="717" spans="1:9" ht="24" x14ac:dyDescent="0.3">
      <c r="A717" s="2" t="s">
        <v>146</v>
      </c>
      <c r="B717" s="2" t="s">
        <v>3954</v>
      </c>
      <c r="C717" s="2" t="s">
        <v>437</v>
      </c>
      <c r="D717" s="2" t="s">
        <v>3955</v>
      </c>
      <c r="E717" s="2" t="s">
        <v>39</v>
      </c>
      <c r="F717" s="2"/>
      <c r="G717" s="2"/>
      <c r="H717" s="2"/>
      <c r="I717" s="3">
        <f t="shared" si="11"/>
        <v>113</v>
      </c>
    </row>
    <row r="718" spans="1:9" ht="24" x14ac:dyDescent="0.3">
      <c r="A718" s="2" t="s">
        <v>146</v>
      </c>
      <c r="B718" s="2" t="s">
        <v>901</v>
      </c>
      <c r="C718" s="2"/>
      <c r="D718" s="2" t="s">
        <v>3956</v>
      </c>
      <c r="E718" s="2" t="s">
        <v>39</v>
      </c>
      <c r="F718" s="2"/>
      <c r="G718" s="2"/>
      <c r="H718" s="2"/>
      <c r="I718" s="3">
        <f t="shared" si="11"/>
        <v>113</v>
      </c>
    </row>
    <row r="719" spans="1:9" ht="24" x14ac:dyDescent="0.3">
      <c r="A719" s="2" t="s">
        <v>146</v>
      </c>
      <c r="B719" s="2" t="s">
        <v>3957</v>
      </c>
      <c r="C719" s="2"/>
      <c r="D719" s="2" t="s">
        <v>3958</v>
      </c>
      <c r="E719" s="2" t="s">
        <v>39</v>
      </c>
      <c r="F719" s="2"/>
      <c r="G719" s="2"/>
      <c r="H719" s="2"/>
      <c r="I719" s="3">
        <f t="shared" si="11"/>
        <v>113</v>
      </c>
    </row>
    <row r="720" spans="1:9" ht="24" x14ac:dyDescent="0.3">
      <c r="A720" s="2" t="s">
        <v>146</v>
      </c>
      <c r="B720" s="2" t="s">
        <v>3959</v>
      </c>
      <c r="C720" s="2"/>
      <c r="D720" s="2" t="s">
        <v>3960</v>
      </c>
      <c r="E720" s="2" t="s">
        <v>39</v>
      </c>
      <c r="F720" s="2"/>
      <c r="G720" s="2"/>
      <c r="H720" s="2"/>
      <c r="I720" s="3">
        <f t="shared" si="11"/>
        <v>113</v>
      </c>
    </row>
    <row r="721" spans="1:9" ht="24" x14ac:dyDescent="0.3">
      <c r="A721" s="2" t="s">
        <v>146</v>
      </c>
      <c r="B721" s="2" t="s">
        <v>3964</v>
      </c>
      <c r="C721" s="2" t="s">
        <v>214</v>
      </c>
      <c r="D721" s="2" t="s">
        <v>3965</v>
      </c>
      <c r="E721" s="2" t="s">
        <v>39</v>
      </c>
      <c r="F721" s="2"/>
      <c r="G721" s="2"/>
      <c r="H721" s="2"/>
      <c r="I721" s="3">
        <f t="shared" si="11"/>
        <v>113</v>
      </c>
    </row>
    <row r="722" spans="1:9" ht="24" x14ac:dyDescent="0.3">
      <c r="A722" s="2" t="s">
        <v>146</v>
      </c>
      <c r="B722" s="2" t="s">
        <v>3966</v>
      </c>
      <c r="C722" s="2" t="s">
        <v>144</v>
      </c>
      <c r="D722" s="2" t="s">
        <v>3967</v>
      </c>
      <c r="E722" s="2" t="s">
        <v>39</v>
      </c>
      <c r="F722" s="2"/>
      <c r="G722" s="2"/>
      <c r="H722" s="2"/>
      <c r="I722" s="3">
        <f t="shared" si="11"/>
        <v>113</v>
      </c>
    </row>
    <row r="723" spans="1:9" ht="24" x14ac:dyDescent="0.3">
      <c r="A723" s="2" t="s">
        <v>146</v>
      </c>
      <c r="B723" s="2" t="s">
        <v>2780</v>
      </c>
      <c r="C723" s="2" t="s">
        <v>515</v>
      </c>
      <c r="D723" s="2" t="s">
        <v>3968</v>
      </c>
      <c r="E723" s="2" t="s">
        <v>39</v>
      </c>
      <c r="F723" s="2"/>
      <c r="G723" s="2"/>
      <c r="H723" s="2"/>
      <c r="I723" s="3">
        <f t="shared" si="11"/>
        <v>113</v>
      </c>
    </row>
    <row r="724" spans="1:9" ht="24" x14ac:dyDescent="0.3">
      <c r="A724" s="2" t="s">
        <v>146</v>
      </c>
      <c r="B724" s="2" t="s">
        <v>2096</v>
      </c>
      <c r="C724" s="2"/>
      <c r="D724" s="2" t="s">
        <v>3969</v>
      </c>
      <c r="E724" s="2" t="s">
        <v>39</v>
      </c>
      <c r="F724" s="2"/>
      <c r="G724" s="2"/>
      <c r="H724" s="2"/>
      <c r="I724" s="3">
        <f t="shared" si="11"/>
        <v>113</v>
      </c>
    </row>
    <row r="725" spans="1:9" ht="24" x14ac:dyDescent="0.3">
      <c r="A725" s="2" t="s">
        <v>146</v>
      </c>
      <c r="B725" s="2" t="s">
        <v>3972</v>
      </c>
      <c r="C725" s="2" t="s">
        <v>491</v>
      </c>
      <c r="D725" s="2" t="s">
        <v>3973</v>
      </c>
      <c r="E725" s="2" t="s">
        <v>39</v>
      </c>
      <c r="F725" s="2"/>
      <c r="G725" s="2"/>
      <c r="H725" s="2"/>
      <c r="I725" s="3">
        <f t="shared" si="11"/>
        <v>113</v>
      </c>
    </row>
    <row r="726" spans="1:9" ht="24" x14ac:dyDescent="0.3">
      <c r="A726" s="2" t="s">
        <v>146</v>
      </c>
      <c r="B726" s="2" t="s">
        <v>3978</v>
      </c>
      <c r="C726" s="2"/>
      <c r="D726" s="2" t="s">
        <v>3979</v>
      </c>
      <c r="E726" s="2" t="s">
        <v>3980</v>
      </c>
      <c r="F726" s="2"/>
      <c r="G726" s="2"/>
      <c r="H726" s="2"/>
      <c r="I726" s="3">
        <f t="shared" si="11"/>
        <v>113</v>
      </c>
    </row>
    <row r="727" spans="1:9" ht="24" x14ac:dyDescent="0.3">
      <c r="A727" s="2" t="s">
        <v>146</v>
      </c>
      <c r="B727" s="2" t="s">
        <v>3984</v>
      </c>
      <c r="C727" s="2" t="s">
        <v>95</v>
      </c>
      <c r="D727" s="2" t="s">
        <v>3985</v>
      </c>
      <c r="E727" s="2" t="s">
        <v>39</v>
      </c>
      <c r="F727" s="2"/>
      <c r="G727" s="2"/>
      <c r="H727" s="2"/>
      <c r="I727" s="3">
        <f t="shared" si="11"/>
        <v>113</v>
      </c>
    </row>
    <row r="728" spans="1:9" ht="24" x14ac:dyDescent="0.3">
      <c r="A728" s="2" t="s">
        <v>146</v>
      </c>
      <c r="B728" s="2" t="s">
        <v>3986</v>
      </c>
      <c r="C728" s="2" t="s">
        <v>389</v>
      </c>
      <c r="D728" s="2" t="s">
        <v>3987</v>
      </c>
      <c r="E728" s="2" t="s">
        <v>39</v>
      </c>
      <c r="F728" s="2"/>
      <c r="G728" s="2"/>
      <c r="H728" s="2"/>
      <c r="I728" s="3">
        <f t="shared" si="11"/>
        <v>114</v>
      </c>
    </row>
    <row r="729" spans="1:9" ht="24" x14ac:dyDescent="0.3">
      <c r="A729" s="2" t="s">
        <v>146</v>
      </c>
      <c r="B729" s="2" t="s">
        <v>3990</v>
      </c>
      <c r="C729" s="2" t="s">
        <v>3991</v>
      </c>
      <c r="D729" s="2" t="s">
        <v>3992</v>
      </c>
      <c r="E729" s="2" t="s">
        <v>379</v>
      </c>
      <c r="F729" s="2"/>
      <c r="G729" s="2"/>
      <c r="H729" s="2"/>
      <c r="I729" s="3">
        <f t="shared" si="11"/>
        <v>114</v>
      </c>
    </row>
    <row r="730" spans="1:9" ht="24" x14ac:dyDescent="0.3">
      <c r="A730" s="2" t="s">
        <v>146</v>
      </c>
      <c r="B730" s="2" t="s">
        <v>3993</v>
      </c>
      <c r="C730" s="2" t="s">
        <v>186</v>
      </c>
      <c r="D730" s="2" t="s">
        <v>3994</v>
      </c>
      <c r="E730" s="2" t="s">
        <v>39</v>
      </c>
      <c r="F730" s="2"/>
      <c r="G730" s="2"/>
      <c r="H730" s="2"/>
      <c r="I730" s="3">
        <f t="shared" si="11"/>
        <v>114</v>
      </c>
    </row>
    <row r="731" spans="1:9" ht="24" x14ac:dyDescent="0.3">
      <c r="A731" s="2" t="s">
        <v>146</v>
      </c>
      <c r="B731" s="2" t="s">
        <v>787</v>
      </c>
      <c r="C731" s="2" t="s">
        <v>788</v>
      </c>
      <c r="D731" s="2" t="s">
        <v>3995</v>
      </c>
      <c r="E731" s="2" t="s">
        <v>39</v>
      </c>
      <c r="F731" s="2"/>
      <c r="G731" s="2"/>
      <c r="H731" s="2"/>
      <c r="I731" s="3">
        <f t="shared" si="11"/>
        <v>114</v>
      </c>
    </row>
    <row r="732" spans="1:9" ht="24" x14ac:dyDescent="0.3">
      <c r="A732" s="2" t="s">
        <v>146</v>
      </c>
      <c r="B732" s="2" t="s">
        <v>3227</v>
      </c>
      <c r="C732" s="2" t="s">
        <v>95</v>
      </c>
      <c r="D732" s="2" t="s">
        <v>3996</v>
      </c>
      <c r="E732" s="2" t="s">
        <v>39</v>
      </c>
      <c r="F732" s="2"/>
      <c r="G732" s="2"/>
      <c r="H732" s="2"/>
      <c r="I732" s="3">
        <f t="shared" si="11"/>
        <v>114</v>
      </c>
    </row>
    <row r="733" spans="1:9" ht="24" x14ac:dyDescent="0.3">
      <c r="A733" s="2" t="s">
        <v>146</v>
      </c>
      <c r="B733" s="2" t="s">
        <v>3997</v>
      </c>
      <c r="C733" s="2"/>
      <c r="D733" s="2" t="s">
        <v>3998</v>
      </c>
      <c r="E733" s="2" t="s">
        <v>39</v>
      </c>
      <c r="F733" s="2"/>
      <c r="G733" s="2"/>
      <c r="H733" s="2"/>
      <c r="I733" s="3">
        <f t="shared" si="11"/>
        <v>114</v>
      </c>
    </row>
    <row r="734" spans="1:9" ht="24" x14ac:dyDescent="0.3">
      <c r="A734" s="2" t="s">
        <v>146</v>
      </c>
      <c r="B734" s="2" t="s">
        <v>4001</v>
      </c>
      <c r="C734" s="2" t="s">
        <v>491</v>
      </c>
      <c r="D734" s="2" t="s">
        <v>4002</v>
      </c>
      <c r="E734" s="2" t="s">
        <v>39</v>
      </c>
      <c r="F734" s="2"/>
      <c r="G734" s="2"/>
      <c r="H734" s="2"/>
      <c r="I734" s="3">
        <f t="shared" si="11"/>
        <v>114</v>
      </c>
    </row>
    <row r="735" spans="1:9" x14ac:dyDescent="0.3">
      <c r="A735" s="2" t="s">
        <v>146</v>
      </c>
      <c r="B735" s="2" t="s">
        <v>4003</v>
      </c>
      <c r="C735" s="2" t="s">
        <v>332</v>
      </c>
      <c r="D735" s="2" t="s">
        <v>4004</v>
      </c>
      <c r="E735" s="2" t="s">
        <v>39</v>
      </c>
      <c r="F735" s="2"/>
      <c r="G735" s="2"/>
      <c r="H735" s="2"/>
      <c r="I735" s="3">
        <f t="shared" si="11"/>
        <v>114</v>
      </c>
    </row>
    <row r="736" spans="1:9" ht="24" x14ac:dyDescent="0.3">
      <c r="A736" s="2" t="s">
        <v>146</v>
      </c>
      <c r="B736" s="2" t="s">
        <v>1759</v>
      </c>
      <c r="C736" s="2" t="s">
        <v>911</v>
      </c>
      <c r="D736" s="2" t="s">
        <v>4005</v>
      </c>
      <c r="E736" s="2" t="s">
        <v>39</v>
      </c>
      <c r="F736" s="2"/>
      <c r="G736" s="2"/>
      <c r="H736" s="2"/>
      <c r="I736" s="3">
        <f t="shared" si="11"/>
        <v>114</v>
      </c>
    </row>
    <row r="737" spans="1:9" ht="24" x14ac:dyDescent="0.3">
      <c r="A737" s="2" t="s">
        <v>146</v>
      </c>
      <c r="B737" s="2" t="s">
        <v>4026</v>
      </c>
      <c r="C737" s="2" t="s">
        <v>95</v>
      </c>
      <c r="D737" s="2" t="s">
        <v>4027</v>
      </c>
      <c r="E737" s="2" t="s">
        <v>39</v>
      </c>
      <c r="F737" s="2"/>
      <c r="G737" s="2"/>
      <c r="H737" s="2"/>
      <c r="I737" s="3">
        <f t="shared" si="11"/>
        <v>115</v>
      </c>
    </row>
    <row r="738" spans="1:9" ht="24" x14ac:dyDescent="0.3">
      <c r="A738" s="2" t="s">
        <v>146</v>
      </c>
      <c r="B738" s="2" t="s">
        <v>4028</v>
      </c>
      <c r="C738" s="2" t="s">
        <v>422</v>
      </c>
      <c r="D738" s="2" t="s">
        <v>4029</v>
      </c>
      <c r="E738" s="2"/>
      <c r="F738" s="2"/>
      <c r="G738" s="2"/>
      <c r="H738" s="2"/>
      <c r="I738" s="3">
        <f t="shared" si="11"/>
        <v>115</v>
      </c>
    </row>
    <row r="739" spans="1:9" ht="24" x14ac:dyDescent="0.3">
      <c r="A739" s="2" t="s">
        <v>146</v>
      </c>
      <c r="B739" s="2" t="s">
        <v>4032</v>
      </c>
      <c r="C739" s="2" t="s">
        <v>491</v>
      </c>
      <c r="D739" s="2" t="s">
        <v>4033</v>
      </c>
      <c r="E739" s="2" t="s">
        <v>39</v>
      </c>
      <c r="F739" s="2"/>
      <c r="G739" s="2"/>
      <c r="H739" s="2"/>
      <c r="I739" s="3">
        <f t="shared" si="11"/>
        <v>115</v>
      </c>
    </row>
    <row r="740" spans="1:9" ht="24" x14ac:dyDescent="0.3">
      <c r="A740" s="2" t="s">
        <v>146</v>
      </c>
      <c r="B740" s="2" t="s">
        <v>1546</v>
      </c>
      <c r="C740" s="2"/>
      <c r="D740" s="2" t="s">
        <v>4035</v>
      </c>
      <c r="E740" s="2" t="s">
        <v>3036</v>
      </c>
      <c r="F740" s="2"/>
      <c r="G740" s="2"/>
      <c r="H740" s="2"/>
      <c r="I740" s="3">
        <f t="shared" si="11"/>
        <v>115</v>
      </c>
    </row>
    <row r="741" spans="1:9" ht="24" x14ac:dyDescent="0.3">
      <c r="A741" s="2" t="s">
        <v>146</v>
      </c>
      <c r="B741" s="2" t="s">
        <v>4038</v>
      </c>
      <c r="C741" s="2"/>
      <c r="D741" s="2" t="s">
        <v>4039</v>
      </c>
      <c r="E741" s="2" t="s">
        <v>39</v>
      </c>
      <c r="F741" s="2"/>
      <c r="G741" s="2"/>
      <c r="H741" s="2"/>
      <c r="I741" s="3">
        <f t="shared" si="11"/>
        <v>115</v>
      </c>
    </row>
    <row r="742" spans="1:9" ht="24" x14ac:dyDescent="0.3">
      <c r="A742" s="2" t="s">
        <v>146</v>
      </c>
      <c r="B742" s="2" t="s">
        <v>4042</v>
      </c>
      <c r="C742" s="2"/>
      <c r="D742" s="2" t="s">
        <v>4043</v>
      </c>
      <c r="E742" s="2" t="s">
        <v>39</v>
      </c>
      <c r="F742" s="2"/>
      <c r="G742" s="2"/>
      <c r="H742" s="2" t="s">
        <v>646</v>
      </c>
      <c r="I742" s="3">
        <f t="shared" si="11"/>
        <v>115</v>
      </c>
    </row>
    <row r="743" spans="1:9" ht="24" x14ac:dyDescent="0.3">
      <c r="A743" s="2" t="s">
        <v>146</v>
      </c>
      <c r="B743" s="2" t="s">
        <v>4046</v>
      </c>
      <c r="C743" s="2" t="s">
        <v>491</v>
      </c>
      <c r="D743" s="2" t="s">
        <v>4047</v>
      </c>
      <c r="E743" s="2" t="s">
        <v>39</v>
      </c>
      <c r="F743" s="2"/>
      <c r="G743" s="2"/>
      <c r="H743" s="2"/>
      <c r="I743" s="3">
        <f t="shared" si="11"/>
        <v>116</v>
      </c>
    </row>
    <row r="744" spans="1:9" ht="24" x14ac:dyDescent="0.3">
      <c r="A744" s="2" t="s">
        <v>146</v>
      </c>
      <c r="B744" s="2" t="s">
        <v>4048</v>
      </c>
      <c r="C744" s="2" t="s">
        <v>14</v>
      </c>
      <c r="D744" s="2" t="s">
        <v>4049</v>
      </c>
      <c r="E744" s="2" t="s">
        <v>39</v>
      </c>
      <c r="F744" s="2"/>
      <c r="G744" s="2"/>
      <c r="H744" s="2"/>
      <c r="I744" s="3">
        <f t="shared" si="11"/>
        <v>116</v>
      </c>
    </row>
    <row r="745" spans="1:9" ht="24" x14ac:dyDescent="0.3">
      <c r="A745" s="2" t="s">
        <v>146</v>
      </c>
      <c r="B745" s="2" t="s">
        <v>4050</v>
      </c>
      <c r="C745" s="2"/>
      <c r="D745" s="2" t="s">
        <v>4051</v>
      </c>
      <c r="E745" s="2" t="s">
        <v>39</v>
      </c>
      <c r="F745" s="2"/>
      <c r="G745" s="2"/>
      <c r="H745" s="2"/>
      <c r="I745" s="3">
        <f t="shared" si="11"/>
        <v>116</v>
      </c>
    </row>
    <row r="746" spans="1:9" ht="24" x14ac:dyDescent="0.3">
      <c r="A746" s="2" t="s">
        <v>146</v>
      </c>
      <c r="B746" s="2" t="s">
        <v>4054</v>
      </c>
      <c r="C746" s="2"/>
      <c r="D746" s="2" t="s">
        <v>4055</v>
      </c>
      <c r="E746" s="2" t="s">
        <v>39</v>
      </c>
      <c r="F746" s="2"/>
      <c r="G746" s="2"/>
      <c r="H746" s="2"/>
      <c r="I746" s="3">
        <f t="shared" si="11"/>
        <v>116</v>
      </c>
    </row>
    <row r="747" spans="1:9" ht="24" x14ac:dyDescent="0.3">
      <c r="A747" s="2" t="s">
        <v>146</v>
      </c>
      <c r="B747" s="2" t="s">
        <v>4056</v>
      </c>
      <c r="C747" s="2"/>
      <c r="D747" s="2" t="s">
        <v>4057</v>
      </c>
      <c r="E747" s="2" t="s">
        <v>39</v>
      </c>
      <c r="F747" s="2"/>
      <c r="G747" s="2"/>
      <c r="H747" s="2"/>
      <c r="I747" s="3">
        <f t="shared" si="11"/>
        <v>116</v>
      </c>
    </row>
    <row r="748" spans="1:9" ht="24" x14ac:dyDescent="0.3">
      <c r="A748" s="2" t="s">
        <v>146</v>
      </c>
      <c r="B748" s="2" t="s">
        <v>4058</v>
      </c>
      <c r="C748" s="2" t="s">
        <v>214</v>
      </c>
      <c r="D748" s="2" t="s">
        <v>4059</v>
      </c>
      <c r="E748" s="2" t="s">
        <v>39</v>
      </c>
      <c r="F748" s="2"/>
      <c r="G748" s="2"/>
      <c r="H748" s="2"/>
      <c r="I748" s="3">
        <f t="shared" si="11"/>
        <v>116</v>
      </c>
    </row>
    <row r="749" spans="1:9" ht="24" x14ac:dyDescent="0.3">
      <c r="A749" s="2" t="s">
        <v>146</v>
      </c>
      <c r="B749" s="2" t="s">
        <v>4060</v>
      </c>
      <c r="C749" s="2"/>
      <c r="D749" s="2" t="s">
        <v>4061</v>
      </c>
      <c r="E749" s="2" t="s">
        <v>39</v>
      </c>
      <c r="F749" s="2"/>
      <c r="G749" s="2"/>
      <c r="H749" s="2"/>
      <c r="I749" s="3">
        <f t="shared" si="11"/>
        <v>116</v>
      </c>
    </row>
    <row r="750" spans="1:9" ht="24" x14ac:dyDescent="0.3">
      <c r="A750" s="2" t="s">
        <v>146</v>
      </c>
      <c r="B750" s="2" t="s">
        <v>3365</v>
      </c>
      <c r="C750" s="2" t="s">
        <v>491</v>
      </c>
      <c r="D750" s="2" t="s">
        <v>4062</v>
      </c>
      <c r="E750" s="2" t="s">
        <v>39</v>
      </c>
      <c r="F750" s="2"/>
      <c r="G750" s="2"/>
      <c r="H750" s="2"/>
      <c r="I750" s="3">
        <f t="shared" si="11"/>
        <v>116</v>
      </c>
    </row>
    <row r="751" spans="1:9" ht="24" x14ac:dyDescent="0.3">
      <c r="A751" s="2" t="s">
        <v>146</v>
      </c>
      <c r="B751" s="2" t="s">
        <v>4063</v>
      </c>
      <c r="C751" s="2" t="s">
        <v>491</v>
      </c>
      <c r="D751" s="2" t="s">
        <v>4064</v>
      </c>
      <c r="E751" s="2" t="s">
        <v>39</v>
      </c>
      <c r="F751" s="2"/>
      <c r="G751" s="2"/>
      <c r="H751" s="2"/>
      <c r="I751" s="3">
        <f t="shared" si="11"/>
        <v>116</v>
      </c>
    </row>
    <row r="752" spans="1:9" ht="24" x14ac:dyDescent="0.3">
      <c r="A752" s="2" t="s">
        <v>146</v>
      </c>
      <c r="B752" s="2" t="s">
        <v>4075</v>
      </c>
      <c r="C752" s="2" t="s">
        <v>1507</v>
      </c>
      <c r="D752" s="2" t="s">
        <v>4076</v>
      </c>
      <c r="E752" s="2" t="s">
        <v>39</v>
      </c>
      <c r="F752" s="2"/>
      <c r="G752" s="2"/>
      <c r="H752" s="2"/>
      <c r="I752" s="3">
        <f t="shared" si="11"/>
        <v>116</v>
      </c>
    </row>
    <row r="753" spans="1:9" ht="24" x14ac:dyDescent="0.3">
      <c r="A753" s="2" t="s">
        <v>146</v>
      </c>
      <c r="B753" s="2" t="s">
        <v>4077</v>
      </c>
      <c r="C753" s="2" t="s">
        <v>389</v>
      </c>
      <c r="D753" s="2" t="s">
        <v>4078</v>
      </c>
      <c r="E753" s="2" t="s">
        <v>39</v>
      </c>
      <c r="F753" s="2"/>
      <c r="G753" s="2"/>
      <c r="H753" s="2"/>
      <c r="I753" s="3">
        <f t="shared" si="11"/>
        <v>116</v>
      </c>
    </row>
    <row r="754" spans="1:9" ht="24" x14ac:dyDescent="0.3">
      <c r="A754" s="2" t="s">
        <v>146</v>
      </c>
      <c r="B754" s="2" t="s">
        <v>4081</v>
      </c>
      <c r="C754" s="3" t="s">
        <v>911</v>
      </c>
      <c r="D754" s="2" t="s">
        <v>4082</v>
      </c>
      <c r="E754" s="2" t="s">
        <v>39</v>
      </c>
      <c r="F754" s="2"/>
      <c r="G754" s="2"/>
      <c r="H754" s="2"/>
      <c r="I754" s="3">
        <f t="shared" si="11"/>
        <v>117</v>
      </c>
    </row>
    <row r="755" spans="1:9" ht="24" x14ac:dyDescent="0.3">
      <c r="A755" s="2" t="s">
        <v>146</v>
      </c>
      <c r="B755" s="2" t="s">
        <v>3401</v>
      </c>
      <c r="C755" s="2" t="s">
        <v>535</v>
      </c>
      <c r="D755" s="2" t="s">
        <v>4095</v>
      </c>
      <c r="E755" s="2" t="s">
        <v>39</v>
      </c>
      <c r="F755" s="2"/>
      <c r="G755" s="2"/>
      <c r="H755" s="2" t="s">
        <v>537</v>
      </c>
      <c r="I755" s="3">
        <f t="shared" si="11"/>
        <v>117</v>
      </c>
    </row>
    <row r="756" spans="1:9" ht="24" x14ac:dyDescent="0.3">
      <c r="A756" s="2" t="s">
        <v>146</v>
      </c>
      <c r="B756" s="2" t="s">
        <v>4104</v>
      </c>
      <c r="C756" s="2" t="s">
        <v>491</v>
      </c>
      <c r="D756" s="2" t="s">
        <v>4105</v>
      </c>
      <c r="E756" s="2" t="s">
        <v>39</v>
      </c>
      <c r="F756" s="2"/>
      <c r="G756" s="2"/>
      <c r="H756" s="2"/>
      <c r="I756" s="3">
        <f t="shared" si="11"/>
        <v>117</v>
      </c>
    </row>
    <row r="757" spans="1:9" ht="24" x14ac:dyDescent="0.3">
      <c r="A757" s="2" t="s">
        <v>146</v>
      </c>
      <c r="B757" s="2" t="s">
        <v>2621</v>
      </c>
      <c r="C757" s="2" t="s">
        <v>491</v>
      </c>
      <c r="D757" s="2" t="s">
        <v>4106</v>
      </c>
      <c r="E757" s="2" t="s">
        <v>39</v>
      </c>
      <c r="F757" s="2"/>
      <c r="G757" s="2"/>
      <c r="H757" s="2"/>
      <c r="I757" s="3">
        <f t="shared" si="11"/>
        <v>117</v>
      </c>
    </row>
    <row r="758" spans="1:9" ht="24" x14ac:dyDescent="0.3">
      <c r="A758" s="2" t="s">
        <v>146</v>
      </c>
      <c r="B758" s="2" t="s">
        <v>4107</v>
      </c>
      <c r="C758" s="2" t="s">
        <v>332</v>
      </c>
      <c r="D758" s="2" t="s">
        <v>4108</v>
      </c>
      <c r="E758" s="2" t="s">
        <v>39</v>
      </c>
      <c r="F758" s="2"/>
      <c r="G758" s="2"/>
      <c r="H758" s="2"/>
      <c r="I758" s="3">
        <f t="shared" si="11"/>
        <v>117</v>
      </c>
    </row>
    <row r="759" spans="1:9" ht="24" x14ac:dyDescent="0.3">
      <c r="A759" s="2" t="s">
        <v>146</v>
      </c>
      <c r="B759" s="2" t="s">
        <v>4119</v>
      </c>
      <c r="C759" s="2"/>
      <c r="D759" s="2" t="s">
        <v>4120</v>
      </c>
      <c r="E759" s="2"/>
      <c r="F759" s="2"/>
      <c r="G759" s="2"/>
      <c r="H759" s="2"/>
      <c r="I759" s="3">
        <f t="shared" si="11"/>
        <v>117</v>
      </c>
    </row>
    <row r="760" spans="1:9" ht="24" x14ac:dyDescent="0.3">
      <c r="A760" s="2" t="s">
        <v>146</v>
      </c>
      <c r="B760" s="2" t="s">
        <v>4121</v>
      </c>
      <c r="C760" s="2" t="s">
        <v>2365</v>
      </c>
      <c r="D760" s="2" t="s">
        <v>4122</v>
      </c>
      <c r="E760" s="2" t="s">
        <v>39</v>
      </c>
      <c r="F760" s="2"/>
      <c r="G760" s="2"/>
      <c r="H760" s="2"/>
      <c r="I760" s="3">
        <f t="shared" si="11"/>
        <v>117</v>
      </c>
    </row>
    <row r="761" spans="1:9" ht="24" x14ac:dyDescent="0.3">
      <c r="A761" s="2" t="s">
        <v>146</v>
      </c>
      <c r="B761" s="2" t="s">
        <v>4131</v>
      </c>
      <c r="C761" s="2" t="s">
        <v>95</v>
      </c>
      <c r="D761" s="2" t="s">
        <v>4132</v>
      </c>
      <c r="E761" s="2" t="s">
        <v>39</v>
      </c>
      <c r="F761" s="2"/>
      <c r="G761" s="2"/>
      <c r="H761" s="2"/>
      <c r="I761" s="3">
        <f t="shared" si="11"/>
        <v>118</v>
      </c>
    </row>
    <row r="762" spans="1:9" ht="24" x14ac:dyDescent="0.3">
      <c r="A762" s="2" t="s">
        <v>146</v>
      </c>
      <c r="B762" s="2" t="s">
        <v>3399</v>
      </c>
      <c r="C762" s="2" t="s">
        <v>559</v>
      </c>
      <c r="D762" s="2" t="s">
        <v>4133</v>
      </c>
      <c r="E762" s="2" t="s">
        <v>39</v>
      </c>
      <c r="F762" s="2"/>
      <c r="G762" s="2"/>
      <c r="H762" s="2"/>
      <c r="I762" s="3">
        <f t="shared" si="11"/>
        <v>118</v>
      </c>
    </row>
    <row r="763" spans="1:9" ht="24" x14ac:dyDescent="0.3">
      <c r="A763" s="2" t="s">
        <v>146</v>
      </c>
      <c r="B763" s="2" t="s">
        <v>4138</v>
      </c>
      <c r="C763" s="2" t="s">
        <v>240</v>
      </c>
      <c r="D763" s="2" t="s">
        <v>4139</v>
      </c>
      <c r="E763" s="2"/>
      <c r="F763" s="2"/>
      <c r="G763" s="2"/>
      <c r="H763" s="2"/>
      <c r="I763" s="3">
        <f t="shared" si="11"/>
        <v>118</v>
      </c>
    </row>
    <row r="764" spans="1:9" ht="24" x14ac:dyDescent="0.3">
      <c r="A764" s="2" t="s">
        <v>146</v>
      </c>
      <c r="B764" s="2" t="s">
        <v>4140</v>
      </c>
      <c r="C764" s="2" t="s">
        <v>437</v>
      </c>
      <c r="D764" s="2" t="s">
        <v>4141</v>
      </c>
      <c r="E764" s="2" t="s">
        <v>39</v>
      </c>
      <c r="F764" s="2"/>
      <c r="G764" s="2"/>
      <c r="H764" s="2"/>
      <c r="I764" s="3">
        <f t="shared" si="11"/>
        <v>118</v>
      </c>
    </row>
    <row r="765" spans="1:9" ht="24" x14ac:dyDescent="0.3">
      <c r="A765" s="2" t="s">
        <v>146</v>
      </c>
      <c r="B765" s="2" t="s">
        <v>1071</v>
      </c>
      <c r="C765" s="2"/>
      <c r="D765" s="2" t="s">
        <v>4142</v>
      </c>
      <c r="E765" s="2" t="s">
        <v>39</v>
      </c>
      <c r="F765" s="2"/>
      <c r="G765" s="2"/>
      <c r="H765" s="2"/>
      <c r="I765" s="3">
        <f t="shared" si="11"/>
        <v>118</v>
      </c>
    </row>
    <row r="766" spans="1:9" ht="24" x14ac:dyDescent="0.3">
      <c r="A766" s="2" t="s">
        <v>146</v>
      </c>
      <c r="B766" s="2" t="s">
        <v>4143</v>
      </c>
      <c r="C766" s="2" t="s">
        <v>437</v>
      </c>
      <c r="D766" s="2" t="s">
        <v>4144</v>
      </c>
      <c r="E766" s="2" t="s">
        <v>39</v>
      </c>
      <c r="F766" s="2"/>
      <c r="G766" s="2"/>
      <c r="H766" s="2"/>
      <c r="I766" s="3">
        <f t="shared" si="11"/>
        <v>118</v>
      </c>
    </row>
    <row r="767" spans="1:9" ht="24" x14ac:dyDescent="0.3">
      <c r="A767" s="2" t="s">
        <v>146</v>
      </c>
      <c r="B767" s="2" t="s">
        <v>4145</v>
      </c>
      <c r="C767" s="2" t="s">
        <v>515</v>
      </c>
      <c r="D767" s="2" t="s">
        <v>4146</v>
      </c>
      <c r="E767" s="2" t="s">
        <v>39</v>
      </c>
      <c r="F767" s="2"/>
      <c r="G767" s="2"/>
      <c r="H767" s="2"/>
      <c r="I767" s="3">
        <f t="shared" si="11"/>
        <v>118</v>
      </c>
    </row>
    <row r="768" spans="1:9" ht="24" x14ac:dyDescent="0.3">
      <c r="A768" s="2" t="s">
        <v>146</v>
      </c>
      <c r="B768" s="2" t="s">
        <v>4147</v>
      </c>
      <c r="C768" s="2" t="s">
        <v>437</v>
      </c>
      <c r="D768" s="2" t="s">
        <v>4148</v>
      </c>
      <c r="E768" s="2" t="s">
        <v>39</v>
      </c>
      <c r="F768" s="2"/>
      <c r="G768" s="2"/>
      <c r="H768" s="2"/>
      <c r="I768" s="3">
        <f t="shared" si="11"/>
        <v>118</v>
      </c>
    </row>
    <row r="769" spans="1:9" ht="24" x14ac:dyDescent="0.3">
      <c r="A769" s="2" t="s">
        <v>146</v>
      </c>
      <c r="B769" s="2" t="s">
        <v>1156</v>
      </c>
      <c r="C769" s="2" t="s">
        <v>332</v>
      </c>
      <c r="D769" s="2" t="s">
        <v>4149</v>
      </c>
      <c r="E769" s="2" t="s">
        <v>39</v>
      </c>
      <c r="F769" s="2"/>
      <c r="G769" s="2"/>
      <c r="H769" s="2"/>
      <c r="I769" s="3">
        <f t="shared" si="11"/>
        <v>118</v>
      </c>
    </row>
    <row r="770" spans="1:9" ht="24" x14ac:dyDescent="0.3">
      <c r="A770" s="2" t="s">
        <v>146</v>
      </c>
      <c r="B770" s="2" t="s">
        <v>3426</v>
      </c>
      <c r="C770" s="2"/>
      <c r="D770" s="2" t="s">
        <v>4151</v>
      </c>
      <c r="E770" s="2" t="s">
        <v>39</v>
      </c>
      <c r="F770" s="2"/>
      <c r="G770" s="2"/>
      <c r="H770" s="2"/>
      <c r="I770" s="3">
        <f t="shared" ref="I770:I833" si="12">LEN(D770)</f>
        <v>118</v>
      </c>
    </row>
    <row r="771" spans="1:9" ht="24" x14ac:dyDescent="0.3">
      <c r="A771" s="2" t="s">
        <v>146</v>
      </c>
      <c r="B771" s="2" t="s">
        <v>4156</v>
      </c>
      <c r="C771" s="2" t="s">
        <v>911</v>
      </c>
      <c r="D771" s="2" t="s">
        <v>4157</v>
      </c>
      <c r="E771" s="2" t="s">
        <v>1188</v>
      </c>
      <c r="F771" s="2"/>
      <c r="G771" s="2"/>
      <c r="H771" s="2"/>
      <c r="I771" s="3">
        <f t="shared" si="12"/>
        <v>119</v>
      </c>
    </row>
    <row r="772" spans="1:9" ht="24" x14ac:dyDescent="0.3">
      <c r="A772" s="2" t="s">
        <v>146</v>
      </c>
      <c r="B772" s="2" t="s">
        <v>4167</v>
      </c>
      <c r="C772" s="2" t="s">
        <v>437</v>
      </c>
      <c r="D772" s="2" t="s">
        <v>4168</v>
      </c>
      <c r="E772" s="2" t="s">
        <v>2163</v>
      </c>
      <c r="F772" s="2"/>
      <c r="G772" s="2"/>
      <c r="H772" s="2"/>
      <c r="I772" s="3">
        <f t="shared" si="12"/>
        <v>119</v>
      </c>
    </row>
    <row r="773" spans="1:9" ht="24" x14ac:dyDescent="0.3">
      <c r="A773" s="2" t="s">
        <v>146</v>
      </c>
      <c r="B773" s="2" t="s">
        <v>4171</v>
      </c>
      <c r="C773" s="2" t="s">
        <v>178</v>
      </c>
      <c r="D773" s="2" t="s">
        <v>4172</v>
      </c>
      <c r="E773" s="2" t="s">
        <v>39</v>
      </c>
      <c r="F773" s="2"/>
      <c r="G773" s="2"/>
      <c r="H773" s="2"/>
      <c r="I773" s="3">
        <f t="shared" si="12"/>
        <v>119</v>
      </c>
    </row>
    <row r="774" spans="1:9" ht="24" x14ac:dyDescent="0.3">
      <c r="A774" s="2" t="s">
        <v>146</v>
      </c>
      <c r="B774" s="2" t="s">
        <v>4173</v>
      </c>
      <c r="C774" s="2" t="s">
        <v>4174</v>
      </c>
      <c r="D774" s="2" t="s">
        <v>4175</v>
      </c>
      <c r="E774" s="2" t="s">
        <v>39</v>
      </c>
      <c r="F774" s="2"/>
      <c r="G774" s="2"/>
      <c r="H774" s="2" t="s">
        <v>194</v>
      </c>
      <c r="I774" s="3">
        <f t="shared" si="12"/>
        <v>119</v>
      </c>
    </row>
    <row r="775" spans="1:9" ht="24" x14ac:dyDescent="0.3">
      <c r="A775" s="2" t="s">
        <v>146</v>
      </c>
      <c r="B775" s="2" t="s">
        <v>2784</v>
      </c>
      <c r="C775" s="2"/>
      <c r="D775" s="2" t="s">
        <v>4178</v>
      </c>
      <c r="E775" s="2" t="s">
        <v>39</v>
      </c>
      <c r="F775" s="2"/>
      <c r="G775" s="2"/>
      <c r="H775" s="2"/>
      <c r="I775" s="3">
        <f t="shared" si="12"/>
        <v>119</v>
      </c>
    </row>
    <row r="776" spans="1:9" ht="24" x14ac:dyDescent="0.3">
      <c r="A776" s="2" t="s">
        <v>146</v>
      </c>
      <c r="B776" s="2" t="s">
        <v>4179</v>
      </c>
      <c r="C776" s="2" t="s">
        <v>515</v>
      </c>
      <c r="D776" s="2" t="s">
        <v>4180</v>
      </c>
      <c r="E776" s="2" t="s">
        <v>39</v>
      </c>
      <c r="F776" s="2"/>
      <c r="G776" s="2"/>
      <c r="H776" s="2"/>
      <c r="I776" s="3">
        <f t="shared" si="12"/>
        <v>119</v>
      </c>
    </row>
    <row r="777" spans="1:9" ht="24" x14ac:dyDescent="0.3">
      <c r="A777" s="2" t="s">
        <v>146</v>
      </c>
      <c r="B777" s="2" t="s">
        <v>3605</v>
      </c>
      <c r="C777" s="2"/>
      <c r="D777" s="2" t="s">
        <v>4187</v>
      </c>
      <c r="E777" s="2" t="s">
        <v>39</v>
      </c>
      <c r="F777" s="2"/>
      <c r="G777" s="2"/>
      <c r="H777" s="2"/>
      <c r="I777" s="3">
        <f t="shared" si="12"/>
        <v>119</v>
      </c>
    </row>
    <row r="778" spans="1:9" ht="24" x14ac:dyDescent="0.3">
      <c r="A778" s="2" t="s">
        <v>146</v>
      </c>
      <c r="B778" s="2" t="s">
        <v>4188</v>
      </c>
      <c r="C778" s="2" t="s">
        <v>437</v>
      </c>
      <c r="D778" s="2" t="s">
        <v>4189</v>
      </c>
      <c r="E778" s="2" t="s">
        <v>39</v>
      </c>
      <c r="F778" s="2"/>
      <c r="G778" s="2"/>
      <c r="H778" s="2"/>
      <c r="I778" s="3">
        <f t="shared" si="12"/>
        <v>119</v>
      </c>
    </row>
    <row r="779" spans="1:9" ht="24" x14ac:dyDescent="0.3">
      <c r="A779" s="2" t="s">
        <v>146</v>
      </c>
      <c r="B779" s="2" t="s">
        <v>4191</v>
      </c>
      <c r="C779" s="2" t="s">
        <v>95</v>
      </c>
      <c r="D779" s="2" t="s">
        <v>4192</v>
      </c>
      <c r="E779" s="2" t="s">
        <v>39</v>
      </c>
      <c r="F779" s="2"/>
      <c r="G779" s="2"/>
      <c r="H779" s="2"/>
      <c r="I779" s="3">
        <f t="shared" si="12"/>
        <v>120</v>
      </c>
    </row>
    <row r="780" spans="1:9" ht="24" x14ac:dyDescent="0.3">
      <c r="A780" s="2" t="s">
        <v>146</v>
      </c>
      <c r="B780" s="2" t="s">
        <v>4194</v>
      </c>
      <c r="C780" s="2" t="s">
        <v>437</v>
      </c>
      <c r="D780" s="2" t="s">
        <v>4195</v>
      </c>
      <c r="E780" s="2" t="s">
        <v>2891</v>
      </c>
      <c r="F780" s="2"/>
      <c r="G780" s="2"/>
      <c r="H780" s="2"/>
      <c r="I780" s="3">
        <f t="shared" si="12"/>
        <v>120</v>
      </c>
    </row>
    <row r="781" spans="1:9" ht="24" x14ac:dyDescent="0.3">
      <c r="A781" s="2" t="s">
        <v>146</v>
      </c>
      <c r="B781" s="2" t="s">
        <v>4203</v>
      </c>
      <c r="C781" s="2" t="s">
        <v>214</v>
      </c>
      <c r="D781" s="2" t="s">
        <v>4204</v>
      </c>
      <c r="E781" s="2" t="s">
        <v>39</v>
      </c>
      <c r="F781" s="2"/>
      <c r="G781" s="2"/>
      <c r="H781" s="2"/>
      <c r="I781" s="3">
        <f t="shared" si="12"/>
        <v>120</v>
      </c>
    </row>
    <row r="782" spans="1:9" ht="24" x14ac:dyDescent="0.3">
      <c r="A782" s="2" t="s">
        <v>146</v>
      </c>
      <c r="B782" s="2" t="s">
        <v>925</v>
      </c>
      <c r="C782" s="2" t="s">
        <v>95</v>
      </c>
      <c r="D782" s="2" t="s">
        <v>4205</v>
      </c>
      <c r="E782" s="2" t="s">
        <v>3226</v>
      </c>
      <c r="F782" s="2"/>
      <c r="G782" s="2"/>
      <c r="H782" s="2"/>
      <c r="I782" s="3">
        <f t="shared" si="12"/>
        <v>120</v>
      </c>
    </row>
    <row r="783" spans="1:9" ht="24" x14ac:dyDescent="0.3">
      <c r="A783" s="2" t="s">
        <v>146</v>
      </c>
      <c r="B783" s="2" t="s">
        <v>4206</v>
      </c>
      <c r="C783" s="2"/>
      <c r="D783" s="2" t="s">
        <v>4207</v>
      </c>
      <c r="E783" s="2" t="s">
        <v>39</v>
      </c>
      <c r="F783" s="2"/>
      <c r="G783" s="2"/>
      <c r="H783" s="2"/>
      <c r="I783" s="3">
        <f t="shared" si="12"/>
        <v>120</v>
      </c>
    </row>
    <row r="784" spans="1:9" ht="24" x14ac:dyDescent="0.3">
      <c r="A784" s="2" t="s">
        <v>146</v>
      </c>
      <c r="B784" s="2" t="s">
        <v>4069</v>
      </c>
      <c r="C784" s="2" t="s">
        <v>240</v>
      </c>
      <c r="D784" s="2" t="s">
        <v>4208</v>
      </c>
      <c r="E784" s="2"/>
      <c r="F784" s="2"/>
      <c r="G784" s="2"/>
      <c r="H784" s="2"/>
      <c r="I784" s="3">
        <f t="shared" si="12"/>
        <v>120</v>
      </c>
    </row>
    <row r="785" spans="1:9" ht="24" x14ac:dyDescent="0.3">
      <c r="A785" s="2" t="s">
        <v>146</v>
      </c>
      <c r="B785" s="2" t="s">
        <v>4209</v>
      </c>
      <c r="C785" s="2" t="s">
        <v>4210</v>
      </c>
      <c r="D785" s="2" t="s">
        <v>4211</v>
      </c>
      <c r="E785" s="2" t="s">
        <v>39</v>
      </c>
      <c r="F785" s="2"/>
      <c r="G785" s="2"/>
      <c r="H785" s="2"/>
      <c r="I785" s="3">
        <f t="shared" si="12"/>
        <v>120</v>
      </c>
    </row>
    <row r="786" spans="1:9" ht="24" x14ac:dyDescent="0.3">
      <c r="A786" s="2" t="s">
        <v>146</v>
      </c>
      <c r="B786" s="2" t="s">
        <v>3185</v>
      </c>
      <c r="C786" s="2" t="s">
        <v>491</v>
      </c>
      <c r="D786" s="2" t="s">
        <v>4212</v>
      </c>
      <c r="E786" s="2" t="s">
        <v>39</v>
      </c>
      <c r="F786" s="2"/>
      <c r="G786" s="2"/>
      <c r="H786" s="2"/>
      <c r="I786" s="3">
        <f t="shared" si="12"/>
        <v>120</v>
      </c>
    </row>
    <row r="787" spans="1:9" ht="24" x14ac:dyDescent="0.3">
      <c r="A787" s="2" t="s">
        <v>146</v>
      </c>
      <c r="B787" s="2" t="s">
        <v>4213</v>
      </c>
      <c r="C787" s="2" t="s">
        <v>491</v>
      </c>
      <c r="D787" s="2" t="s">
        <v>4214</v>
      </c>
      <c r="E787" s="2" t="s">
        <v>39</v>
      </c>
      <c r="F787" s="2"/>
      <c r="G787" s="2"/>
      <c r="H787" s="2"/>
      <c r="I787" s="3">
        <f t="shared" si="12"/>
        <v>120</v>
      </c>
    </row>
    <row r="788" spans="1:9" ht="24" x14ac:dyDescent="0.3">
      <c r="A788" s="2" t="s">
        <v>146</v>
      </c>
      <c r="B788" s="2" t="s">
        <v>4217</v>
      </c>
      <c r="C788" s="2" t="s">
        <v>559</v>
      </c>
      <c r="D788" s="2" t="s">
        <v>4218</v>
      </c>
      <c r="E788" s="2" t="s">
        <v>39</v>
      </c>
      <c r="F788" s="2"/>
      <c r="G788" s="2"/>
      <c r="H788" s="2"/>
      <c r="I788" s="3">
        <f t="shared" si="12"/>
        <v>120</v>
      </c>
    </row>
    <row r="789" spans="1:9" ht="24" x14ac:dyDescent="0.3">
      <c r="A789" s="2" t="s">
        <v>146</v>
      </c>
      <c r="B789" s="2" t="s">
        <v>2584</v>
      </c>
      <c r="C789" s="2" t="s">
        <v>35</v>
      </c>
      <c r="D789" s="2" t="s">
        <v>8734</v>
      </c>
      <c r="E789" s="2" t="s">
        <v>39</v>
      </c>
      <c r="F789" s="2" t="s">
        <v>3082</v>
      </c>
      <c r="G789" s="2" t="s">
        <v>1717</v>
      </c>
      <c r="H789" s="2"/>
      <c r="I789" s="3">
        <f t="shared" si="12"/>
        <v>118</v>
      </c>
    </row>
    <row r="790" spans="1:9" ht="24" x14ac:dyDescent="0.3">
      <c r="A790" s="2" t="s">
        <v>146</v>
      </c>
      <c r="B790" s="2" t="s">
        <v>4225</v>
      </c>
      <c r="C790" s="2"/>
      <c r="D790" s="2" t="s">
        <v>4226</v>
      </c>
      <c r="E790" s="2" t="s">
        <v>39</v>
      </c>
      <c r="F790" s="2"/>
      <c r="G790" s="2"/>
      <c r="H790" s="2" t="s">
        <v>194</v>
      </c>
      <c r="I790" s="3">
        <f t="shared" si="12"/>
        <v>120</v>
      </c>
    </row>
    <row r="791" spans="1:9" ht="24" x14ac:dyDescent="0.3">
      <c r="A791" s="2" t="s">
        <v>146</v>
      </c>
      <c r="B791" s="2" t="s">
        <v>448</v>
      </c>
      <c r="C791" s="2"/>
      <c r="D791" s="2" t="s">
        <v>4232</v>
      </c>
      <c r="E791" s="2" t="s">
        <v>39</v>
      </c>
      <c r="F791" s="2"/>
      <c r="G791" s="2"/>
      <c r="H791" s="2"/>
      <c r="I791" s="3">
        <f t="shared" si="12"/>
        <v>121</v>
      </c>
    </row>
    <row r="792" spans="1:9" ht="24" x14ac:dyDescent="0.3">
      <c r="A792" s="2" t="s">
        <v>146</v>
      </c>
      <c r="B792" s="2" t="s">
        <v>4233</v>
      </c>
      <c r="C792" s="2" t="s">
        <v>911</v>
      </c>
      <c r="D792" s="2" t="s">
        <v>4234</v>
      </c>
      <c r="E792" s="2" t="s">
        <v>4235</v>
      </c>
      <c r="F792" s="2"/>
      <c r="G792" s="2"/>
      <c r="H792" s="2"/>
      <c r="I792" s="3">
        <f t="shared" si="12"/>
        <v>121</v>
      </c>
    </row>
    <row r="793" spans="1:9" ht="24" x14ac:dyDescent="0.3">
      <c r="A793" s="2" t="s">
        <v>146</v>
      </c>
      <c r="B793" s="2" t="s">
        <v>3569</v>
      </c>
      <c r="C793" s="2" t="s">
        <v>437</v>
      </c>
      <c r="D793" s="2" t="s">
        <v>4239</v>
      </c>
      <c r="E793" s="2" t="s">
        <v>3571</v>
      </c>
      <c r="F793" s="2"/>
      <c r="G793" s="2"/>
      <c r="H793" s="2"/>
      <c r="I793" s="3">
        <f t="shared" si="12"/>
        <v>121</v>
      </c>
    </row>
    <row r="794" spans="1:9" ht="24" x14ac:dyDescent="0.3">
      <c r="A794" s="2" t="s">
        <v>146</v>
      </c>
      <c r="B794" s="2" t="s">
        <v>4244</v>
      </c>
      <c r="C794" s="2"/>
      <c r="D794" s="2" t="s">
        <v>4245</v>
      </c>
      <c r="E794" s="2" t="s">
        <v>39</v>
      </c>
      <c r="F794" s="2"/>
      <c r="G794" s="2"/>
      <c r="H794" s="2" t="s">
        <v>1176</v>
      </c>
      <c r="I794" s="3">
        <f t="shared" si="12"/>
        <v>121</v>
      </c>
    </row>
    <row r="795" spans="1:9" ht="24" x14ac:dyDescent="0.3">
      <c r="A795" s="2" t="s">
        <v>146</v>
      </c>
      <c r="B795" s="2" t="s">
        <v>4254</v>
      </c>
      <c r="C795" s="2" t="s">
        <v>95</v>
      </c>
      <c r="D795" s="2" t="s">
        <v>4255</v>
      </c>
      <c r="E795" s="2" t="s">
        <v>39</v>
      </c>
      <c r="F795" s="2"/>
      <c r="G795" s="2"/>
      <c r="H795" s="2"/>
      <c r="I795" s="3">
        <f t="shared" si="12"/>
        <v>121</v>
      </c>
    </row>
    <row r="796" spans="1:9" ht="24" x14ac:dyDescent="0.3">
      <c r="A796" s="2" t="s">
        <v>146</v>
      </c>
      <c r="B796" s="2" t="s">
        <v>4256</v>
      </c>
      <c r="C796" s="2" t="s">
        <v>491</v>
      </c>
      <c r="D796" s="2" t="s">
        <v>4257</v>
      </c>
      <c r="E796" s="2" t="s">
        <v>39</v>
      </c>
      <c r="F796" s="2"/>
      <c r="G796" s="2"/>
      <c r="H796" s="2"/>
      <c r="I796" s="3">
        <f t="shared" si="12"/>
        <v>121</v>
      </c>
    </row>
    <row r="797" spans="1:9" ht="24" x14ac:dyDescent="0.3">
      <c r="A797" s="2" t="s">
        <v>146</v>
      </c>
      <c r="B797" s="2" t="s">
        <v>4258</v>
      </c>
      <c r="C797" s="2"/>
      <c r="D797" s="2" t="s">
        <v>4259</v>
      </c>
      <c r="E797" s="2" t="s">
        <v>39</v>
      </c>
      <c r="F797" s="2"/>
      <c r="G797" s="2"/>
      <c r="H797" s="2"/>
      <c r="I797" s="3">
        <f t="shared" si="12"/>
        <v>121</v>
      </c>
    </row>
    <row r="798" spans="1:9" ht="24" x14ac:dyDescent="0.3">
      <c r="A798" s="2" t="s">
        <v>146</v>
      </c>
      <c r="B798" s="2" t="s">
        <v>4260</v>
      </c>
      <c r="C798" s="2"/>
      <c r="D798" s="2" t="s">
        <v>4261</v>
      </c>
      <c r="E798" s="2" t="s">
        <v>39</v>
      </c>
      <c r="F798" s="2"/>
      <c r="G798" s="2"/>
      <c r="H798" s="2"/>
      <c r="I798" s="3">
        <f t="shared" si="12"/>
        <v>121</v>
      </c>
    </row>
    <row r="799" spans="1:9" ht="24" x14ac:dyDescent="0.3">
      <c r="A799" s="2" t="s">
        <v>146</v>
      </c>
      <c r="B799" s="2" t="s">
        <v>4277</v>
      </c>
      <c r="C799" s="2" t="s">
        <v>240</v>
      </c>
      <c r="D799" s="2" t="s">
        <v>4278</v>
      </c>
      <c r="E799" s="2" t="s">
        <v>211</v>
      </c>
      <c r="F799" s="2"/>
      <c r="G799" s="2"/>
      <c r="H799" s="2"/>
      <c r="I799" s="3">
        <f t="shared" si="12"/>
        <v>122</v>
      </c>
    </row>
    <row r="800" spans="1:9" ht="24" x14ac:dyDescent="0.3">
      <c r="A800" s="2" t="s">
        <v>146</v>
      </c>
      <c r="B800" s="2" t="s">
        <v>4284</v>
      </c>
      <c r="C800" s="2"/>
      <c r="D800" s="2" t="s">
        <v>4285</v>
      </c>
      <c r="E800" s="2" t="s">
        <v>39</v>
      </c>
      <c r="F800" s="2"/>
      <c r="G800" s="2"/>
      <c r="H800" s="2"/>
      <c r="I800" s="3">
        <f t="shared" si="12"/>
        <v>122</v>
      </c>
    </row>
    <row r="801" spans="1:9" ht="24" x14ac:dyDescent="0.3">
      <c r="A801" s="2" t="s">
        <v>146</v>
      </c>
      <c r="B801" s="2" t="s">
        <v>3562</v>
      </c>
      <c r="C801" s="2"/>
      <c r="D801" s="2" t="s">
        <v>4286</v>
      </c>
      <c r="E801" s="2" t="s">
        <v>39</v>
      </c>
      <c r="F801" s="2"/>
      <c r="G801" s="2"/>
      <c r="H801" s="2"/>
      <c r="I801" s="3">
        <f t="shared" si="12"/>
        <v>122</v>
      </c>
    </row>
    <row r="802" spans="1:9" ht="24" x14ac:dyDescent="0.3">
      <c r="A802" s="2" t="s">
        <v>146</v>
      </c>
      <c r="B802" s="2" t="s">
        <v>1556</v>
      </c>
      <c r="C802" s="2" t="s">
        <v>515</v>
      </c>
      <c r="D802" s="2" t="s">
        <v>4287</v>
      </c>
      <c r="E802" s="2" t="s">
        <v>39</v>
      </c>
      <c r="F802" s="2"/>
      <c r="G802" s="2"/>
      <c r="H802" s="2"/>
      <c r="I802" s="3">
        <f t="shared" si="12"/>
        <v>122</v>
      </c>
    </row>
    <row r="803" spans="1:9" ht="24" x14ac:dyDescent="0.3">
      <c r="A803" s="2" t="s">
        <v>146</v>
      </c>
      <c r="B803" s="2" t="s">
        <v>4288</v>
      </c>
      <c r="C803" s="2" t="s">
        <v>95</v>
      </c>
      <c r="D803" s="2" t="s">
        <v>4289</v>
      </c>
      <c r="E803" s="2" t="s">
        <v>39</v>
      </c>
      <c r="F803" s="2"/>
      <c r="G803" s="2"/>
      <c r="H803" s="2"/>
      <c r="I803" s="3">
        <f t="shared" si="12"/>
        <v>122</v>
      </c>
    </row>
    <row r="804" spans="1:9" ht="24" x14ac:dyDescent="0.3">
      <c r="A804" s="2" t="s">
        <v>146</v>
      </c>
      <c r="B804" s="2" t="s">
        <v>4290</v>
      </c>
      <c r="C804" s="2"/>
      <c r="D804" s="2" t="s">
        <v>4291</v>
      </c>
      <c r="E804" s="2" t="s">
        <v>39</v>
      </c>
      <c r="F804" s="2"/>
      <c r="G804" s="2"/>
      <c r="H804" s="2"/>
      <c r="I804" s="3">
        <f t="shared" si="12"/>
        <v>122</v>
      </c>
    </row>
    <row r="805" spans="1:9" ht="24" x14ac:dyDescent="0.3">
      <c r="A805" s="2" t="s">
        <v>146</v>
      </c>
      <c r="B805" s="2" t="s">
        <v>4292</v>
      </c>
      <c r="C805" s="2" t="s">
        <v>515</v>
      </c>
      <c r="D805" s="2" t="s">
        <v>4293</v>
      </c>
      <c r="E805" s="2" t="s">
        <v>39</v>
      </c>
      <c r="F805" s="2"/>
      <c r="G805" s="2"/>
      <c r="H805" s="2"/>
      <c r="I805" s="3">
        <f t="shared" si="12"/>
        <v>122</v>
      </c>
    </row>
    <row r="806" spans="1:9" ht="24" x14ac:dyDescent="0.3">
      <c r="A806" s="2" t="s">
        <v>146</v>
      </c>
      <c r="B806" s="2" t="s">
        <v>4294</v>
      </c>
      <c r="C806" s="2"/>
      <c r="D806" s="2" t="s">
        <v>4295</v>
      </c>
      <c r="E806" s="2" t="s">
        <v>39</v>
      </c>
      <c r="F806" s="2"/>
      <c r="G806" s="2"/>
      <c r="H806" s="2"/>
      <c r="I806" s="3">
        <f t="shared" si="12"/>
        <v>122</v>
      </c>
    </row>
    <row r="807" spans="1:9" ht="24" x14ac:dyDescent="0.3">
      <c r="A807" s="2" t="s">
        <v>146</v>
      </c>
      <c r="B807" s="2" t="s">
        <v>4299</v>
      </c>
      <c r="C807" s="2"/>
      <c r="D807" s="2" t="s">
        <v>4300</v>
      </c>
      <c r="E807" s="2" t="s">
        <v>39</v>
      </c>
      <c r="F807" s="2"/>
      <c r="G807" s="2"/>
      <c r="H807" s="2"/>
      <c r="I807" s="3">
        <f t="shared" si="12"/>
        <v>122</v>
      </c>
    </row>
    <row r="808" spans="1:9" ht="24" x14ac:dyDescent="0.3">
      <c r="A808" s="2" t="s">
        <v>146</v>
      </c>
      <c r="B808" s="2" t="s">
        <v>3227</v>
      </c>
      <c r="C808" s="2" t="s">
        <v>95</v>
      </c>
      <c r="D808" s="2" t="s">
        <v>4316</v>
      </c>
      <c r="E808" s="2" t="s">
        <v>39</v>
      </c>
      <c r="F808" s="2"/>
      <c r="G808" s="2"/>
      <c r="H808" s="2"/>
      <c r="I808" s="3">
        <f t="shared" si="12"/>
        <v>123</v>
      </c>
    </row>
    <row r="809" spans="1:9" ht="24" x14ac:dyDescent="0.3">
      <c r="A809" s="2" t="s">
        <v>146</v>
      </c>
      <c r="B809" s="2" t="s">
        <v>1073</v>
      </c>
      <c r="C809" s="2"/>
      <c r="D809" s="2" t="s">
        <v>4317</v>
      </c>
      <c r="E809" s="2" t="s">
        <v>39</v>
      </c>
      <c r="F809" s="2"/>
      <c r="G809" s="2"/>
      <c r="H809" s="2"/>
      <c r="I809" s="3">
        <f t="shared" si="12"/>
        <v>123</v>
      </c>
    </row>
    <row r="810" spans="1:9" ht="24" x14ac:dyDescent="0.3">
      <c r="A810" s="2" t="s">
        <v>146</v>
      </c>
      <c r="B810" s="2" t="s">
        <v>4320</v>
      </c>
      <c r="C810" s="2" t="s">
        <v>240</v>
      </c>
      <c r="D810" s="2" t="s">
        <v>4321</v>
      </c>
      <c r="E810" s="2" t="s">
        <v>2693</v>
      </c>
      <c r="F810" s="2"/>
      <c r="G810" s="2"/>
      <c r="H810" s="2"/>
      <c r="I810" s="3">
        <f t="shared" si="12"/>
        <v>123</v>
      </c>
    </row>
    <row r="811" spans="1:9" ht="24" x14ac:dyDescent="0.3">
      <c r="A811" s="2" t="s">
        <v>146</v>
      </c>
      <c r="B811" s="2" t="s">
        <v>4333</v>
      </c>
      <c r="C811" s="2"/>
      <c r="D811" s="2" t="s">
        <v>4334</v>
      </c>
      <c r="E811" s="2" t="s">
        <v>39</v>
      </c>
      <c r="F811" s="2"/>
      <c r="G811" s="2"/>
      <c r="H811" s="2"/>
      <c r="I811" s="3">
        <f t="shared" si="12"/>
        <v>124</v>
      </c>
    </row>
    <row r="812" spans="1:9" ht="24" x14ac:dyDescent="0.3">
      <c r="A812" s="2" t="s">
        <v>146</v>
      </c>
      <c r="B812" s="2" t="s">
        <v>4339</v>
      </c>
      <c r="C812" s="2" t="s">
        <v>491</v>
      </c>
      <c r="D812" s="2" t="s">
        <v>4340</v>
      </c>
      <c r="E812" s="2" t="s">
        <v>39</v>
      </c>
      <c r="F812" s="2"/>
      <c r="G812" s="2"/>
      <c r="H812" s="2"/>
      <c r="I812" s="3">
        <f t="shared" si="12"/>
        <v>124</v>
      </c>
    </row>
    <row r="813" spans="1:9" ht="24" x14ac:dyDescent="0.3">
      <c r="A813" s="2" t="s">
        <v>146</v>
      </c>
      <c r="B813" s="2" t="s">
        <v>4341</v>
      </c>
      <c r="C813" s="2" t="s">
        <v>437</v>
      </c>
      <c r="D813" s="2" t="s">
        <v>4342</v>
      </c>
      <c r="E813" s="2" t="s">
        <v>39</v>
      </c>
      <c r="F813" s="2"/>
      <c r="G813" s="2"/>
      <c r="H813" s="2"/>
      <c r="I813" s="3">
        <f t="shared" si="12"/>
        <v>124</v>
      </c>
    </row>
    <row r="814" spans="1:9" ht="24" x14ac:dyDescent="0.3">
      <c r="A814" s="2" t="s">
        <v>146</v>
      </c>
      <c r="B814" s="2" t="s">
        <v>4344</v>
      </c>
      <c r="C814" s="2" t="s">
        <v>348</v>
      </c>
      <c r="D814" s="2" t="s">
        <v>4345</v>
      </c>
      <c r="E814" s="2" t="s">
        <v>39</v>
      </c>
      <c r="F814" s="2"/>
      <c r="G814" s="2" t="s">
        <v>1717</v>
      </c>
      <c r="H814" s="2"/>
      <c r="I814" s="3">
        <f t="shared" si="12"/>
        <v>124</v>
      </c>
    </row>
    <row r="815" spans="1:9" ht="24" x14ac:dyDescent="0.3">
      <c r="A815" s="2" t="s">
        <v>146</v>
      </c>
      <c r="B815" s="2" t="s">
        <v>1556</v>
      </c>
      <c r="C815" s="2" t="s">
        <v>515</v>
      </c>
      <c r="D815" s="2" t="s">
        <v>4346</v>
      </c>
      <c r="E815" s="2" t="s">
        <v>39</v>
      </c>
      <c r="F815" s="2"/>
      <c r="G815" s="2"/>
      <c r="H815" s="2"/>
      <c r="I815" s="3">
        <f t="shared" si="12"/>
        <v>124</v>
      </c>
    </row>
    <row r="816" spans="1:9" ht="24" x14ac:dyDescent="0.3">
      <c r="A816" s="2" t="s">
        <v>146</v>
      </c>
      <c r="B816" s="2" t="s">
        <v>3170</v>
      </c>
      <c r="C816" s="2" t="s">
        <v>491</v>
      </c>
      <c r="D816" s="2" t="s">
        <v>4349</v>
      </c>
      <c r="E816" s="2" t="s">
        <v>39</v>
      </c>
      <c r="F816" s="2"/>
      <c r="G816" s="2"/>
      <c r="H816" s="2"/>
      <c r="I816" s="3">
        <f t="shared" si="12"/>
        <v>124</v>
      </c>
    </row>
    <row r="817" spans="1:9" ht="24" x14ac:dyDescent="0.3">
      <c r="A817" s="2" t="s">
        <v>146</v>
      </c>
      <c r="B817" s="2" t="s">
        <v>4350</v>
      </c>
      <c r="C817" s="2" t="s">
        <v>4351</v>
      </c>
      <c r="D817" s="2" t="s">
        <v>4352</v>
      </c>
      <c r="E817" s="2" t="s">
        <v>39</v>
      </c>
      <c r="F817" s="2"/>
      <c r="G817" s="2"/>
      <c r="H817" s="2"/>
      <c r="I817" s="3">
        <f t="shared" si="12"/>
        <v>124</v>
      </c>
    </row>
    <row r="818" spans="1:9" ht="24" x14ac:dyDescent="0.3">
      <c r="A818" s="2" t="s">
        <v>146</v>
      </c>
      <c r="B818" s="2" t="s">
        <v>4358</v>
      </c>
      <c r="C818" s="2" t="s">
        <v>437</v>
      </c>
      <c r="D818" s="2" t="s">
        <v>4359</v>
      </c>
      <c r="E818" s="2" t="s">
        <v>39</v>
      </c>
      <c r="F818" s="2"/>
      <c r="G818" s="2"/>
      <c r="H818" s="2"/>
      <c r="I818" s="3">
        <f t="shared" si="12"/>
        <v>124</v>
      </c>
    </row>
    <row r="819" spans="1:9" ht="24" x14ac:dyDescent="0.3">
      <c r="A819" s="2" t="s">
        <v>146</v>
      </c>
      <c r="B819" s="2" t="s">
        <v>4360</v>
      </c>
      <c r="C819" s="2" t="s">
        <v>2060</v>
      </c>
      <c r="D819" s="2" t="s">
        <v>4361</v>
      </c>
      <c r="E819" s="2" t="s">
        <v>39</v>
      </c>
      <c r="F819" s="2"/>
      <c r="G819" s="2"/>
      <c r="H819" s="2"/>
      <c r="I819" s="3">
        <f t="shared" si="12"/>
        <v>124</v>
      </c>
    </row>
    <row r="820" spans="1:9" ht="24" x14ac:dyDescent="0.3">
      <c r="A820" s="2" t="s">
        <v>146</v>
      </c>
      <c r="B820" s="2" t="s">
        <v>4362</v>
      </c>
      <c r="C820" s="2"/>
      <c r="D820" s="2" t="s">
        <v>4363</v>
      </c>
      <c r="E820" s="2" t="s">
        <v>39</v>
      </c>
      <c r="F820" s="2"/>
      <c r="G820" s="2"/>
      <c r="H820" s="2"/>
      <c r="I820" s="3">
        <f t="shared" si="12"/>
        <v>124</v>
      </c>
    </row>
    <row r="821" spans="1:9" ht="24" x14ac:dyDescent="0.3">
      <c r="A821" s="2" t="s">
        <v>146</v>
      </c>
      <c r="B821" s="2" t="s">
        <v>767</v>
      </c>
      <c r="C821" s="2" t="s">
        <v>95</v>
      </c>
      <c r="D821" s="2" t="s">
        <v>4375</v>
      </c>
      <c r="E821" s="2" t="s">
        <v>39</v>
      </c>
      <c r="F821" s="2"/>
      <c r="G821" s="2"/>
      <c r="H821" s="2"/>
      <c r="I821" s="3">
        <f t="shared" si="12"/>
        <v>125</v>
      </c>
    </row>
    <row r="822" spans="1:9" ht="24" x14ac:dyDescent="0.3">
      <c r="A822" s="2" t="s">
        <v>146</v>
      </c>
      <c r="B822" s="2" t="s">
        <v>4377</v>
      </c>
      <c r="C822" s="2" t="s">
        <v>491</v>
      </c>
      <c r="D822" s="2" t="s">
        <v>4378</v>
      </c>
      <c r="E822" s="2" t="s">
        <v>39</v>
      </c>
      <c r="F822" s="2"/>
      <c r="G822" s="2"/>
      <c r="H822" s="2"/>
      <c r="I822" s="3">
        <f t="shared" si="12"/>
        <v>125</v>
      </c>
    </row>
    <row r="823" spans="1:9" ht="24" x14ac:dyDescent="0.3">
      <c r="A823" s="2" t="s">
        <v>146</v>
      </c>
      <c r="B823" s="2" t="s">
        <v>4379</v>
      </c>
      <c r="C823" s="2" t="s">
        <v>491</v>
      </c>
      <c r="D823" s="2" t="s">
        <v>4380</v>
      </c>
      <c r="E823" s="2" t="s">
        <v>39</v>
      </c>
      <c r="F823" s="2"/>
      <c r="G823" s="2"/>
      <c r="H823" s="2"/>
      <c r="I823" s="3">
        <f t="shared" si="12"/>
        <v>125</v>
      </c>
    </row>
    <row r="824" spans="1:9" ht="24" x14ac:dyDescent="0.3">
      <c r="A824" s="2" t="s">
        <v>146</v>
      </c>
      <c r="B824" s="2" t="s">
        <v>4391</v>
      </c>
      <c r="C824" s="2" t="s">
        <v>691</v>
      </c>
      <c r="D824" s="2" t="s">
        <v>4392</v>
      </c>
      <c r="E824" s="2" t="s">
        <v>39</v>
      </c>
      <c r="F824" s="2"/>
      <c r="G824" s="2"/>
      <c r="H824" s="2"/>
      <c r="I824" s="3">
        <f t="shared" si="12"/>
        <v>126</v>
      </c>
    </row>
    <row r="825" spans="1:9" ht="24" x14ac:dyDescent="0.3">
      <c r="A825" s="2" t="s">
        <v>146</v>
      </c>
      <c r="B825" s="2" t="s">
        <v>4397</v>
      </c>
      <c r="C825" s="2"/>
      <c r="D825" s="2" t="s">
        <v>4398</v>
      </c>
      <c r="E825" s="2" t="s">
        <v>39</v>
      </c>
      <c r="F825" s="2"/>
      <c r="G825" s="2"/>
      <c r="H825" s="2"/>
      <c r="I825" s="3">
        <f t="shared" si="12"/>
        <v>126</v>
      </c>
    </row>
    <row r="826" spans="1:9" ht="24" x14ac:dyDescent="0.3">
      <c r="A826" s="2" t="s">
        <v>146</v>
      </c>
      <c r="B826" s="2" t="s">
        <v>4404</v>
      </c>
      <c r="C826" s="2" t="s">
        <v>788</v>
      </c>
      <c r="D826" s="2" t="s">
        <v>4405</v>
      </c>
      <c r="E826" s="2" t="s">
        <v>39</v>
      </c>
      <c r="F826" s="2"/>
      <c r="G826" s="2"/>
      <c r="H826" s="2"/>
      <c r="I826" s="3">
        <f t="shared" si="12"/>
        <v>126</v>
      </c>
    </row>
    <row r="827" spans="1:9" ht="24" x14ac:dyDescent="0.3">
      <c r="A827" s="2" t="s">
        <v>146</v>
      </c>
      <c r="B827" s="2" t="s">
        <v>4411</v>
      </c>
      <c r="C827" s="2"/>
      <c r="D827" s="2" t="s">
        <v>4412</v>
      </c>
      <c r="E827" s="2" t="s">
        <v>39</v>
      </c>
      <c r="F827" s="2"/>
      <c r="G827" s="2"/>
      <c r="H827" s="2"/>
      <c r="I827" s="3">
        <f t="shared" si="12"/>
        <v>126</v>
      </c>
    </row>
    <row r="828" spans="1:9" ht="24" x14ac:dyDescent="0.3">
      <c r="A828" s="2" t="s">
        <v>146</v>
      </c>
      <c r="B828" s="2" t="s">
        <v>1556</v>
      </c>
      <c r="C828" s="2"/>
      <c r="D828" s="2" t="s">
        <v>4413</v>
      </c>
      <c r="E828" s="2" t="s">
        <v>39</v>
      </c>
      <c r="F828" s="2"/>
      <c r="G828" s="2"/>
      <c r="H828" s="2"/>
      <c r="I828" s="3">
        <f t="shared" si="12"/>
        <v>126</v>
      </c>
    </row>
    <row r="829" spans="1:9" ht="24" x14ac:dyDescent="0.3">
      <c r="A829" s="2" t="s">
        <v>146</v>
      </c>
      <c r="B829" s="2" t="s">
        <v>4414</v>
      </c>
      <c r="C829" s="2" t="s">
        <v>95</v>
      </c>
      <c r="D829" s="2" t="s">
        <v>4415</v>
      </c>
      <c r="E829" s="2" t="s">
        <v>39</v>
      </c>
      <c r="F829" s="2"/>
      <c r="G829" s="2"/>
      <c r="H829" s="2"/>
      <c r="I829" s="3">
        <f t="shared" si="12"/>
        <v>126</v>
      </c>
    </row>
    <row r="830" spans="1:9" ht="24" x14ac:dyDescent="0.3">
      <c r="A830" s="2" t="s">
        <v>146</v>
      </c>
      <c r="B830" s="2" t="s">
        <v>4416</v>
      </c>
      <c r="C830" s="2" t="s">
        <v>491</v>
      </c>
      <c r="D830" s="2" t="s">
        <v>4417</v>
      </c>
      <c r="E830" s="2" t="s">
        <v>39</v>
      </c>
      <c r="F830" s="2"/>
      <c r="G830" s="2"/>
      <c r="H830" s="2"/>
      <c r="I830" s="3">
        <f t="shared" si="12"/>
        <v>126</v>
      </c>
    </row>
    <row r="831" spans="1:9" ht="24" x14ac:dyDescent="0.3">
      <c r="A831" s="2" t="s">
        <v>146</v>
      </c>
      <c r="B831" s="2" t="s">
        <v>4418</v>
      </c>
      <c r="C831" s="2" t="s">
        <v>491</v>
      </c>
      <c r="D831" s="2" t="s">
        <v>4419</v>
      </c>
      <c r="E831" s="2" t="s">
        <v>39</v>
      </c>
      <c r="F831" s="2"/>
      <c r="G831" s="2"/>
      <c r="H831" s="2"/>
      <c r="I831" s="3">
        <f t="shared" si="12"/>
        <v>126</v>
      </c>
    </row>
    <row r="832" spans="1:9" ht="24" x14ac:dyDescent="0.3">
      <c r="A832" s="2" t="s">
        <v>146</v>
      </c>
      <c r="B832" s="2" t="s">
        <v>4420</v>
      </c>
      <c r="C832" s="2" t="s">
        <v>491</v>
      </c>
      <c r="D832" s="2" t="s">
        <v>4421</v>
      </c>
      <c r="E832" s="2" t="s">
        <v>39</v>
      </c>
      <c r="F832" s="2"/>
      <c r="G832" s="2"/>
      <c r="H832" s="2"/>
      <c r="I832" s="3">
        <f t="shared" si="12"/>
        <v>126</v>
      </c>
    </row>
    <row r="833" spans="1:9" ht="24" x14ac:dyDescent="0.3">
      <c r="A833" s="2" t="s">
        <v>146</v>
      </c>
      <c r="B833" s="2" t="s">
        <v>4422</v>
      </c>
      <c r="C833" s="2" t="s">
        <v>491</v>
      </c>
      <c r="D833" s="2" t="s">
        <v>4423</v>
      </c>
      <c r="E833" s="2" t="s">
        <v>39</v>
      </c>
      <c r="F833" s="2"/>
      <c r="G833" s="2"/>
      <c r="H833" s="2"/>
      <c r="I833" s="3">
        <f t="shared" si="12"/>
        <v>126</v>
      </c>
    </row>
    <row r="834" spans="1:9" ht="24" x14ac:dyDescent="0.3">
      <c r="A834" s="2" t="s">
        <v>146</v>
      </c>
      <c r="B834" s="2" t="s">
        <v>3249</v>
      </c>
      <c r="C834" s="2" t="s">
        <v>95</v>
      </c>
      <c r="D834" s="2" t="s">
        <v>4426</v>
      </c>
      <c r="E834" s="2"/>
      <c r="F834" s="2"/>
      <c r="G834" s="2"/>
      <c r="H834" s="2"/>
      <c r="I834" s="3">
        <f t="shared" ref="I834:I897" si="13">LEN(D834)</f>
        <v>126</v>
      </c>
    </row>
    <row r="835" spans="1:9" ht="24" x14ac:dyDescent="0.3">
      <c r="A835" s="2" t="s">
        <v>146</v>
      </c>
      <c r="B835" s="2" t="s">
        <v>4431</v>
      </c>
      <c r="C835" s="2" t="s">
        <v>57</v>
      </c>
      <c r="D835" s="2" t="s">
        <v>8735</v>
      </c>
      <c r="E835" s="2"/>
      <c r="F835" s="2" t="s">
        <v>1778</v>
      </c>
      <c r="G835" s="2" t="s">
        <v>1717</v>
      </c>
      <c r="H835" s="2"/>
      <c r="I835" s="3">
        <f t="shared" si="13"/>
        <v>125</v>
      </c>
    </row>
    <row r="836" spans="1:9" ht="24" x14ac:dyDescent="0.3">
      <c r="A836" s="2" t="s">
        <v>146</v>
      </c>
      <c r="B836" s="2" t="s">
        <v>4432</v>
      </c>
      <c r="C836" s="2"/>
      <c r="D836" s="2" t="s">
        <v>4433</v>
      </c>
      <c r="E836" s="2" t="s">
        <v>39</v>
      </c>
      <c r="F836" s="2"/>
      <c r="G836" s="2"/>
      <c r="H836" s="2"/>
      <c r="I836" s="3">
        <f t="shared" si="13"/>
        <v>127</v>
      </c>
    </row>
    <row r="837" spans="1:9" ht="24" x14ac:dyDescent="0.3">
      <c r="A837" s="2" t="s">
        <v>146</v>
      </c>
      <c r="B837" s="2" t="s">
        <v>4436</v>
      </c>
      <c r="C837" s="2" t="s">
        <v>240</v>
      </c>
      <c r="D837" s="2" t="s">
        <v>4437</v>
      </c>
      <c r="E837" s="2" t="s">
        <v>211</v>
      </c>
      <c r="F837" s="2"/>
      <c r="G837" s="2"/>
      <c r="H837" s="2"/>
      <c r="I837" s="3">
        <f t="shared" si="13"/>
        <v>127</v>
      </c>
    </row>
    <row r="838" spans="1:9" ht="24" x14ac:dyDescent="0.3">
      <c r="A838" s="2" t="s">
        <v>146</v>
      </c>
      <c r="B838" s="2" t="s">
        <v>4443</v>
      </c>
      <c r="C838" s="2" t="s">
        <v>4444</v>
      </c>
      <c r="D838" s="2" t="s">
        <v>4445</v>
      </c>
      <c r="E838" s="2" t="s">
        <v>39</v>
      </c>
      <c r="F838" s="2"/>
      <c r="G838" s="2"/>
      <c r="H838" s="2"/>
      <c r="I838" s="3">
        <f t="shared" si="13"/>
        <v>127</v>
      </c>
    </row>
    <row r="839" spans="1:9" ht="24" x14ac:dyDescent="0.3">
      <c r="A839" s="2" t="s">
        <v>146</v>
      </c>
      <c r="B839" s="2" t="s">
        <v>4446</v>
      </c>
      <c r="C839" s="2" t="s">
        <v>491</v>
      </c>
      <c r="D839" s="2" t="s">
        <v>4447</v>
      </c>
      <c r="E839" s="2" t="s">
        <v>39</v>
      </c>
      <c r="F839" s="2"/>
      <c r="G839" s="2"/>
      <c r="H839" s="2"/>
      <c r="I839" s="3">
        <f t="shared" si="13"/>
        <v>127</v>
      </c>
    </row>
    <row r="840" spans="1:9" ht="24" x14ac:dyDescent="0.3">
      <c r="A840" s="2" t="s">
        <v>146</v>
      </c>
      <c r="B840" s="2" t="s">
        <v>4448</v>
      </c>
      <c r="C840" s="2" t="s">
        <v>491</v>
      </c>
      <c r="D840" s="2" t="s">
        <v>4449</v>
      </c>
      <c r="E840" s="2" t="s">
        <v>39</v>
      </c>
      <c r="F840" s="2"/>
      <c r="G840" s="2"/>
      <c r="H840" s="2"/>
      <c r="I840" s="3">
        <f t="shared" si="13"/>
        <v>127</v>
      </c>
    </row>
    <row r="841" spans="1:9" ht="24" x14ac:dyDescent="0.3">
      <c r="A841" s="2" t="s">
        <v>146</v>
      </c>
      <c r="B841" s="2" t="s">
        <v>4350</v>
      </c>
      <c r="C841" s="2" t="s">
        <v>491</v>
      </c>
      <c r="D841" s="2" t="s">
        <v>4463</v>
      </c>
      <c r="E841" s="2" t="s">
        <v>39</v>
      </c>
      <c r="F841" s="2"/>
      <c r="G841" s="2"/>
      <c r="H841" s="2"/>
      <c r="I841" s="3">
        <f t="shared" si="13"/>
        <v>128</v>
      </c>
    </row>
    <row r="842" spans="1:9" ht="24" x14ac:dyDescent="0.3">
      <c r="A842" s="2" t="s">
        <v>146</v>
      </c>
      <c r="B842" s="2" t="s">
        <v>4472</v>
      </c>
      <c r="C842" s="2" t="s">
        <v>95</v>
      </c>
      <c r="D842" s="2" t="s">
        <v>4473</v>
      </c>
      <c r="E842" s="2" t="s">
        <v>39</v>
      </c>
      <c r="F842" s="2"/>
      <c r="G842" s="2"/>
      <c r="H842" s="2"/>
      <c r="I842" s="3">
        <f t="shared" si="13"/>
        <v>128</v>
      </c>
    </row>
    <row r="843" spans="1:9" ht="24" x14ac:dyDescent="0.3">
      <c r="A843" s="2" t="s">
        <v>146</v>
      </c>
      <c r="B843" s="2" t="s">
        <v>4474</v>
      </c>
      <c r="C843" s="2" t="s">
        <v>95</v>
      </c>
      <c r="D843" s="2" t="s">
        <v>4475</v>
      </c>
      <c r="E843" s="2" t="s">
        <v>39</v>
      </c>
      <c r="F843" s="2"/>
      <c r="G843" s="2"/>
      <c r="H843" s="2"/>
      <c r="I843" s="3">
        <f t="shared" si="13"/>
        <v>128</v>
      </c>
    </row>
    <row r="844" spans="1:9" ht="24" x14ac:dyDescent="0.3">
      <c r="A844" s="2" t="s">
        <v>146</v>
      </c>
      <c r="B844" s="2" t="s">
        <v>4476</v>
      </c>
      <c r="C844" s="2" t="s">
        <v>515</v>
      </c>
      <c r="D844" s="2" t="s">
        <v>4477</v>
      </c>
      <c r="E844" s="2" t="s">
        <v>39</v>
      </c>
      <c r="F844" s="2"/>
      <c r="G844" s="2"/>
      <c r="H844" s="2"/>
      <c r="I844" s="3">
        <f t="shared" si="13"/>
        <v>128</v>
      </c>
    </row>
    <row r="845" spans="1:9" ht="24" x14ac:dyDescent="0.3">
      <c r="A845" s="2" t="s">
        <v>146</v>
      </c>
      <c r="B845" s="2" t="s">
        <v>2380</v>
      </c>
      <c r="C845" s="2" t="s">
        <v>491</v>
      </c>
      <c r="D845" s="2" t="s">
        <v>4478</v>
      </c>
      <c r="E845" s="2" t="s">
        <v>39</v>
      </c>
      <c r="F845" s="2"/>
      <c r="G845" s="2"/>
      <c r="H845" s="2"/>
      <c r="I845" s="3">
        <f t="shared" si="13"/>
        <v>128</v>
      </c>
    </row>
    <row r="846" spans="1:9" ht="24" x14ac:dyDescent="0.3">
      <c r="A846" s="2" t="s">
        <v>146</v>
      </c>
      <c r="B846" s="2" t="s">
        <v>2896</v>
      </c>
      <c r="C846" s="2" t="s">
        <v>491</v>
      </c>
      <c r="D846" s="2" t="s">
        <v>4479</v>
      </c>
      <c r="E846" s="2" t="s">
        <v>39</v>
      </c>
      <c r="F846" s="2"/>
      <c r="G846" s="2"/>
      <c r="H846" s="2"/>
      <c r="I846" s="3">
        <f t="shared" si="13"/>
        <v>128</v>
      </c>
    </row>
    <row r="847" spans="1:9" ht="24" x14ac:dyDescent="0.3">
      <c r="A847" s="2" t="s">
        <v>146</v>
      </c>
      <c r="B847" s="2" t="s">
        <v>4480</v>
      </c>
      <c r="C847" s="2" t="s">
        <v>95</v>
      </c>
      <c r="D847" s="2" t="s">
        <v>4481</v>
      </c>
      <c r="E847" s="2" t="s">
        <v>39</v>
      </c>
      <c r="F847" s="2"/>
      <c r="G847" s="2"/>
      <c r="H847" s="2"/>
      <c r="I847" s="3">
        <f t="shared" si="13"/>
        <v>128</v>
      </c>
    </row>
    <row r="848" spans="1:9" ht="24" x14ac:dyDescent="0.3">
      <c r="A848" s="2" t="s">
        <v>146</v>
      </c>
      <c r="B848" s="2" t="s">
        <v>1156</v>
      </c>
      <c r="C848" s="2" t="s">
        <v>332</v>
      </c>
      <c r="D848" s="2" t="s">
        <v>4482</v>
      </c>
      <c r="E848" s="2" t="s">
        <v>39</v>
      </c>
      <c r="F848" s="2"/>
      <c r="G848" s="2"/>
      <c r="H848" s="2"/>
      <c r="I848" s="3">
        <f t="shared" si="13"/>
        <v>128</v>
      </c>
    </row>
    <row r="849" spans="1:9" ht="24" x14ac:dyDescent="0.3">
      <c r="A849" s="2" t="s">
        <v>146</v>
      </c>
      <c r="B849" s="2" t="s">
        <v>4483</v>
      </c>
      <c r="C849" s="2"/>
      <c r="D849" s="2" t="s">
        <v>4484</v>
      </c>
      <c r="E849" s="2" t="s">
        <v>379</v>
      </c>
      <c r="F849" s="2"/>
      <c r="G849" s="2"/>
      <c r="H849" s="2"/>
      <c r="I849" s="3">
        <f t="shared" si="13"/>
        <v>128</v>
      </c>
    </row>
    <row r="850" spans="1:9" ht="24" x14ac:dyDescent="0.3">
      <c r="A850" s="2" t="s">
        <v>146</v>
      </c>
      <c r="B850" s="2" t="s">
        <v>4485</v>
      </c>
      <c r="C850" s="2"/>
      <c r="D850" s="2" t="s">
        <v>4486</v>
      </c>
      <c r="E850" s="2" t="s">
        <v>39</v>
      </c>
      <c r="F850" s="2"/>
      <c r="G850" s="2"/>
      <c r="H850" s="2"/>
      <c r="I850" s="3">
        <f t="shared" si="13"/>
        <v>128</v>
      </c>
    </row>
    <row r="851" spans="1:9" ht="24" x14ac:dyDescent="0.3">
      <c r="A851" s="2" t="s">
        <v>146</v>
      </c>
      <c r="B851" s="2" t="s">
        <v>4487</v>
      </c>
      <c r="C851" s="2"/>
      <c r="D851" s="2" t="s">
        <v>4488</v>
      </c>
      <c r="E851" s="2" t="s">
        <v>4489</v>
      </c>
      <c r="F851" s="2"/>
      <c r="G851" s="2"/>
      <c r="H851" s="2"/>
      <c r="I851" s="3">
        <f t="shared" si="13"/>
        <v>129</v>
      </c>
    </row>
    <row r="852" spans="1:9" ht="24" x14ac:dyDescent="0.3">
      <c r="A852" s="2" t="s">
        <v>146</v>
      </c>
      <c r="B852" s="2" t="s">
        <v>4494</v>
      </c>
      <c r="C852" s="2" t="s">
        <v>389</v>
      </c>
      <c r="D852" s="2" t="s">
        <v>4495</v>
      </c>
      <c r="E852" s="2" t="s">
        <v>39</v>
      </c>
      <c r="F852" s="2"/>
      <c r="G852" s="2"/>
      <c r="H852" s="2"/>
      <c r="I852" s="3">
        <f t="shared" si="13"/>
        <v>129</v>
      </c>
    </row>
    <row r="853" spans="1:9" ht="24" x14ac:dyDescent="0.3">
      <c r="A853" s="2" t="s">
        <v>146</v>
      </c>
      <c r="B853" s="2" t="s">
        <v>4500</v>
      </c>
      <c r="C853" s="2" t="s">
        <v>4501</v>
      </c>
      <c r="D853" s="2" t="s">
        <v>4502</v>
      </c>
      <c r="E853" s="2" t="s">
        <v>616</v>
      </c>
      <c r="F853" s="2"/>
      <c r="G853" s="2"/>
      <c r="H853" s="2"/>
      <c r="I853" s="3">
        <f t="shared" si="13"/>
        <v>129</v>
      </c>
    </row>
    <row r="854" spans="1:9" ht="24" x14ac:dyDescent="0.3">
      <c r="A854" s="2" t="s">
        <v>146</v>
      </c>
      <c r="B854" s="2" t="s">
        <v>4503</v>
      </c>
      <c r="C854" s="2" t="s">
        <v>4504</v>
      </c>
      <c r="D854" s="2" t="s">
        <v>4505</v>
      </c>
      <c r="E854" s="2" t="s">
        <v>383</v>
      </c>
      <c r="F854" s="2"/>
      <c r="G854" s="2"/>
      <c r="H854" s="2"/>
      <c r="I854" s="3">
        <f t="shared" si="13"/>
        <v>129</v>
      </c>
    </row>
    <row r="855" spans="1:9" ht="24" x14ac:dyDescent="0.3">
      <c r="A855" s="2" t="s">
        <v>146</v>
      </c>
      <c r="B855" s="2" t="s">
        <v>1506</v>
      </c>
      <c r="C855" s="2" t="s">
        <v>437</v>
      </c>
      <c r="D855" s="2" t="s">
        <v>8736</v>
      </c>
      <c r="E855" s="2" t="s">
        <v>39</v>
      </c>
      <c r="F855" s="2" t="s">
        <v>1778</v>
      </c>
      <c r="G855" s="2" t="s">
        <v>4507</v>
      </c>
      <c r="H855" s="2"/>
      <c r="I855" s="3">
        <f t="shared" si="13"/>
        <v>127</v>
      </c>
    </row>
    <row r="856" spans="1:9" ht="24" x14ac:dyDescent="0.3">
      <c r="A856" s="2" t="s">
        <v>146</v>
      </c>
      <c r="B856" s="2" t="s">
        <v>4513</v>
      </c>
      <c r="C856" s="2" t="s">
        <v>515</v>
      </c>
      <c r="D856" s="2" t="s">
        <v>4514</v>
      </c>
      <c r="E856" s="2" t="s">
        <v>39</v>
      </c>
      <c r="F856" s="2"/>
      <c r="G856" s="2"/>
      <c r="H856" s="2"/>
      <c r="I856" s="3">
        <f t="shared" si="13"/>
        <v>129</v>
      </c>
    </row>
    <row r="857" spans="1:9" ht="24" x14ac:dyDescent="0.3">
      <c r="A857" s="2" t="s">
        <v>146</v>
      </c>
      <c r="B857" s="2" t="s">
        <v>4515</v>
      </c>
      <c r="C857" s="2" t="s">
        <v>437</v>
      </c>
      <c r="D857" s="2" t="s">
        <v>4516</v>
      </c>
      <c r="E857" s="2" t="s">
        <v>39</v>
      </c>
      <c r="F857" s="2"/>
      <c r="G857" s="2"/>
      <c r="H857" s="2"/>
      <c r="I857" s="3">
        <f t="shared" si="13"/>
        <v>129</v>
      </c>
    </row>
    <row r="858" spans="1:9" ht="24" x14ac:dyDescent="0.3">
      <c r="A858" s="2" t="s">
        <v>146</v>
      </c>
      <c r="B858" s="2" t="s">
        <v>4517</v>
      </c>
      <c r="C858" s="2" t="s">
        <v>389</v>
      </c>
      <c r="D858" s="2" t="s">
        <v>4518</v>
      </c>
      <c r="E858" s="2" t="s">
        <v>39</v>
      </c>
      <c r="F858" s="2"/>
      <c r="G858" s="2"/>
      <c r="H858" s="2"/>
      <c r="I858" s="3">
        <f t="shared" si="13"/>
        <v>129</v>
      </c>
    </row>
    <row r="859" spans="1:9" ht="24" x14ac:dyDescent="0.3">
      <c r="A859" s="2" t="s">
        <v>146</v>
      </c>
      <c r="B859" s="2" t="s">
        <v>4521</v>
      </c>
      <c r="C859" s="2" t="s">
        <v>491</v>
      </c>
      <c r="D859" s="2" t="s">
        <v>4522</v>
      </c>
      <c r="E859" s="2" t="s">
        <v>39</v>
      </c>
      <c r="F859" s="2"/>
      <c r="G859" s="2"/>
      <c r="H859" s="2"/>
      <c r="I859" s="3">
        <f t="shared" si="13"/>
        <v>129</v>
      </c>
    </row>
    <row r="860" spans="1:9" ht="24" x14ac:dyDescent="0.3">
      <c r="A860" s="2" t="s">
        <v>146</v>
      </c>
      <c r="B860" s="2" t="s">
        <v>4523</v>
      </c>
      <c r="C860" s="2" t="s">
        <v>491</v>
      </c>
      <c r="D860" s="2" t="s">
        <v>4524</v>
      </c>
      <c r="E860" s="2" t="s">
        <v>39</v>
      </c>
      <c r="F860" s="2"/>
      <c r="G860" s="2"/>
      <c r="H860" s="2"/>
      <c r="I860" s="3">
        <f t="shared" si="13"/>
        <v>129</v>
      </c>
    </row>
    <row r="861" spans="1:9" ht="24" x14ac:dyDescent="0.3">
      <c r="A861" s="2" t="s">
        <v>146</v>
      </c>
      <c r="B861" s="2" t="s">
        <v>4525</v>
      </c>
      <c r="C861" s="2"/>
      <c r="D861" s="2" t="s">
        <v>4526</v>
      </c>
      <c r="E861" s="2" t="s">
        <v>39</v>
      </c>
      <c r="F861" s="2"/>
      <c r="G861" s="2"/>
      <c r="H861" s="2"/>
      <c r="I861" s="3">
        <f t="shared" si="13"/>
        <v>129</v>
      </c>
    </row>
    <row r="862" spans="1:9" ht="24" x14ac:dyDescent="0.3">
      <c r="A862" s="2" t="s">
        <v>146</v>
      </c>
      <c r="B862" s="2" t="s">
        <v>4527</v>
      </c>
      <c r="C862" s="2"/>
      <c r="D862" s="2" t="s">
        <v>4528</v>
      </c>
      <c r="E862" s="2" t="s">
        <v>39</v>
      </c>
      <c r="F862" s="2"/>
      <c r="G862" s="2"/>
      <c r="H862" s="2"/>
      <c r="I862" s="3">
        <f t="shared" si="13"/>
        <v>129</v>
      </c>
    </row>
    <row r="863" spans="1:9" ht="24" x14ac:dyDescent="0.3">
      <c r="A863" s="2" t="s">
        <v>146</v>
      </c>
      <c r="B863" s="2" t="s">
        <v>4529</v>
      </c>
      <c r="C863" s="2" t="s">
        <v>332</v>
      </c>
      <c r="D863" s="2" t="s">
        <v>4530</v>
      </c>
      <c r="E863" s="2" t="s">
        <v>39</v>
      </c>
      <c r="F863" s="2"/>
      <c r="G863" s="2"/>
      <c r="H863" s="2"/>
      <c r="I863" s="3">
        <f t="shared" si="13"/>
        <v>129</v>
      </c>
    </row>
    <row r="864" spans="1:9" ht="24" x14ac:dyDescent="0.3">
      <c r="A864" s="2" t="s">
        <v>146</v>
      </c>
      <c r="B864" s="2" t="s">
        <v>4533</v>
      </c>
      <c r="C864" s="2" t="s">
        <v>4534</v>
      </c>
      <c r="D864" s="2" t="s">
        <v>4535</v>
      </c>
      <c r="E864" s="2" t="s">
        <v>468</v>
      </c>
      <c r="F864" s="2"/>
      <c r="G864" s="2"/>
      <c r="H864" s="2"/>
      <c r="I864" s="3">
        <f t="shared" si="13"/>
        <v>129</v>
      </c>
    </row>
    <row r="865" spans="1:9" ht="24" x14ac:dyDescent="0.3">
      <c r="A865" s="2" t="s">
        <v>146</v>
      </c>
      <c r="B865" s="2" t="s">
        <v>4538</v>
      </c>
      <c r="C865" s="2" t="s">
        <v>491</v>
      </c>
      <c r="D865" s="2" t="s">
        <v>4539</v>
      </c>
      <c r="E865" s="2" t="s">
        <v>379</v>
      </c>
      <c r="F865" s="2"/>
      <c r="G865" s="2"/>
      <c r="H865" s="2"/>
      <c r="I865" s="3">
        <f t="shared" si="13"/>
        <v>129</v>
      </c>
    </row>
    <row r="866" spans="1:9" ht="24" x14ac:dyDescent="0.3">
      <c r="A866" s="2" t="s">
        <v>146</v>
      </c>
      <c r="B866" s="2" t="s">
        <v>4540</v>
      </c>
      <c r="C866" s="2" t="s">
        <v>437</v>
      </c>
      <c r="D866" s="2" t="s">
        <v>4541</v>
      </c>
      <c r="E866" s="2" t="s">
        <v>39</v>
      </c>
      <c r="F866" s="2"/>
      <c r="G866" s="2"/>
      <c r="H866" s="2"/>
      <c r="I866" s="3">
        <f t="shared" si="13"/>
        <v>129</v>
      </c>
    </row>
    <row r="867" spans="1:9" ht="24" x14ac:dyDescent="0.3">
      <c r="A867" s="2" t="s">
        <v>146</v>
      </c>
      <c r="B867" s="2" t="s">
        <v>4542</v>
      </c>
      <c r="C867" s="2" t="s">
        <v>491</v>
      </c>
      <c r="D867" s="2" t="s">
        <v>4543</v>
      </c>
      <c r="E867" s="2" t="s">
        <v>39</v>
      </c>
      <c r="F867" s="2"/>
      <c r="G867" s="2"/>
      <c r="H867" s="2"/>
      <c r="I867" s="3">
        <f t="shared" si="13"/>
        <v>129</v>
      </c>
    </row>
    <row r="868" spans="1:9" ht="24" x14ac:dyDescent="0.3">
      <c r="A868" s="2" t="s">
        <v>146</v>
      </c>
      <c r="B868" s="2" t="s">
        <v>4544</v>
      </c>
      <c r="C868" s="2" t="s">
        <v>178</v>
      </c>
      <c r="D868" s="2" t="s">
        <v>4545</v>
      </c>
      <c r="E868" s="2" t="s">
        <v>39</v>
      </c>
      <c r="F868" s="2"/>
      <c r="G868" s="2"/>
      <c r="H868" s="2"/>
      <c r="I868" s="3">
        <f t="shared" si="13"/>
        <v>129</v>
      </c>
    </row>
    <row r="869" spans="1:9" ht="24" x14ac:dyDescent="0.3">
      <c r="A869" s="2" t="s">
        <v>146</v>
      </c>
      <c r="B869" s="2" t="s">
        <v>4550</v>
      </c>
      <c r="C869" s="2" t="s">
        <v>186</v>
      </c>
      <c r="D869" s="2" t="s">
        <v>4551</v>
      </c>
      <c r="E869" s="2" t="s">
        <v>4552</v>
      </c>
      <c r="F869" s="2"/>
      <c r="G869" s="2"/>
      <c r="H869" s="2"/>
      <c r="I869" s="3">
        <f t="shared" si="13"/>
        <v>130</v>
      </c>
    </row>
    <row r="870" spans="1:9" ht="24" x14ac:dyDescent="0.3">
      <c r="A870" s="2" t="s">
        <v>146</v>
      </c>
      <c r="B870" s="2" t="s">
        <v>4553</v>
      </c>
      <c r="C870" s="2" t="s">
        <v>389</v>
      </c>
      <c r="D870" s="2" t="s">
        <v>4554</v>
      </c>
      <c r="E870" s="2" t="s">
        <v>39</v>
      </c>
      <c r="F870" s="2"/>
      <c r="G870" s="2"/>
      <c r="H870" s="2"/>
      <c r="I870" s="3">
        <f t="shared" si="13"/>
        <v>130</v>
      </c>
    </row>
    <row r="871" spans="1:9" ht="24" x14ac:dyDescent="0.3">
      <c r="A871" s="2" t="s">
        <v>146</v>
      </c>
      <c r="B871" s="2" t="s">
        <v>1334</v>
      </c>
      <c r="C871" s="2"/>
      <c r="D871" s="2" t="s">
        <v>4555</v>
      </c>
      <c r="E871" s="2" t="s">
        <v>39</v>
      </c>
      <c r="F871" s="2"/>
      <c r="G871" s="2"/>
      <c r="H871" s="2"/>
      <c r="I871" s="3">
        <f t="shared" si="13"/>
        <v>130</v>
      </c>
    </row>
    <row r="872" spans="1:9" ht="24" x14ac:dyDescent="0.3">
      <c r="A872" s="2" t="s">
        <v>146</v>
      </c>
      <c r="B872" s="2" t="s">
        <v>2323</v>
      </c>
      <c r="C872" s="2" t="s">
        <v>491</v>
      </c>
      <c r="D872" s="2" t="s">
        <v>4559</v>
      </c>
      <c r="E872" s="2" t="s">
        <v>39</v>
      </c>
      <c r="F872" s="2"/>
      <c r="G872" s="2"/>
      <c r="H872" s="2"/>
      <c r="I872" s="3">
        <f t="shared" si="13"/>
        <v>130</v>
      </c>
    </row>
    <row r="873" spans="1:9" ht="24" x14ac:dyDescent="0.3">
      <c r="A873" s="2" t="s">
        <v>146</v>
      </c>
      <c r="B873" s="2" t="s">
        <v>4561</v>
      </c>
      <c r="C873" s="2"/>
      <c r="D873" s="2" t="s">
        <v>4562</v>
      </c>
      <c r="E873" s="2" t="s">
        <v>39</v>
      </c>
      <c r="F873" s="2"/>
      <c r="G873" s="2"/>
      <c r="H873" s="2"/>
      <c r="I873" s="3">
        <f t="shared" si="13"/>
        <v>130</v>
      </c>
    </row>
    <row r="874" spans="1:9" ht="24" x14ac:dyDescent="0.3">
      <c r="A874" s="2" t="s">
        <v>146</v>
      </c>
      <c r="B874" s="2" t="s">
        <v>2233</v>
      </c>
      <c r="C874" s="2" t="s">
        <v>95</v>
      </c>
      <c r="D874" s="2" t="s">
        <v>4571</v>
      </c>
      <c r="E874" s="2" t="s">
        <v>39</v>
      </c>
      <c r="F874" s="2"/>
      <c r="G874" s="2"/>
      <c r="H874" s="2"/>
      <c r="I874" s="3">
        <f t="shared" si="13"/>
        <v>131</v>
      </c>
    </row>
    <row r="875" spans="1:9" ht="24" x14ac:dyDescent="0.3">
      <c r="A875" s="2" t="s">
        <v>146</v>
      </c>
      <c r="B875" s="2" t="s">
        <v>4572</v>
      </c>
      <c r="C875" s="2"/>
      <c r="D875" s="2" t="s">
        <v>4573</v>
      </c>
      <c r="E875" s="2" t="s">
        <v>1272</v>
      </c>
      <c r="F875" s="2"/>
      <c r="G875" s="2"/>
      <c r="H875" s="2"/>
      <c r="I875" s="3">
        <f t="shared" si="13"/>
        <v>131</v>
      </c>
    </row>
    <row r="876" spans="1:9" ht="24" x14ac:dyDescent="0.3">
      <c r="A876" s="2" t="s">
        <v>146</v>
      </c>
      <c r="B876" s="2" t="s">
        <v>4576</v>
      </c>
      <c r="C876" s="2"/>
      <c r="D876" s="2" t="s">
        <v>4577</v>
      </c>
      <c r="E876" s="2" t="s">
        <v>39</v>
      </c>
      <c r="F876" s="2"/>
      <c r="G876" s="2"/>
      <c r="H876" s="2"/>
      <c r="I876" s="3">
        <f t="shared" si="13"/>
        <v>131</v>
      </c>
    </row>
    <row r="877" spans="1:9" ht="24" x14ac:dyDescent="0.3">
      <c r="A877" s="2" t="s">
        <v>146</v>
      </c>
      <c r="B877" s="2" t="s">
        <v>4578</v>
      </c>
      <c r="C877" s="2" t="s">
        <v>95</v>
      </c>
      <c r="D877" s="2" t="s">
        <v>4579</v>
      </c>
      <c r="E877" s="2" t="s">
        <v>39</v>
      </c>
      <c r="F877" s="2"/>
      <c r="G877" s="2"/>
      <c r="H877" s="2"/>
      <c r="I877" s="3">
        <f t="shared" si="13"/>
        <v>131</v>
      </c>
    </row>
    <row r="878" spans="1:9" ht="24" x14ac:dyDescent="0.3">
      <c r="A878" s="2" t="s">
        <v>146</v>
      </c>
      <c r="B878" s="2" t="s">
        <v>4580</v>
      </c>
      <c r="C878" s="2" t="s">
        <v>214</v>
      </c>
      <c r="D878" s="2" t="s">
        <v>4581</v>
      </c>
      <c r="E878" s="2" t="s">
        <v>39</v>
      </c>
      <c r="F878" s="2"/>
      <c r="G878" s="2"/>
      <c r="H878" s="2"/>
      <c r="I878" s="3">
        <f t="shared" si="13"/>
        <v>131</v>
      </c>
    </row>
    <row r="879" spans="1:9" ht="24" x14ac:dyDescent="0.3">
      <c r="A879" s="2" t="s">
        <v>146</v>
      </c>
      <c r="B879" s="2" t="s">
        <v>910</v>
      </c>
      <c r="C879" s="3" t="s">
        <v>911</v>
      </c>
      <c r="D879" s="2" t="s">
        <v>4584</v>
      </c>
      <c r="E879" s="2"/>
      <c r="F879" s="2"/>
      <c r="G879" s="2"/>
      <c r="H879" s="2"/>
      <c r="I879" s="3">
        <f t="shared" si="13"/>
        <v>131</v>
      </c>
    </row>
    <row r="880" spans="1:9" ht="24" x14ac:dyDescent="0.3">
      <c r="A880" s="2" t="s">
        <v>146</v>
      </c>
      <c r="B880" s="2" t="s">
        <v>4585</v>
      </c>
      <c r="C880" s="2" t="s">
        <v>422</v>
      </c>
      <c r="D880" s="2" t="s">
        <v>4586</v>
      </c>
      <c r="E880" s="2" t="s">
        <v>39</v>
      </c>
      <c r="F880" s="2"/>
      <c r="G880" s="2"/>
      <c r="H880" s="2"/>
      <c r="I880" s="3">
        <f t="shared" si="13"/>
        <v>131</v>
      </c>
    </row>
    <row r="881" spans="1:9" ht="24" x14ac:dyDescent="0.3">
      <c r="A881" s="2" t="s">
        <v>146</v>
      </c>
      <c r="B881" s="2" t="s">
        <v>4594</v>
      </c>
      <c r="C881" s="2" t="s">
        <v>559</v>
      </c>
      <c r="D881" s="2" t="s">
        <v>4595</v>
      </c>
      <c r="E881" s="2" t="s">
        <v>39</v>
      </c>
      <c r="F881" s="2"/>
      <c r="G881" s="2"/>
      <c r="H881" s="2"/>
      <c r="I881" s="3">
        <f t="shared" si="13"/>
        <v>131</v>
      </c>
    </row>
    <row r="882" spans="1:9" ht="24" x14ac:dyDescent="0.3">
      <c r="A882" s="2" t="s">
        <v>146</v>
      </c>
      <c r="B882" s="2" t="s">
        <v>4603</v>
      </c>
      <c r="C882" s="2"/>
      <c r="D882" s="2" t="s">
        <v>4604</v>
      </c>
      <c r="E882" s="2" t="s">
        <v>39</v>
      </c>
      <c r="F882" s="2"/>
      <c r="G882" s="2"/>
      <c r="H882" s="2" t="s">
        <v>194</v>
      </c>
      <c r="I882" s="3">
        <f t="shared" si="13"/>
        <v>132</v>
      </c>
    </row>
    <row r="883" spans="1:9" ht="24" x14ac:dyDescent="0.3">
      <c r="A883" s="2" t="s">
        <v>146</v>
      </c>
      <c r="B883" s="2" t="s">
        <v>879</v>
      </c>
      <c r="C883" s="2" t="s">
        <v>437</v>
      </c>
      <c r="D883" s="2" t="s">
        <v>4605</v>
      </c>
      <c r="E883" s="2" t="s">
        <v>4606</v>
      </c>
      <c r="F883" s="2"/>
      <c r="G883" s="2"/>
      <c r="H883" s="2"/>
      <c r="I883" s="3">
        <f t="shared" si="13"/>
        <v>132</v>
      </c>
    </row>
    <row r="884" spans="1:9" ht="24" x14ac:dyDescent="0.3">
      <c r="A884" s="2" t="s">
        <v>146</v>
      </c>
      <c r="B884" s="2" t="s">
        <v>4611</v>
      </c>
      <c r="C884" s="2" t="s">
        <v>64</v>
      </c>
      <c r="D884" s="2" t="s">
        <v>4612</v>
      </c>
      <c r="E884" s="2" t="s">
        <v>39</v>
      </c>
      <c r="F884" s="2"/>
      <c r="G884" s="2"/>
      <c r="H884" s="2"/>
      <c r="I884" s="3">
        <f t="shared" si="13"/>
        <v>132</v>
      </c>
    </row>
    <row r="885" spans="1:9" ht="24" x14ac:dyDescent="0.3">
      <c r="A885" s="2" t="s">
        <v>146</v>
      </c>
      <c r="B885" s="2" t="s">
        <v>4613</v>
      </c>
      <c r="C885" s="2" t="s">
        <v>500</v>
      </c>
      <c r="D885" s="2" t="s">
        <v>4614</v>
      </c>
      <c r="E885" s="2" t="s">
        <v>39</v>
      </c>
      <c r="F885" s="2"/>
      <c r="G885" s="2"/>
      <c r="H885" s="2" t="s">
        <v>402</v>
      </c>
      <c r="I885" s="3">
        <f t="shared" si="13"/>
        <v>132</v>
      </c>
    </row>
    <row r="886" spans="1:9" ht="24" x14ac:dyDescent="0.3">
      <c r="A886" s="2" t="s">
        <v>146</v>
      </c>
      <c r="B886" s="2" t="s">
        <v>4619</v>
      </c>
      <c r="C886" s="2" t="s">
        <v>491</v>
      </c>
      <c r="D886" s="2" t="s">
        <v>4620</v>
      </c>
      <c r="E886" s="2" t="s">
        <v>39</v>
      </c>
      <c r="F886" s="2"/>
      <c r="G886" s="2"/>
      <c r="H886" s="2"/>
      <c r="I886" s="3">
        <f t="shared" si="13"/>
        <v>132</v>
      </c>
    </row>
    <row r="887" spans="1:9" ht="24" x14ac:dyDescent="0.3">
      <c r="A887" s="2" t="s">
        <v>146</v>
      </c>
      <c r="B887" s="2" t="s">
        <v>4638</v>
      </c>
      <c r="C887" s="2" t="s">
        <v>214</v>
      </c>
      <c r="D887" s="2" t="s">
        <v>4639</v>
      </c>
      <c r="E887" s="2" t="s">
        <v>39</v>
      </c>
      <c r="F887" s="2"/>
      <c r="G887" s="2"/>
      <c r="H887" s="2"/>
      <c r="I887" s="3">
        <f t="shared" si="13"/>
        <v>133</v>
      </c>
    </row>
    <row r="888" spans="1:9" ht="24" x14ac:dyDescent="0.3">
      <c r="A888" s="2" t="s">
        <v>146</v>
      </c>
      <c r="B888" s="2" t="s">
        <v>4640</v>
      </c>
      <c r="C888" s="2" t="s">
        <v>866</v>
      </c>
      <c r="D888" s="2" t="s">
        <v>4641</v>
      </c>
      <c r="E888" s="2" t="s">
        <v>39</v>
      </c>
      <c r="F888" s="2"/>
      <c r="G888" s="2"/>
      <c r="H888" s="2"/>
      <c r="I888" s="3">
        <f t="shared" si="13"/>
        <v>133</v>
      </c>
    </row>
    <row r="889" spans="1:9" ht="24" x14ac:dyDescent="0.3">
      <c r="A889" s="2" t="s">
        <v>146</v>
      </c>
      <c r="B889" s="2" t="s">
        <v>479</v>
      </c>
      <c r="C889" s="2" t="s">
        <v>113</v>
      </c>
      <c r="D889" s="2" t="s">
        <v>8737</v>
      </c>
      <c r="E889" s="2" t="s">
        <v>39</v>
      </c>
      <c r="F889" s="2" t="s">
        <v>4117</v>
      </c>
      <c r="G889" s="2" t="s">
        <v>350</v>
      </c>
      <c r="H889" s="2"/>
      <c r="I889" s="3">
        <f t="shared" si="13"/>
        <v>131</v>
      </c>
    </row>
    <row r="890" spans="1:9" ht="24" x14ac:dyDescent="0.3">
      <c r="A890" s="2" t="s">
        <v>146</v>
      </c>
      <c r="B890" s="2" t="s">
        <v>4651</v>
      </c>
      <c r="C890" s="2"/>
      <c r="D890" s="2" t="s">
        <v>8738</v>
      </c>
      <c r="E890" s="2" t="s">
        <v>616</v>
      </c>
      <c r="F890" s="2" t="s">
        <v>2281</v>
      </c>
      <c r="G890" s="2" t="s">
        <v>1717</v>
      </c>
      <c r="H890" s="2"/>
      <c r="I890" s="3">
        <f t="shared" si="13"/>
        <v>132</v>
      </c>
    </row>
    <row r="891" spans="1:9" ht="24" x14ac:dyDescent="0.3">
      <c r="A891" s="2" t="s">
        <v>146</v>
      </c>
      <c r="B891" s="2" t="s">
        <v>4652</v>
      </c>
      <c r="C891" s="2" t="s">
        <v>911</v>
      </c>
      <c r="D891" s="2" t="s">
        <v>4653</v>
      </c>
      <c r="E891" s="2"/>
      <c r="F891" s="2"/>
      <c r="G891" s="2"/>
      <c r="H891" s="2"/>
      <c r="I891" s="3">
        <f t="shared" si="13"/>
        <v>134</v>
      </c>
    </row>
    <row r="892" spans="1:9" ht="24" x14ac:dyDescent="0.3">
      <c r="A892" s="2" t="s">
        <v>146</v>
      </c>
      <c r="B892" s="2" t="s">
        <v>4654</v>
      </c>
      <c r="C892" s="2"/>
      <c r="D892" s="2" t="s">
        <v>4655</v>
      </c>
      <c r="E892" s="2" t="s">
        <v>2250</v>
      </c>
      <c r="F892" s="2"/>
      <c r="G892" s="2"/>
      <c r="H892" s="2" t="s">
        <v>1176</v>
      </c>
      <c r="I892" s="3">
        <f t="shared" si="13"/>
        <v>134</v>
      </c>
    </row>
    <row r="893" spans="1:9" ht="24" x14ac:dyDescent="0.3">
      <c r="A893" s="2" t="s">
        <v>146</v>
      </c>
      <c r="B893" s="2" t="s">
        <v>4656</v>
      </c>
      <c r="C893" s="2" t="s">
        <v>544</v>
      </c>
      <c r="D893" s="2" t="s">
        <v>4657</v>
      </c>
      <c r="E893" s="2" t="s">
        <v>39</v>
      </c>
      <c r="F893" s="2"/>
      <c r="G893" s="2"/>
      <c r="H893" s="2"/>
      <c r="I893" s="3">
        <f t="shared" si="13"/>
        <v>134</v>
      </c>
    </row>
    <row r="894" spans="1:9" ht="24" x14ac:dyDescent="0.3">
      <c r="A894" s="2" t="s">
        <v>146</v>
      </c>
      <c r="B894" s="2" t="s">
        <v>2780</v>
      </c>
      <c r="C894" s="2" t="s">
        <v>515</v>
      </c>
      <c r="D894" s="2" t="s">
        <v>4660</v>
      </c>
      <c r="E894" s="2" t="s">
        <v>39</v>
      </c>
      <c r="F894" s="2"/>
      <c r="G894" s="2"/>
      <c r="H894" s="2"/>
      <c r="I894" s="3">
        <f t="shared" si="13"/>
        <v>134</v>
      </c>
    </row>
    <row r="895" spans="1:9" ht="24" x14ac:dyDescent="0.3">
      <c r="A895" s="2" t="s">
        <v>146</v>
      </c>
      <c r="B895" s="2" t="s">
        <v>2661</v>
      </c>
      <c r="C895" s="2" t="s">
        <v>491</v>
      </c>
      <c r="D895" s="2" t="s">
        <v>4663</v>
      </c>
      <c r="E895" s="2" t="s">
        <v>39</v>
      </c>
      <c r="F895" s="2"/>
      <c r="G895" s="2"/>
      <c r="H895" s="2"/>
      <c r="I895" s="3">
        <f t="shared" si="13"/>
        <v>134</v>
      </c>
    </row>
    <row r="896" spans="1:9" ht="24" x14ac:dyDescent="0.3">
      <c r="A896" s="2" t="s">
        <v>146</v>
      </c>
      <c r="B896" s="2" t="s">
        <v>4664</v>
      </c>
      <c r="C896" s="2" t="s">
        <v>491</v>
      </c>
      <c r="D896" s="2" t="s">
        <v>4665</v>
      </c>
      <c r="E896" s="2"/>
      <c r="F896" s="2"/>
      <c r="G896" s="2"/>
      <c r="H896" s="2"/>
      <c r="I896" s="3">
        <f t="shared" si="13"/>
        <v>134</v>
      </c>
    </row>
    <row r="897" spans="1:9" ht="24" x14ac:dyDescent="0.3">
      <c r="A897" s="2" t="s">
        <v>146</v>
      </c>
      <c r="B897" s="2" t="s">
        <v>4677</v>
      </c>
      <c r="C897" s="2" t="s">
        <v>4678</v>
      </c>
      <c r="D897" s="2" t="s">
        <v>8739</v>
      </c>
      <c r="E897" s="2" t="s">
        <v>39</v>
      </c>
      <c r="F897" s="2" t="s">
        <v>1778</v>
      </c>
      <c r="G897" s="2" t="s">
        <v>1717</v>
      </c>
      <c r="H897" s="2"/>
      <c r="I897" s="3">
        <f t="shared" si="13"/>
        <v>133</v>
      </c>
    </row>
    <row r="898" spans="1:9" ht="24" x14ac:dyDescent="0.3">
      <c r="A898" s="2" t="s">
        <v>146</v>
      </c>
      <c r="B898" s="2" t="s">
        <v>4685</v>
      </c>
      <c r="C898" s="2" t="s">
        <v>491</v>
      </c>
      <c r="D898" s="2" t="s">
        <v>4686</v>
      </c>
      <c r="E898" s="2" t="s">
        <v>39</v>
      </c>
      <c r="F898" s="2"/>
      <c r="G898" s="2"/>
      <c r="H898" s="2"/>
      <c r="I898" s="3">
        <f t="shared" ref="I898:I961" si="14">LEN(D898)</f>
        <v>135</v>
      </c>
    </row>
    <row r="899" spans="1:9" ht="24" x14ac:dyDescent="0.3">
      <c r="A899" s="2" t="s">
        <v>146</v>
      </c>
      <c r="B899" s="2" t="s">
        <v>2784</v>
      </c>
      <c r="C899" s="2"/>
      <c r="D899" s="2" t="s">
        <v>4687</v>
      </c>
      <c r="E899" s="2" t="s">
        <v>39</v>
      </c>
      <c r="F899" s="2"/>
      <c r="G899" s="2"/>
      <c r="H899" s="2"/>
      <c r="I899" s="3">
        <f t="shared" si="14"/>
        <v>135</v>
      </c>
    </row>
    <row r="900" spans="1:9" ht="24" x14ac:dyDescent="0.3">
      <c r="A900" s="2" t="s">
        <v>146</v>
      </c>
      <c r="B900" s="2" t="s">
        <v>2637</v>
      </c>
      <c r="C900" s="2" t="s">
        <v>45</v>
      </c>
      <c r="D900" s="2" t="s">
        <v>8740</v>
      </c>
      <c r="E900" s="2" t="s">
        <v>39</v>
      </c>
      <c r="F900" s="2" t="s">
        <v>1778</v>
      </c>
      <c r="G900" s="2" t="s">
        <v>1717</v>
      </c>
      <c r="H900" s="2"/>
      <c r="I900" s="3">
        <f t="shared" si="14"/>
        <v>133</v>
      </c>
    </row>
    <row r="901" spans="1:9" ht="24" x14ac:dyDescent="0.3">
      <c r="A901" s="2" t="s">
        <v>146</v>
      </c>
      <c r="B901" s="2" t="s">
        <v>4691</v>
      </c>
      <c r="C901" s="2" t="s">
        <v>491</v>
      </c>
      <c r="D901" s="2" t="s">
        <v>4692</v>
      </c>
      <c r="E901" s="2" t="s">
        <v>39</v>
      </c>
      <c r="F901" s="2"/>
      <c r="G901" s="2"/>
      <c r="H901" s="2"/>
      <c r="I901" s="3">
        <f t="shared" si="14"/>
        <v>135</v>
      </c>
    </row>
    <row r="902" spans="1:9" ht="24" x14ac:dyDescent="0.3">
      <c r="A902" s="2" t="s">
        <v>146</v>
      </c>
      <c r="B902" s="2" t="s">
        <v>4703</v>
      </c>
      <c r="C902" s="2" t="s">
        <v>422</v>
      </c>
      <c r="D902" s="2" t="s">
        <v>4704</v>
      </c>
      <c r="E902" s="2" t="s">
        <v>39</v>
      </c>
      <c r="F902" s="2"/>
      <c r="G902" s="2"/>
      <c r="H902" s="2"/>
      <c r="I902" s="3">
        <f t="shared" si="14"/>
        <v>135</v>
      </c>
    </row>
    <row r="903" spans="1:9" ht="24" x14ac:dyDescent="0.3">
      <c r="A903" s="2" t="s">
        <v>146</v>
      </c>
      <c r="B903" s="2" t="s">
        <v>4487</v>
      </c>
      <c r="C903" s="2"/>
      <c r="D903" s="2" t="s">
        <v>4705</v>
      </c>
      <c r="E903" s="2" t="s">
        <v>4489</v>
      </c>
      <c r="F903" s="2"/>
      <c r="G903" s="2"/>
      <c r="H903" s="2"/>
      <c r="I903" s="3">
        <f t="shared" si="14"/>
        <v>135</v>
      </c>
    </row>
    <row r="904" spans="1:9" ht="24" x14ac:dyDescent="0.3">
      <c r="A904" s="2" t="s">
        <v>146</v>
      </c>
      <c r="B904" s="2" t="s">
        <v>4706</v>
      </c>
      <c r="C904" s="2" t="s">
        <v>4707</v>
      </c>
      <c r="D904" s="2" t="s">
        <v>4708</v>
      </c>
      <c r="E904" s="2" t="s">
        <v>2830</v>
      </c>
      <c r="F904" s="2"/>
      <c r="G904" s="2"/>
      <c r="H904" s="2"/>
      <c r="I904" s="3">
        <f t="shared" si="14"/>
        <v>135</v>
      </c>
    </row>
    <row r="905" spans="1:9" ht="24" x14ac:dyDescent="0.3">
      <c r="A905" s="2" t="s">
        <v>146</v>
      </c>
      <c r="B905" s="2" t="s">
        <v>1321</v>
      </c>
      <c r="C905" s="2" t="s">
        <v>437</v>
      </c>
      <c r="D905" s="2" t="s">
        <v>4709</v>
      </c>
      <c r="E905" s="2"/>
      <c r="F905" s="2"/>
      <c r="G905" s="2"/>
      <c r="H905" s="2" t="s">
        <v>194</v>
      </c>
      <c r="I905" s="3">
        <f t="shared" si="14"/>
        <v>135</v>
      </c>
    </row>
    <row r="906" spans="1:9" ht="24" x14ac:dyDescent="0.3">
      <c r="A906" s="2" t="s">
        <v>146</v>
      </c>
      <c r="B906" s="2" t="s">
        <v>4710</v>
      </c>
      <c r="C906" s="2" t="s">
        <v>911</v>
      </c>
      <c r="D906" s="2" t="s">
        <v>4711</v>
      </c>
      <c r="E906" s="2" t="s">
        <v>4712</v>
      </c>
      <c r="F906" s="2"/>
      <c r="G906" s="2"/>
      <c r="H906" s="2"/>
      <c r="I906" s="3">
        <f t="shared" si="14"/>
        <v>136</v>
      </c>
    </row>
    <row r="907" spans="1:9" ht="24" x14ac:dyDescent="0.3">
      <c r="A907" s="2" t="s">
        <v>146</v>
      </c>
      <c r="B907" s="2" t="s">
        <v>2637</v>
      </c>
      <c r="C907" s="2" t="s">
        <v>45</v>
      </c>
      <c r="D907" s="2" t="s">
        <v>8741</v>
      </c>
      <c r="E907" s="2" t="s">
        <v>39</v>
      </c>
      <c r="F907" s="2" t="s">
        <v>1778</v>
      </c>
      <c r="G907" s="2" t="s">
        <v>1717</v>
      </c>
      <c r="H907" s="2"/>
      <c r="I907" s="3">
        <f t="shared" si="14"/>
        <v>134</v>
      </c>
    </row>
    <row r="908" spans="1:9" ht="24" x14ac:dyDescent="0.3">
      <c r="A908" s="2" t="s">
        <v>146</v>
      </c>
      <c r="B908" s="2" t="s">
        <v>4715</v>
      </c>
      <c r="C908" s="2"/>
      <c r="D908" s="2" t="s">
        <v>4716</v>
      </c>
      <c r="E908" s="2" t="s">
        <v>39</v>
      </c>
      <c r="F908" s="2"/>
      <c r="G908" s="2"/>
      <c r="H908" s="2"/>
      <c r="I908" s="3">
        <f t="shared" si="14"/>
        <v>136</v>
      </c>
    </row>
    <row r="909" spans="1:9" ht="24" x14ac:dyDescent="0.3">
      <c r="A909" s="2" t="s">
        <v>146</v>
      </c>
      <c r="B909" s="2" t="s">
        <v>2780</v>
      </c>
      <c r="C909" s="2" t="s">
        <v>515</v>
      </c>
      <c r="D909" s="2" t="s">
        <v>4721</v>
      </c>
      <c r="E909" s="2" t="s">
        <v>39</v>
      </c>
      <c r="F909" s="2"/>
      <c r="G909" s="2"/>
      <c r="H909" s="2"/>
      <c r="I909" s="3">
        <f t="shared" si="14"/>
        <v>136</v>
      </c>
    </row>
    <row r="910" spans="1:9" ht="24" x14ac:dyDescent="0.3">
      <c r="A910" s="2" t="s">
        <v>146</v>
      </c>
      <c r="B910" s="2" t="s">
        <v>4724</v>
      </c>
      <c r="C910" s="2" t="s">
        <v>95</v>
      </c>
      <c r="D910" s="2" t="s">
        <v>4725</v>
      </c>
      <c r="E910" s="2" t="s">
        <v>39</v>
      </c>
      <c r="F910" s="2"/>
      <c r="G910" s="2"/>
      <c r="H910" s="2"/>
      <c r="I910" s="3">
        <f t="shared" si="14"/>
        <v>136</v>
      </c>
    </row>
    <row r="911" spans="1:9" ht="24" x14ac:dyDescent="0.3">
      <c r="A911" s="2" t="s">
        <v>146</v>
      </c>
      <c r="B911" s="2" t="s">
        <v>4726</v>
      </c>
      <c r="C911" s="2"/>
      <c r="D911" s="2" t="s">
        <v>4727</v>
      </c>
      <c r="E911" s="2" t="s">
        <v>39</v>
      </c>
      <c r="F911" s="2"/>
      <c r="G911" s="2"/>
      <c r="H911" s="2"/>
      <c r="I911" s="3">
        <f t="shared" si="14"/>
        <v>136</v>
      </c>
    </row>
    <row r="912" spans="1:9" ht="24" x14ac:dyDescent="0.3">
      <c r="A912" s="2" t="s">
        <v>146</v>
      </c>
      <c r="B912" s="2" t="s">
        <v>4740</v>
      </c>
      <c r="C912" s="2" t="s">
        <v>332</v>
      </c>
      <c r="D912" s="2" t="s">
        <v>4741</v>
      </c>
      <c r="E912" s="2" t="s">
        <v>39</v>
      </c>
      <c r="F912" s="2"/>
      <c r="G912" s="2"/>
      <c r="H912" s="2" t="s">
        <v>194</v>
      </c>
      <c r="I912" s="3">
        <f t="shared" si="14"/>
        <v>137</v>
      </c>
    </row>
    <row r="913" spans="1:9" ht="24" x14ac:dyDescent="0.3">
      <c r="A913" s="2" t="s">
        <v>146</v>
      </c>
      <c r="B913" s="2" t="s">
        <v>4747</v>
      </c>
      <c r="C913" s="2" t="s">
        <v>515</v>
      </c>
      <c r="D913" s="2" t="s">
        <v>4748</v>
      </c>
      <c r="E913" s="2" t="s">
        <v>39</v>
      </c>
      <c r="F913" s="2"/>
      <c r="G913" s="2"/>
      <c r="H913" s="2"/>
      <c r="I913" s="3">
        <f t="shared" si="14"/>
        <v>137</v>
      </c>
    </row>
    <row r="914" spans="1:9" ht="24" x14ac:dyDescent="0.3">
      <c r="A914" s="2" t="s">
        <v>146</v>
      </c>
      <c r="B914" s="2" t="s">
        <v>4749</v>
      </c>
      <c r="C914" s="2"/>
      <c r="D914" s="2" t="s">
        <v>8742</v>
      </c>
      <c r="E914" s="2" t="s">
        <v>39</v>
      </c>
      <c r="F914" s="2" t="s">
        <v>2281</v>
      </c>
      <c r="G914" s="2" t="s">
        <v>1717</v>
      </c>
      <c r="H914" s="2"/>
      <c r="I914" s="3">
        <f t="shared" si="14"/>
        <v>135</v>
      </c>
    </row>
    <row r="915" spans="1:9" ht="24" x14ac:dyDescent="0.3">
      <c r="A915" s="2" t="s">
        <v>146</v>
      </c>
      <c r="B915" s="2" t="s">
        <v>1013</v>
      </c>
      <c r="C915" s="2" t="s">
        <v>4753</v>
      </c>
      <c r="D915" s="2" t="s">
        <v>4754</v>
      </c>
      <c r="E915" s="2" t="s">
        <v>211</v>
      </c>
      <c r="F915" s="2"/>
      <c r="G915" s="2"/>
      <c r="H915" s="2"/>
      <c r="I915" s="3">
        <f t="shared" si="14"/>
        <v>137</v>
      </c>
    </row>
    <row r="916" spans="1:9" ht="24" x14ac:dyDescent="0.3">
      <c r="A916" s="2" t="s">
        <v>146</v>
      </c>
      <c r="B916" s="2" t="s">
        <v>4755</v>
      </c>
      <c r="C916" s="2" t="s">
        <v>4351</v>
      </c>
      <c r="D916" s="2" t="s">
        <v>4756</v>
      </c>
      <c r="E916" s="2" t="s">
        <v>39</v>
      </c>
      <c r="F916" s="2"/>
      <c r="G916" s="2"/>
      <c r="H916" s="2"/>
      <c r="I916" s="3">
        <f t="shared" si="14"/>
        <v>137</v>
      </c>
    </row>
    <row r="917" spans="1:9" ht="24" x14ac:dyDescent="0.3">
      <c r="A917" s="2" t="s">
        <v>146</v>
      </c>
      <c r="B917" s="2" t="s">
        <v>4757</v>
      </c>
      <c r="C917" s="2" t="s">
        <v>1647</v>
      </c>
      <c r="D917" s="2" t="s">
        <v>4758</v>
      </c>
      <c r="E917" s="2" t="s">
        <v>39</v>
      </c>
      <c r="F917" s="2"/>
      <c r="G917" s="2"/>
      <c r="H917" s="2"/>
      <c r="I917" s="3">
        <f t="shared" si="14"/>
        <v>138</v>
      </c>
    </row>
    <row r="918" spans="1:9" ht="24" x14ac:dyDescent="0.3">
      <c r="A918" s="2" t="s">
        <v>146</v>
      </c>
      <c r="B918" s="2" t="s">
        <v>4772</v>
      </c>
      <c r="C918" s="2" t="s">
        <v>2057</v>
      </c>
      <c r="D918" s="2" t="s">
        <v>4773</v>
      </c>
      <c r="E918" s="2" t="s">
        <v>39</v>
      </c>
      <c r="F918" s="2"/>
      <c r="G918" s="2"/>
      <c r="H918" s="2"/>
      <c r="I918" s="3">
        <f t="shared" si="14"/>
        <v>138</v>
      </c>
    </row>
    <row r="919" spans="1:9" ht="24" x14ac:dyDescent="0.3">
      <c r="A919" s="2" t="s">
        <v>146</v>
      </c>
      <c r="B919" s="2" t="s">
        <v>1443</v>
      </c>
      <c r="C919" s="2"/>
      <c r="D919" s="2" t="s">
        <v>4774</v>
      </c>
      <c r="E919" s="2" t="s">
        <v>39</v>
      </c>
      <c r="F919" s="2"/>
      <c r="G919" s="2"/>
      <c r="H919" s="2"/>
      <c r="I919" s="3">
        <f t="shared" si="14"/>
        <v>138</v>
      </c>
    </row>
    <row r="920" spans="1:9" ht="24" x14ac:dyDescent="0.3">
      <c r="A920" s="2" t="s">
        <v>146</v>
      </c>
      <c r="B920" s="2" t="s">
        <v>4775</v>
      </c>
      <c r="C920" s="2" t="s">
        <v>500</v>
      </c>
      <c r="D920" s="2" t="s">
        <v>4776</v>
      </c>
      <c r="E920" s="2" t="s">
        <v>39</v>
      </c>
      <c r="F920" s="2"/>
      <c r="G920" s="2"/>
      <c r="H920" s="2" t="s">
        <v>402</v>
      </c>
      <c r="I920" s="3">
        <f t="shared" si="14"/>
        <v>138</v>
      </c>
    </row>
    <row r="921" spans="1:9" ht="24" x14ac:dyDescent="0.3">
      <c r="A921" s="2" t="s">
        <v>146</v>
      </c>
      <c r="B921" s="2" t="s">
        <v>4779</v>
      </c>
      <c r="C921" s="2" t="s">
        <v>186</v>
      </c>
      <c r="D921" s="2" t="s">
        <v>4780</v>
      </c>
      <c r="E921" s="2" t="s">
        <v>39</v>
      </c>
      <c r="F921" s="2"/>
      <c r="G921" s="2"/>
      <c r="H921" s="2"/>
      <c r="I921" s="3">
        <f t="shared" si="14"/>
        <v>138</v>
      </c>
    </row>
    <row r="922" spans="1:9" ht="24" x14ac:dyDescent="0.3">
      <c r="A922" s="2" t="s">
        <v>146</v>
      </c>
      <c r="B922" s="2" t="s">
        <v>4781</v>
      </c>
      <c r="C922" s="2" t="s">
        <v>95</v>
      </c>
      <c r="D922" s="2" t="s">
        <v>4782</v>
      </c>
      <c r="E922" s="2" t="s">
        <v>39</v>
      </c>
      <c r="F922" s="2"/>
      <c r="G922" s="2"/>
      <c r="H922" s="2"/>
      <c r="I922" s="3">
        <f t="shared" si="14"/>
        <v>138</v>
      </c>
    </row>
    <row r="923" spans="1:9" ht="24" x14ac:dyDescent="0.3">
      <c r="A923" s="2" t="s">
        <v>146</v>
      </c>
      <c r="B923" s="2" t="s">
        <v>4783</v>
      </c>
      <c r="C923" s="2"/>
      <c r="D923" s="2" t="s">
        <v>4784</v>
      </c>
      <c r="E923" s="2" t="s">
        <v>39</v>
      </c>
      <c r="F923" s="2"/>
      <c r="G923" s="2"/>
      <c r="H923" s="2"/>
      <c r="I923" s="3">
        <f t="shared" si="14"/>
        <v>138</v>
      </c>
    </row>
    <row r="924" spans="1:9" ht="24" x14ac:dyDescent="0.3">
      <c r="A924" s="2" t="s">
        <v>146</v>
      </c>
      <c r="B924" s="2" t="s">
        <v>4785</v>
      </c>
      <c r="C924" s="2" t="s">
        <v>515</v>
      </c>
      <c r="D924" s="2" t="s">
        <v>4786</v>
      </c>
      <c r="E924" s="2" t="s">
        <v>39</v>
      </c>
      <c r="F924" s="2"/>
      <c r="G924" s="2"/>
      <c r="H924" s="2"/>
      <c r="I924" s="3">
        <f t="shared" si="14"/>
        <v>138</v>
      </c>
    </row>
    <row r="925" spans="1:9" ht="24" x14ac:dyDescent="0.3">
      <c r="A925" s="2" t="s">
        <v>146</v>
      </c>
      <c r="B925" s="2" t="s">
        <v>4790</v>
      </c>
      <c r="C925" s="2" t="s">
        <v>389</v>
      </c>
      <c r="D925" s="2" t="s">
        <v>4791</v>
      </c>
      <c r="E925" s="2" t="s">
        <v>39</v>
      </c>
      <c r="F925" s="2"/>
      <c r="G925" s="2"/>
      <c r="H925" s="2"/>
      <c r="I925" s="3">
        <f t="shared" si="14"/>
        <v>138</v>
      </c>
    </row>
    <row r="926" spans="1:9" ht="24" x14ac:dyDescent="0.3">
      <c r="A926" s="2" t="s">
        <v>146</v>
      </c>
      <c r="B926" s="2" t="s">
        <v>4792</v>
      </c>
      <c r="C926" s="2" t="s">
        <v>75</v>
      </c>
      <c r="D926" s="2" t="s">
        <v>8743</v>
      </c>
      <c r="E926" s="2" t="s">
        <v>39</v>
      </c>
      <c r="F926" s="2" t="s">
        <v>1778</v>
      </c>
      <c r="G926" s="2" t="s">
        <v>1717</v>
      </c>
      <c r="H926" s="2"/>
      <c r="I926" s="3">
        <f t="shared" si="14"/>
        <v>136</v>
      </c>
    </row>
    <row r="927" spans="1:9" ht="24" x14ac:dyDescent="0.3">
      <c r="A927" s="2" t="s">
        <v>146</v>
      </c>
      <c r="B927" s="2" t="s">
        <v>4793</v>
      </c>
      <c r="C927" s="2" t="s">
        <v>559</v>
      </c>
      <c r="D927" s="2" t="s">
        <v>4794</v>
      </c>
      <c r="E927" s="2" t="s">
        <v>4795</v>
      </c>
      <c r="F927" s="2"/>
      <c r="G927" s="2"/>
      <c r="H927" s="2"/>
      <c r="I927" s="3">
        <f t="shared" si="14"/>
        <v>138</v>
      </c>
    </row>
    <row r="928" spans="1:9" ht="24" x14ac:dyDescent="0.3">
      <c r="A928" s="2" t="s">
        <v>146</v>
      </c>
      <c r="B928" s="2" t="s">
        <v>4796</v>
      </c>
      <c r="C928" s="2" t="s">
        <v>4797</v>
      </c>
      <c r="D928" s="2" t="s">
        <v>8744</v>
      </c>
      <c r="E928" s="2" t="s">
        <v>39</v>
      </c>
      <c r="F928" s="2" t="s">
        <v>1778</v>
      </c>
      <c r="G928" s="2" t="s">
        <v>1717</v>
      </c>
      <c r="H928" s="2"/>
      <c r="I928" s="3">
        <f t="shared" si="14"/>
        <v>137</v>
      </c>
    </row>
    <row r="929" spans="1:9" ht="24" x14ac:dyDescent="0.3">
      <c r="A929" s="2" t="s">
        <v>146</v>
      </c>
      <c r="B929" s="2" t="s">
        <v>4798</v>
      </c>
      <c r="C929" s="2" t="s">
        <v>911</v>
      </c>
      <c r="D929" s="2" t="s">
        <v>8745</v>
      </c>
      <c r="E929" s="2" t="s">
        <v>2524</v>
      </c>
      <c r="F929" s="2" t="s">
        <v>4117</v>
      </c>
      <c r="G929" s="2" t="s">
        <v>1717</v>
      </c>
      <c r="H929" s="2"/>
      <c r="I929" s="3">
        <f t="shared" si="14"/>
        <v>137</v>
      </c>
    </row>
    <row r="930" spans="1:9" ht="24" x14ac:dyDescent="0.3">
      <c r="A930" s="2" t="s">
        <v>146</v>
      </c>
      <c r="B930" s="2" t="s">
        <v>4810</v>
      </c>
      <c r="C930" s="2" t="s">
        <v>437</v>
      </c>
      <c r="D930" s="2" t="s">
        <v>4811</v>
      </c>
      <c r="E930" s="2"/>
      <c r="F930" s="2"/>
      <c r="G930" s="2"/>
      <c r="H930" s="2"/>
      <c r="I930" s="3">
        <f t="shared" si="14"/>
        <v>139</v>
      </c>
    </row>
    <row r="931" spans="1:9" ht="24" x14ac:dyDescent="0.3">
      <c r="A931" s="2" t="s">
        <v>146</v>
      </c>
      <c r="B931" s="2" t="s">
        <v>4812</v>
      </c>
      <c r="C931" s="2"/>
      <c r="D931" s="2" t="s">
        <v>4813</v>
      </c>
      <c r="E931" s="2" t="s">
        <v>39</v>
      </c>
      <c r="F931" s="2"/>
      <c r="G931" s="2"/>
      <c r="H931" s="2"/>
      <c r="I931" s="3">
        <f t="shared" si="14"/>
        <v>139</v>
      </c>
    </row>
    <row r="932" spans="1:9" ht="24" x14ac:dyDescent="0.3">
      <c r="A932" s="2" t="s">
        <v>146</v>
      </c>
      <c r="B932" s="2" t="s">
        <v>1443</v>
      </c>
      <c r="C932" s="2" t="s">
        <v>95</v>
      </c>
      <c r="D932" s="2" t="s">
        <v>4814</v>
      </c>
      <c r="E932" s="2" t="s">
        <v>39</v>
      </c>
      <c r="F932" s="2"/>
      <c r="G932" s="2"/>
      <c r="H932" s="2"/>
      <c r="I932" s="3">
        <f t="shared" si="14"/>
        <v>139</v>
      </c>
    </row>
    <row r="933" spans="1:9" ht="24" x14ac:dyDescent="0.3">
      <c r="A933" s="2" t="s">
        <v>146</v>
      </c>
      <c r="B933" s="2" t="s">
        <v>4818</v>
      </c>
      <c r="C933" s="2" t="s">
        <v>515</v>
      </c>
      <c r="D933" s="2" t="s">
        <v>4819</v>
      </c>
      <c r="E933" s="2" t="s">
        <v>39</v>
      </c>
      <c r="F933" s="2"/>
      <c r="G933" s="2"/>
      <c r="H933" s="2"/>
      <c r="I933" s="3">
        <f t="shared" si="14"/>
        <v>139</v>
      </c>
    </row>
    <row r="934" spans="1:9" ht="24" x14ac:dyDescent="0.3">
      <c r="A934" s="2" t="s">
        <v>146</v>
      </c>
      <c r="B934" s="2" t="s">
        <v>4820</v>
      </c>
      <c r="C934" s="2" t="s">
        <v>515</v>
      </c>
      <c r="D934" s="2" t="s">
        <v>4821</v>
      </c>
      <c r="E934" s="2" t="s">
        <v>39</v>
      </c>
      <c r="F934" s="2"/>
      <c r="G934" s="2"/>
      <c r="H934" s="2"/>
      <c r="I934" s="3">
        <f t="shared" si="14"/>
        <v>139</v>
      </c>
    </row>
    <row r="935" spans="1:9" ht="24" x14ac:dyDescent="0.3">
      <c r="A935" s="2" t="s">
        <v>146</v>
      </c>
      <c r="B935" s="2" t="s">
        <v>4824</v>
      </c>
      <c r="C935" s="2" t="s">
        <v>491</v>
      </c>
      <c r="D935" s="2" t="s">
        <v>4825</v>
      </c>
      <c r="E935" s="2" t="s">
        <v>39</v>
      </c>
      <c r="F935" s="2"/>
      <c r="G935" s="2"/>
      <c r="H935" s="2"/>
      <c r="I935" s="3">
        <f t="shared" si="14"/>
        <v>139</v>
      </c>
    </row>
    <row r="936" spans="1:9" ht="24" x14ac:dyDescent="0.3">
      <c r="A936" s="2" t="s">
        <v>146</v>
      </c>
      <c r="B936" s="2" t="s">
        <v>4828</v>
      </c>
      <c r="C936" s="2" t="s">
        <v>253</v>
      </c>
      <c r="D936" s="2" t="s">
        <v>4829</v>
      </c>
      <c r="E936" s="2" t="s">
        <v>39</v>
      </c>
      <c r="F936" s="2"/>
      <c r="G936" s="2"/>
      <c r="H936" s="2"/>
      <c r="I936" s="3">
        <f t="shared" si="14"/>
        <v>139</v>
      </c>
    </row>
    <row r="937" spans="1:9" ht="24" x14ac:dyDescent="0.3">
      <c r="A937" s="2" t="s">
        <v>146</v>
      </c>
      <c r="B937" s="2" t="s">
        <v>1323</v>
      </c>
      <c r="C937" s="2" t="s">
        <v>4830</v>
      </c>
      <c r="D937" s="2" t="s">
        <v>8746</v>
      </c>
      <c r="E937" s="2" t="s">
        <v>39</v>
      </c>
      <c r="F937" s="2" t="s">
        <v>1778</v>
      </c>
      <c r="G937" s="2" t="s">
        <v>1717</v>
      </c>
      <c r="H937" s="2"/>
      <c r="I937" s="3">
        <f t="shared" si="14"/>
        <v>138</v>
      </c>
    </row>
    <row r="938" spans="1:9" ht="24" x14ac:dyDescent="0.3">
      <c r="A938" s="2" t="s">
        <v>146</v>
      </c>
      <c r="B938" s="2" t="s">
        <v>4831</v>
      </c>
      <c r="C938" s="2" t="s">
        <v>422</v>
      </c>
      <c r="D938" s="2" t="s">
        <v>4832</v>
      </c>
      <c r="E938" s="2" t="s">
        <v>39</v>
      </c>
      <c r="F938" s="2"/>
      <c r="G938" s="2"/>
      <c r="H938" s="2"/>
      <c r="I938" s="3">
        <f t="shared" si="14"/>
        <v>140</v>
      </c>
    </row>
    <row r="939" spans="1:9" ht="24" x14ac:dyDescent="0.3">
      <c r="A939" s="2" t="s">
        <v>146</v>
      </c>
      <c r="B939" s="2" t="s">
        <v>4837</v>
      </c>
      <c r="C939" s="2" t="s">
        <v>763</v>
      </c>
      <c r="D939" s="2" t="s">
        <v>4838</v>
      </c>
      <c r="E939" s="2" t="s">
        <v>39</v>
      </c>
      <c r="F939" s="2"/>
      <c r="G939" s="2"/>
      <c r="H939" s="2"/>
      <c r="I939" s="3">
        <f t="shared" si="14"/>
        <v>140</v>
      </c>
    </row>
    <row r="940" spans="1:9" ht="24" x14ac:dyDescent="0.3">
      <c r="A940" s="2" t="s">
        <v>146</v>
      </c>
      <c r="B940" s="2" t="s">
        <v>4839</v>
      </c>
      <c r="C940" s="2" t="s">
        <v>4840</v>
      </c>
      <c r="D940" s="2" t="s">
        <v>8747</v>
      </c>
      <c r="E940" s="2" t="s">
        <v>39</v>
      </c>
      <c r="F940" s="2" t="s">
        <v>4841</v>
      </c>
      <c r="G940" s="2" t="s">
        <v>1717</v>
      </c>
      <c r="H940" s="2"/>
      <c r="I940" s="3">
        <f t="shared" si="14"/>
        <v>138</v>
      </c>
    </row>
    <row r="941" spans="1:9" ht="24" x14ac:dyDescent="0.3">
      <c r="A941" s="2" t="s">
        <v>146</v>
      </c>
      <c r="B941" s="2" t="s">
        <v>945</v>
      </c>
      <c r="C941" s="2" t="s">
        <v>4007</v>
      </c>
      <c r="D941" s="2" t="s">
        <v>4844</v>
      </c>
      <c r="E941" s="2" t="s">
        <v>211</v>
      </c>
      <c r="F941" s="2"/>
      <c r="G941" s="2"/>
      <c r="H941" s="2"/>
      <c r="I941" s="3">
        <f t="shared" si="14"/>
        <v>140</v>
      </c>
    </row>
    <row r="942" spans="1:9" ht="24" x14ac:dyDescent="0.3">
      <c r="A942" s="2" t="s">
        <v>146</v>
      </c>
      <c r="B942" s="2" t="s">
        <v>4845</v>
      </c>
      <c r="C942" s="2" t="s">
        <v>544</v>
      </c>
      <c r="D942" s="2" t="s">
        <v>4846</v>
      </c>
      <c r="E942" s="2"/>
      <c r="F942" s="2"/>
      <c r="G942" s="2"/>
      <c r="H942" s="2"/>
      <c r="I942" s="3">
        <f t="shared" si="14"/>
        <v>140</v>
      </c>
    </row>
    <row r="943" spans="1:9" ht="24" x14ac:dyDescent="0.3">
      <c r="A943" s="2" t="s">
        <v>146</v>
      </c>
      <c r="B943" s="2" t="s">
        <v>1443</v>
      </c>
      <c r="C943" s="2" t="s">
        <v>95</v>
      </c>
      <c r="D943" s="2" t="s">
        <v>4849</v>
      </c>
      <c r="E943" s="2" t="s">
        <v>39</v>
      </c>
      <c r="F943" s="2"/>
      <c r="G943" s="2"/>
      <c r="H943" s="2"/>
      <c r="I943" s="3">
        <f t="shared" si="14"/>
        <v>140</v>
      </c>
    </row>
    <row r="944" spans="1:9" ht="24" x14ac:dyDescent="0.3">
      <c r="A944" s="2" t="s">
        <v>146</v>
      </c>
      <c r="B944" s="2" t="s">
        <v>4852</v>
      </c>
      <c r="C944" s="2" t="s">
        <v>491</v>
      </c>
      <c r="D944" s="2" t="s">
        <v>4853</v>
      </c>
      <c r="E944" s="2" t="s">
        <v>39</v>
      </c>
      <c r="F944" s="2"/>
      <c r="G944" s="2"/>
      <c r="H944" s="2"/>
      <c r="I944" s="3">
        <f t="shared" si="14"/>
        <v>140</v>
      </c>
    </row>
    <row r="945" spans="1:9" ht="24" x14ac:dyDescent="0.3">
      <c r="A945" s="2" t="s">
        <v>146</v>
      </c>
      <c r="B945" s="2" t="s">
        <v>4854</v>
      </c>
      <c r="C945" s="2"/>
      <c r="D945" s="2" t="s">
        <v>4855</v>
      </c>
      <c r="E945" s="2" t="s">
        <v>39</v>
      </c>
      <c r="F945" s="2"/>
      <c r="G945" s="2"/>
      <c r="H945" s="2"/>
      <c r="I945" s="3">
        <f t="shared" si="14"/>
        <v>140</v>
      </c>
    </row>
    <row r="946" spans="1:9" ht="24" x14ac:dyDescent="0.3">
      <c r="A946" s="2" t="s">
        <v>146</v>
      </c>
      <c r="B946" s="2" t="s">
        <v>4857</v>
      </c>
      <c r="C946" s="2" t="s">
        <v>4858</v>
      </c>
      <c r="D946" s="2" t="s">
        <v>4859</v>
      </c>
      <c r="E946" s="2" t="s">
        <v>39</v>
      </c>
      <c r="F946" s="2"/>
      <c r="G946" s="2"/>
      <c r="H946" s="2"/>
      <c r="I946" s="3">
        <f t="shared" si="14"/>
        <v>140</v>
      </c>
    </row>
    <row r="947" spans="1:9" ht="24" x14ac:dyDescent="0.3">
      <c r="A947" s="2" t="s">
        <v>146</v>
      </c>
      <c r="B947" s="2" t="s">
        <v>4860</v>
      </c>
      <c r="C947" s="2" t="s">
        <v>437</v>
      </c>
      <c r="D947" s="2" t="s">
        <v>4861</v>
      </c>
      <c r="E947" s="2" t="s">
        <v>1776</v>
      </c>
      <c r="F947" s="2"/>
      <c r="G947" s="2"/>
      <c r="H947" s="2"/>
      <c r="I947" s="3">
        <f t="shared" si="14"/>
        <v>140</v>
      </c>
    </row>
    <row r="948" spans="1:9" ht="24" x14ac:dyDescent="0.3">
      <c r="A948" s="2" t="s">
        <v>146</v>
      </c>
      <c r="B948" s="2" t="s">
        <v>4867</v>
      </c>
      <c r="C948" s="3" t="s">
        <v>911</v>
      </c>
      <c r="D948" s="2" t="s">
        <v>4868</v>
      </c>
      <c r="E948" s="2" t="s">
        <v>3251</v>
      </c>
      <c r="F948" s="2"/>
      <c r="G948" s="2"/>
      <c r="H948" s="2" t="s">
        <v>1176</v>
      </c>
      <c r="I948" s="3">
        <f t="shared" si="14"/>
        <v>141</v>
      </c>
    </row>
    <row r="949" spans="1:9" ht="24" x14ac:dyDescent="0.3">
      <c r="A949" s="2" t="s">
        <v>146</v>
      </c>
      <c r="B949" s="2" t="s">
        <v>4869</v>
      </c>
      <c r="C949" s="2" t="s">
        <v>4797</v>
      </c>
      <c r="D949" s="2" t="s">
        <v>8748</v>
      </c>
      <c r="E949" s="2" t="s">
        <v>39</v>
      </c>
      <c r="F949" s="2" t="s">
        <v>1778</v>
      </c>
      <c r="G949" s="2" t="s">
        <v>1717</v>
      </c>
      <c r="H949" s="2"/>
      <c r="I949" s="3">
        <f t="shared" si="14"/>
        <v>139</v>
      </c>
    </row>
    <row r="950" spans="1:9" ht="24" x14ac:dyDescent="0.3">
      <c r="A950" s="2" t="s">
        <v>146</v>
      </c>
      <c r="B950" s="2" t="s">
        <v>4874</v>
      </c>
      <c r="C950" s="2"/>
      <c r="D950" s="2" t="s">
        <v>4875</v>
      </c>
      <c r="E950" s="2" t="s">
        <v>39</v>
      </c>
      <c r="F950" s="2"/>
      <c r="G950" s="2"/>
      <c r="H950" s="2"/>
      <c r="I950" s="3">
        <f t="shared" si="14"/>
        <v>141</v>
      </c>
    </row>
    <row r="951" spans="1:9" ht="24" x14ac:dyDescent="0.3">
      <c r="A951" s="2" t="s">
        <v>146</v>
      </c>
      <c r="B951" s="2" t="s">
        <v>4876</v>
      </c>
      <c r="C951" s="2"/>
      <c r="D951" s="2" t="s">
        <v>4877</v>
      </c>
      <c r="E951" s="2" t="s">
        <v>39</v>
      </c>
      <c r="F951" s="2"/>
      <c r="G951" s="2" t="s">
        <v>1717</v>
      </c>
      <c r="H951" s="2"/>
      <c r="I951" s="3">
        <f t="shared" si="14"/>
        <v>141</v>
      </c>
    </row>
    <row r="952" spans="1:9" ht="24" x14ac:dyDescent="0.3">
      <c r="A952" s="2" t="s">
        <v>146</v>
      </c>
      <c r="B952" s="2" t="s">
        <v>4882</v>
      </c>
      <c r="C952" s="2" t="s">
        <v>116</v>
      </c>
      <c r="D952" s="2" t="s">
        <v>4883</v>
      </c>
      <c r="E952" s="2" t="s">
        <v>39</v>
      </c>
      <c r="F952" s="2"/>
      <c r="G952" s="2"/>
      <c r="H952" s="2"/>
      <c r="I952" s="3">
        <f t="shared" si="14"/>
        <v>141</v>
      </c>
    </row>
    <row r="953" spans="1:9" ht="24" x14ac:dyDescent="0.3">
      <c r="A953" s="2" t="s">
        <v>146</v>
      </c>
      <c r="B953" s="2" t="s">
        <v>1156</v>
      </c>
      <c r="C953" s="2" t="s">
        <v>788</v>
      </c>
      <c r="D953" s="2" t="s">
        <v>4884</v>
      </c>
      <c r="E953" s="2" t="s">
        <v>39</v>
      </c>
      <c r="F953" s="2"/>
      <c r="G953" s="2"/>
      <c r="H953" s="2"/>
      <c r="I953" s="3">
        <f t="shared" si="14"/>
        <v>141</v>
      </c>
    </row>
    <row r="954" spans="1:9" ht="24" x14ac:dyDescent="0.3">
      <c r="A954" s="2" t="s">
        <v>146</v>
      </c>
      <c r="B954" s="2" t="s">
        <v>4885</v>
      </c>
      <c r="C954" s="2" t="s">
        <v>214</v>
      </c>
      <c r="D954" s="2" t="s">
        <v>4886</v>
      </c>
      <c r="E954" s="2" t="s">
        <v>39</v>
      </c>
      <c r="F954" s="2"/>
      <c r="G954" s="2"/>
      <c r="H954" s="2"/>
      <c r="I954" s="3">
        <f t="shared" si="14"/>
        <v>141</v>
      </c>
    </row>
    <row r="955" spans="1:9" ht="24" x14ac:dyDescent="0.3">
      <c r="A955" s="2" t="s">
        <v>146</v>
      </c>
      <c r="B955" s="2" t="s">
        <v>4887</v>
      </c>
      <c r="C955" s="2" t="s">
        <v>437</v>
      </c>
      <c r="D955" s="2" t="s">
        <v>4888</v>
      </c>
      <c r="E955" s="2" t="s">
        <v>39</v>
      </c>
      <c r="F955" s="2"/>
      <c r="G955" s="2" t="s">
        <v>1717</v>
      </c>
      <c r="H955" s="2"/>
      <c r="I955" s="3">
        <f t="shared" si="14"/>
        <v>141</v>
      </c>
    </row>
    <row r="956" spans="1:9" ht="24" x14ac:dyDescent="0.3">
      <c r="A956" s="2" t="s">
        <v>146</v>
      </c>
      <c r="B956" s="2" t="s">
        <v>4889</v>
      </c>
      <c r="C956" s="2" t="s">
        <v>422</v>
      </c>
      <c r="D956" s="2" t="s">
        <v>4890</v>
      </c>
      <c r="E956" s="2" t="s">
        <v>39</v>
      </c>
      <c r="F956" s="2"/>
      <c r="G956" s="2"/>
      <c r="H956" s="2"/>
      <c r="I956" s="3">
        <f t="shared" si="14"/>
        <v>141</v>
      </c>
    </row>
    <row r="957" spans="1:9" ht="24" x14ac:dyDescent="0.3">
      <c r="A957" s="2" t="s">
        <v>146</v>
      </c>
      <c r="B957" s="2" t="s">
        <v>4894</v>
      </c>
      <c r="C957" s="2"/>
      <c r="D957" s="2" t="s">
        <v>4895</v>
      </c>
      <c r="E957" s="2" t="s">
        <v>39</v>
      </c>
      <c r="F957" s="2"/>
      <c r="G957" s="2"/>
      <c r="H957" s="2"/>
      <c r="I957" s="3">
        <f t="shared" si="14"/>
        <v>141</v>
      </c>
    </row>
    <row r="958" spans="1:9" ht="24" x14ac:dyDescent="0.3">
      <c r="A958" s="2" t="s">
        <v>146</v>
      </c>
      <c r="B958" s="2" t="s">
        <v>4897</v>
      </c>
      <c r="C958" s="2" t="s">
        <v>515</v>
      </c>
      <c r="D958" s="2" t="s">
        <v>4898</v>
      </c>
      <c r="E958" s="2" t="s">
        <v>39</v>
      </c>
      <c r="F958" s="2"/>
      <c r="G958" s="2"/>
      <c r="H958" s="2"/>
      <c r="I958" s="3">
        <f t="shared" si="14"/>
        <v>141</v>
      </c>
    </row>
    <row r="959" spans="1:9" ht="24" x14ac:dyDescent="0.3">
      <c r="A959" s="2" t="s">
        <v>146</v>
      </c>
      <c r="B959" s="2" t="s">
        <v>4899</v>
      </c>
      <c r="C959" s="2" t="s">
        <v>437</v>
      </c>
      <c r="D959" s="2" t="s">
        <v>4900</v>
      </c>
      <c r="E959" s="2" t="s">
        <v>39</v>
      </c>
      <c r="F959" s="2"/>
      <c r="G959" s="2"/>
      <c r="H959" s="2"/>
      <c r="I959" s="3">
        <f t="shared" si="14"/>
        <v>141</v>
      </c>
    </row>
    <row r="960" spans="1:9" ht="24" x14ac:dyDescent="0.3">
      <c r="A960" s="2" t="s">
        <v>146</v>
      </c>
      <c r="B960" s="2" t="s">
        <v>4904</v>
      </c>
      <c r="C960" s="2" t="s">
        <v>491</v>
      </c>
      <c r="D960" s="2" t="s">
        <v>4905</v>
      </c>
      <c r="E960" s="2" t="s">
        <v>39</v>
      </c>
      <c r="F960" s="2"/>
      <c r="G960" s="2"/>
      <c r="H960" s="2"/>
      <c r="I960" s="3">
        <f t="shared" si="14"/>
        <v>141</v>
      </c>
    </row>
    <row r="961" spans="1:9" ht="24" x14ac:dyDescent="0.3">
      <c r="A961" s="2" t="s">
        <v>146</v>
      </c>
      <c r="B961" s="2" t="s">
        <v>4820</v>
      </c>
      <c r="C961" s="2" t="s">
        <v>491</v>
      </c>
      <c r="D961" s="2" t="s">
        <v>4906</v>
      </c>
      <c r="E961" s="2" t="s">
        <v>39</v>
      </c>
      <c r="F961" s="2"/>
      <c r="G961" s="2"/>
      <c r="H961" s="2"/>
      <c r="I961" s="3">
        <f t="shared" si="14"/>
        <v>141</v>
      </c>
    </row>
    <row r="962" spans="1:9" ht="24" x14ac:dyDescent="0.3">
      <c r="A962" s="2" t="s">
        <v>146</v>
      </c>
      <c r="B962" s="2" t="s">
        <v>4907</v>
      </c>
      <c r="C962" s="2" t="s">
        <v>491</v>
      </c>
      <c r="D962" s="2" t="s">
        <v>4908</v>
      </c>
      <c r="E962" s="2" t="s">
        <v>39</v>
      </c>
      <c r="F962" s="2"/>
      <c r="G962" s="2"/>
      <c r="H962" s="2"/>
      <c r="I962" s="3">
        <f t="shared" ref="I962:I1025" si="15">LEN(D962)</f>
        <v>141</v>
      </c>
    </row>
    <row r="963" spans="1:9" ht="24" x14ac:dyDescent="0.3">
      <c r="A963" s="2" t="s">
        <v>146</v>
      </c>
      <c r="B963" s="2" t="s">
        <v>1317</v>
      </c>
      <c r="C963" s="2"/>
      <c r="D963" s="2" t="s">
        <v>4911</v>
      </c>
      <c r="E963" s="2" t="s">
        <v>39</v>
      </c>
      <c r="F963" s="2"/>
      <c r="G963" s="2"/>
      <c r="H963" s="2"/>
      <c r="I963" s="3">
        <f t="shared" si="15"/>
        <v>141</v>
      </c>
    </row>
    <row r="964" spans="1:9" ht="24" x14ac:dyDescent="0.3">
      <c r="A964" s="2" t="s">
        <v>146</v>
      </c>
      <c r="B964" s="2" t="s">
        <v>4920</v>
      </c>
      <c r="C964" s="2" t="s">
        <v>4678</v>
      </c>
      <c r="D964" s="2" t="s">
        <v>8749</v>
      </c>
      <c r="E964" s="2"/>
      <c r="F964" s="2" t="s">
        <v>1778</v>
      </c>
      <c r="G964" s="2" t="s">
        <v>1717</v>
      </c>
      <c r="H964" s="2"/>
      <c r="I964" s="3">
        <f t="shared" si="15"/>
        <v>140</v>
      </c>
    </row>
    <row r="965" spans="1:9" ht="24" x14ac:dyDescent="0.3">
      <c r="A965" s="2" t="s">
        <v>146</v>
      </c>
      <c r="B965" s="2" t="s">
        <v>4921</v>
      </c>
      <c r="C965" s="2" t="s">
        <v>4922</v>
      </c>
      <c r="D965" s="2" t="s">
        <v>4923</v>
      </c>
      <c r="E965" s="2" t="s">
        <v>39</v>
      </c>
      <c r="F965" s="2"/>
      <c r="G965" s="2"/>
      <c r="H965" s="2"/>
      <c r="I965" s="3">
        <f t="shared" si="15"/>
        <v>142</v>
      </c>
    </row>
    <row r="966" spans="1:9" ht="24" x14ac:dyDescent="0.3">
      <c r="A966" s="2" t="s">
        <v>146</v>
      </c>
      <c r="B966" s="2" t="s">
        <v>4926</v>
      </c>
      <c r="C966" s="2"/>
      <c r="D966" s="2" t="s">
        <v>8750</v>
      </c>
      <c r="E966" s="2" t="s">
        <v>39</v>
      </c>
      <c r="F966" s="2" t="s">
        <v>3082</v>
      </c>
      <c r="G966" s="2" t="s">
        <v>1717</v>
      </c>
      <c r="H966" s="2"/>
      <c r="I966" s="3">
        <f t="shared" si="15"/>
        <v>140</v>
      </c>
    </row>
    <row r="967" spans="1:9" ht="24" x14ac:dyDescent="0.3">
      <c r="A967" s="2" t="s">
        <v>146</v>
      </c>
      <c r="B967" s="2" t="s">
        <v>4927</v>
      </c>
      <c r="C967" s="2" t="s">
        <v>95</v>
      </c>
      <c r="D967" s="2" t="s">
        <v>4928</v>
      </c>
      <c r="E967" s="2" t="s">
        <v>39</v>
      </c>
      <c r="F967" s="2"/>
      <c r="G967" s="2"/>
      <c r="H967" s="2"/>
      <c r="I967" s="3">
        <f t="shared" si="15"/>
        <v>142</v>
      </c>
    </row>
    <row r="968" spans="1:9" ht="24" x14ac:dyDescent="0.3">
      <c r="A968" s="2" t="s">
        <v>146</v>
      </c>
      <c r="B968" s="2" t="s">
        <v>4929</v>
      </c>
      <c r="C968" s="2" t="s">
        <v>4930</v>
      </c>
      <c r="D968" s="2" t="s">
        <v>4931</v>
      </c>
      <c r="E968" s="2" t="s">
        <v>39</v>
      </c>
      <c r="F968" s="2"/>
      <c r="G968" s="2"/>
      <c r="H968" s="2"/>
      <c r="I968" s="3">
        <f t="shared" si="15"/>
        <v>142</v>
      </c>
    </row>
    <row r="969" spans="1:9" ht="24" x14ac:dyDescent="0.3">
      <c r="A969" s="2" t="s">
        <v>146</v>
      </c>
      <c r="B969" s="2" t="s">
        <v>4932</v>
      </c>
      <c r="C969" s="2" t="s">
        <v>491</v>
      </c>
      <c r="D969" s="2" t="s">
        <v>4933</v>
      </c>
      <c r="E969" s="2" t="s">
        <v>39</v>
      </c>
      <c r="F969" s="2"/>
      <c r="G969" s="2"/>
      <c r="H969" s="2"/>
      <c r="I969" s="3">
        <f t="shared" si="15"/>
        <v>142</v>
      </c>
    </row>
    <row r="970" spans="1:9" ht="24" x14ac:dyDescent="0.3">
      <c r="A970" s="2" t="s">
        <v>146</v>
      </c>
      <c r="B970" s="2" t="s">
        <v>1928</v>
      </c>
      <c r="C970" s="2" t="s">
        <v>544</v>
      </c>
      <c r="D970" s="2" t="s">
        <v>4934</v>
      </c>
      <c r="E970" s="2" t="s">
        <v>39</v>
      </c>
      <c r="F970" s="2"/>
      <c r="G970" s="2"/>
      <c r="H970" s="2"/>
      <c r="I970" s="3">
        <f t="shared" si="15"/>
        <v>142</v>
      </c>
    </row>
    <row r="971" spans="1:9" ht="24" x14ac:dyDescent="0.3">
      <c r="A971" s="2" t="s">
        <v>146</v>
      </c>
      <c r="B971" s="2" t="s">
        <v>4937</v>
      </c>
      <c r="C971" s="2"/>
      <c r="D971" s="2" t="s">
        <v>4938</v>
      </c>
      <c r="E971" s="2" t="s">
        <v>1776</v>
      </c>
      <c r="F971" s="2"/>
      <c r="G971" s="2"/>
      <c r="H971" s="2"/>
      <c r="I971" s="3">
        <f t="shared" si="15"/>
        <v>142</v>
      </c>
    </row>
    <row r="972" spans="1:9" ht="24" x14ac:dyDescent="0.3">
      <c r="A972" s="2" t="s">
        <v>146</v>
      </c>
      <c r="B972" s="2" t="s">
        <v>4939</v>
      </c>
      <c r="C972" s="2" t="s">
        <v>332</v>
      </c>
      <c r="D972" s="2" t="s">
        <v>4940</v>
      </c>
      <c r="E972" s="2" t="s">
        <v>39</v>
      </c>
      <c r="F972" s="2"/>
      <c r="G972" s="2"/>
      <c r="H972" s="2"/>
      <c r="I972" s="3">
        <f t="shared" si="15"/>
        <v>142</v>
      </c>
    </row>
    <row r="973" spans="1:9" ht="24" x14ac:dyDescent="0.3">
      <c r="A973" s="2" t="s">
        <v>146</v>
      </c>
      <c r="B973" s="2" t="s">
        <v>4941</v>
      </c>
      <c r="C973" s="2" t="s">
        <v>332</v>
      </c>
      <c r="D973" s="2" t="s">
        <v>4942</v>
      </c>
      <c r="E973" s="2" t="s">
        <v>39</v>
      </c>
      <c r="F973" s="2"/>
      <c r="G973" s="2"/>
      <c r="H973" s="2"/>
      <c r="I973" s="3">
        <f t="shared" si="15"/>
        <v>142</v>
      </c>
    </row>
    <row r="974" spans="1:9" ht="24" x14ac:dyDescent="0.3">
      <c r="A974" s="2" t="s">
        <v>146</v>
      </c>
      <c r="B974" s="2" t="s">
        <v>4960</v>
      </c>
      <c r="C974" s="2" t="s">
        <v>911</v>
      </c>
      <c r="D974" s="2" t="s">
        <v>4961</v>
      </c>
      <c r="E974" s="2" t="s">
        <v>39</v>
      </c>
      <c r="F974" s="2"/>
      <c r="G974" s="2"/>
      <c r="H974" s="2"/>
      <c r="I974" s="3">
        <f t="shared" si="15"/>
        <v>143</v>
      </c>
    </row>
    <row r="975" spans="1:9" ht="24" x14ac:dyDescent="0.3">
      <c r="A975" s="2" t="s">
        <v>146</v>
      </c>
      <c r="B975" s="2" t="s">
        <v>4962</v>
      </c>
      <c r="C975" s="3" t="s">
        <v>911</v>
      </c>
      <c r="D975" s="2" t="s">
        <v>4963</v>
      </c>
      <c r="E975" s="2" t="s">
        <v>39</v>
      </c>
      <c r="F975" s="2"/>
      <c r="G975" s="2"/>
      <c r="H975" s="2"/>
      <c r="I975" s="3">
        <f t="shared" si="15"/>
        <v>143</v>
      </c>
    </row>
    <row r="976" spans="1:9" ht="24" x14ac:dyDescent="0.3">
      <c r="A976" s="2" t="s">
        <v>146</v>
      </c>
      <c r="B976" s="2" t="s">
        <v>787</v>
      </c>
      <c r="C976" s="2" t="s">
        <v>788</v>
      </c>
      <c r="D976" s="2" t="s">
        <v>4967</v>
      </c>
      <c r="E976" s="2" t="s">
        <v>39</v>
      </c>
      <c r="F976" s="2"/>
      <c r="G976" s="2"/>
      <c r="H976" s="2"/>
      <c r="I976" s="3">
        <f t="shared" si="15"/>
        <v>143</v>
      </c>
    </row>
    <row r="977" spans="1:9" ht="24" x14ac:dyDescent="0.3">
      <c r="A977" s="2" t="s">
        <v>146</v>
      </c>
      <c r="B977" s="2" t="s">
        <v>4972</v>
      </c>
      <c r="C977" s="2"/>
      <c r="D977" s="2" t="s">
        <v>4973</v>
      </c>
      <c r="E977" s="2" t="s">
        <v>39</v>
      </c>
      <c r="F977" s="2"/>
      <c r="G977" s="2"/>
      <c r="H977" s="2" t="s">
        <v>646</v>
      </c>
      <c r="I977" s="3">
        <f t="shared" si="15"/>
        <v>143</v>
      </c>
    </row>
    <row r="978" spans="1:9" ht="24" x14ac:dyDescent="0.3">
      <c r="A978" s="2" t="s">
        <v>146</v>
      </c>
      <c r="B978" s="2" t="s">
        <v>4974</v>
      </c>
      <c r="C978" s="2"/>
      <c r="D978" s="2" t="s">
        <v>4975</v>
      </c>
      <c r="E978" s="2" t="s">
        <v>39</v>
      </c>
      <c r="F978" s="2"/>
      <c r="G978" s="2"/>
      <c r="H978" s="2" t="s">
        <v>646</v>
      </c>
      <c r="I978" s="3">
        <f t="shared" si="15"/>
        <v>143</v>
      </c>
    </row>
    <row r="979" spans="1:9" ht="24" x14ac:dyDescent="0.3">
      <c r="A979" s="2" t="s">
        <v>146</v>
      </c>
      <c r="B979" s="2" t="s">
        <v>4572</v>
      </c>
      <c r="C979" s="2" t="s">
        <v>491</v>
      </c>
      <c r="D979" s="2" t="s">
        <v>4977</v>
      </c>
      <c r="E979" s="2" t="s">
        <v>39</v>
      </c>
      <c r="F979" s="2"/>
      <c r="G979" s="2"/>
      <c r="H979" s="2"/>
      <c r="I979" s="3">
        <f t="shared" si="15"/>
        <v>143</v>
      </c>
    </row>
    <row r="980" spans="1:9" ht="24" x14ac:dyDescent="0.3">
      <c r="A980" s="2" t="s">
        <v>146</v>
      </c>
      <c r="B980" s="2" t="s">
        <v>4981</v>
      </c>
      <c r="C980" s="2"/>
      <c r="D980" s="2" t="s">
        <v>4982</v>
      </c>
      <c r="E980" s="2" t="s">
        <v>4983</v>
      </c>
      <c r="F980" s="2"/>
      <c r="G980" s="2"/>
      <c r="H980" s="2"/>
      <c r="I980" s="3">
        <f t="shared" si="15"/>
        <v>144</v>
      </c>
    </row>
    <row r="981" spans="1:9" ht="24" x14ac:dyDescent="0.3">
      <c r="A981" s="2" t="s">
        <v>146</v>
      </c>
      <c r="B981" s="2" t="s">
        <v>4988</v>
      </c>
      <c r="C981" s="2" t="s">
        <v>4989</v>
      </c>
      <c r="D981" s="2" t="s">
        <v>4990</v>
      </c>
      <c r="E981" s="2" t="s">
        <v>39</v>
      </c>
      <c r="F981" s="2"/>
      <c r="G981" s="2"/>
      <c r="H981" s="2"/>
      <c r="I981" s="3">
        <f t="shared" si="15"/>
        <v>144</v>
      </c>
    </row>
    <row r="982" spans="1:9" ht="24" x14ac:dyDescent="0.3">
      <c r="A982" s="2" t="s">
        <v>146</v>
      </c>
      <c r="B982" s="2" t="s">
        <v>5006</v>
      </c>
      <c r="C982" s="2" t="s">
        <v>500</v>
      </c>
      <c r="D982" s="2" t="s">
        <v>5007</v>
      </c>
      <c r="E982" s="2" t="s">
        <v>39</v>
      </c>
      <c r="F982" s="2"/>
      <c r="G982" s="2"/>
      <c r="H982" s="2" t="s">
        <v>402</v>
      </c>
      <c r="I982" s="3">
        <f t="shared" si="15"/>
        <v>145</v>
      </c>
    </row>
    <row r="983" spans="1:9" ht="24" x14ac:dyDescent="0.3">
      <c r="A983" s="2" t="s">
        <v>146</v>
      </c>
      <c r="B983" s="2" t="s">
        <v>5025</v>
      </c>
      <c r="C983" s="2"/>
      <c r="D983" s="2" t="s">
        <v>5026</v>
      </c>
      <c r="E983" s="2" t="s">
        <v>39</v>
      </c>
      <c r="F983" s="2"/>
      <c r="G983" s="2"/>
      <c r="H983" s="2"/>
      <c r="I983" s="3">
        <f t="shared" si="15"/>
        <v>145</v>
      </c>
    </row>
    <row r="984" spans="1:9" ht="24" x14ac:dyDescent="0.3">
      <c r="A984" s="2" t="s">
        <v>146</v>
      </c>
      <c r="B984" s="2" t="s">
        <v>1961</v>
      </c>
      <c r="C984" s="2" t="s">
        <v>214</v>
      </c>
      <c r="D984" s="2" t="s">
        <v>5027</v>
      </c>
      <c r="E984" s="2" t="s">
        <v>39</v>
      </c>
      <c r="F984" s="2"/>
      <c r="G984" s="2"/>
      <c r="H984" s="2"/>
      <c r="I984" s="3">
        <f t="shared" si="15"/>
        <v>145</v>
      </c>
    </row>
    <row r="985" spans="1:9" ht="24" x14ac:dyDescent="0.3">
      <c r="A985" s="2" t="s">
        <v>146</v>
      </c>
      <c r="B985" s="2" t="s">
        <v>5030</v>
      </c>
      <c r="C985" s="2" t="s">
        <v>491</v>
      </c>
      <c r="D985" s="2" t="s">
        <v>5031</v>
      </c>
      <c r="E985" s="2" t="s">
        <v>39</v>
      </c>
      <c r="F985" s="2"/>
      <c r="G985" s="2"/>
      <c r="H985" s="2"/>
      <c r="I985" s="3">
        <f t="shared" si="15"/>
        <v>145</v>
      </c>
    </row>
    <row r="986" spans="1:9" ht="24" x14ac:dyDescent="0.3">
      <c r="A986" s="2" t="s">
        <v>146</v>
      </c>
      <c r="B986" s="2" t="s">
        <v>5032</v>
      </c>
      <c r="C986" s="2" t="s">
        <v>1354</v>
      </c>
      <c r="D986" s="2" t="s">
        <v>5033</v>
      </c>
      <c r="E986" s="2"/>
      <c r="F986" s="2"/>
      <c r="G986" s="2"/>
      <c r="H986" s="2" t="s">
        <v>194</v>
      </c>
      <c r="I986" s="3">
        <f t="shared" si="15"/>
        <v>145</v>
      </c>
    </row>
    <row r="987" spans="1:9" ht="24" x14ac:dyDescent="0.3">
      <c r="A987" s="2" t="s">
        <v>146</v>
      </c>
      <c r="B987" s="2" t="s">
        <v>2199</v>
      </c>
      <c r="C987" s="2"/>
      <c r="D987" s="2" t="s">
        <v>5056</v>
      </c>
      <c r="E987" s="2" t="s">
        <v>39</v>
      </c>
      <c r="F987" s="2"/>
      <c r="G987" s="2"/>
      <c r="H987" s="2"/>
      <c r="I987" s="3">
        <f t="shared" si="15"/>
        <v>146</v>
      </c>
    </row>
    <row r="988" spans="1:9" ht="24" x14ac:dyDescent="0.3">
      <c r="A988" s="2" t="s">
        <v>146</v>
      </c>
      <c r="B988" s="2" t="s">
        <v>5057</v>
      </c>
      <c r="C988" s="2"/>
      <c r="D988" s="2" t="s">
        <v>5058</v>
      </c>
      <c r="E988" s="2" t="s">
        <v>39</v>
      </c>
      <c r="F988" s="2"/>
      <c r="G988" s="2"/>
      <c r="H988" s="2" t="s">
        <v>194</v>
      </c>
      <c r="I988" s="3">
        <f t="shared" si="15"/>
        <v>146</v>
      </c>
    </row>
    <row r="989" spans="1:9" ht="24" x14ac:dyDescent="0.3">
      <c r="A989" s="2" t="s">
        <v>146</v>
      </c>
      <c r="B989" s="2" t="s">
        <v>5061</v>
      </c>
      <c r="C989" s="2" t="s">
        <v>2695</v>
      </c>
      <c r="D989" s="2" t="s">
        <v>5062</v>
      </c>
      <c r="E989" s="2" t="s">
        <v>242</v>
      </c>
      <c r="F989" s="2"/>
      <c r="G989" s="2"/>
      <c r="H989" s="2"/>
      <c r="I989" s="3">
        <f t="shared" si="15"/>
        <v>146</v>
      </c>
    </row>
    <row r="990" spans="1:9" ht="24" x14ac:dyDescent="0.3">
      <c r="A990" s="2" t="s">
        <v>146</v>
      </c>
      <c r="B990" s="2" t="s">
        <v>2345</v>
      </c>
      <c r="C990" s="2" t="s">
        <v>214</v>
      </c>
      <c r="D990" s="2" t="s">
        <v>5069</v>
      </c>
      <c r="E990" s="2" t="s">
        <v>39</v>
      </c>
      <c r="F990" s="2"/>
      <c r="G990" s="2"/>
      <c r="H990" s="2"/>
      <c r="I990" s="3">
        <f t="shared" si="15"/>
        <v>146</v>
      </c>
    </row>
    <row r="991" spans="1:9" ht="24" x14ac:dyDescent="0.3">
      <c r="A991" s="2" t="s">
        <v>146</v>
      </c>
      <c r="B991" s="2" t="s">
        <v>5072</v>
      </c>
      <c r="C991" s="3" t="s">
        <v>911</v>
      </c>
      <c r="D991" s="2" t="s">
        <v>8751</v>
      </c>
      <c r="E991" s="2" t="s">
        <v>3686</v>
      </c>
      <c r="F991" s="2" t="s">
        <v>1778</v>
      </c>
      <c r="G991" s="2" t="s">
        <v>1717</v>
      </c>
      <c r="H991" s="2"/>
      <c r="I991" s="3">
        <f t="shared" si="15"/>
        <v>145</v>
      </c>
    </row>
    <row r="992" spans="1:9" ht="24" x14ac:dyDescent="0.3">
      <c r="A992" s="2" t="s">
        <v>146</v>
      </c>
      <c r="B992" s="2" t="s">
        <v>5073</v>
      </c>
      <c r="C992" s="2" t="s">
        <v>389</v>
      </c>
      <c r="D992" s="2" t="s">
        <v>5074</v>
      </c>
      <c r="E992" s="2" t="s">
        <v>39</v>
      </c>
      <c r="F992" s="2"/>
      <c r="G992" s="2"/>
      <c r="H992" s="2"/>
      <c r="I992" s="3">
        <f t="shared" si="15"/>
        <v>147</v>
      </c>
    </row>
    <row r="993" spans="1:9" ht="24" x14ac:dyDescent="0.3">
      <c r="A993" s="2" t="s">
        <v>146</v>
      </c>
      <c r="B993" s="2" t="s">
        <v>5079</v>
      </c>
      <c r="C993" s="2" t="s">
        <v>659</v>
      </c>
      <c r="D993" s="2" t="s">
        <v>8752</v>
      </c>
      <c r="E993" s="2"/>
      <c r="F993" s="2" t="s">
        <v>1778</v>
      </c>
      <c r="G993" s="2" t="s">
        <v>1717</v>
      </c>
      <c r="H993" s="2"/>
      <c r="I993" s="3">
        <f t="shared" si="15"/>
        <v>145</v>
      </c>
    </row>
    <row r="994" spans="1:9" ht="24" x14ac:dyDescent="0.3">
      <c r="A994" s="2" t="s">
        <v>146</v>
      </c>
      <c r="B994" s="2" t="s">
        <v>5082</v>
      </c>
      <c r="C994" s="2" t="s">
        <v>491</v>
      </c>
      <c r="D994" s="2" t="s">
        <v>5083</v>
      </c>
      <c r="E994" s="2" t="s">
        <v>39</v>
      </c>
      <c r="F994" s="2"/>
      <c r="G994" s="2"/>
      <c r="H994" s="2"/>
      <c r="I994" s="3">
        <f t="shared" si="15"/>
        <v>147</v>
      </c>
    </row>
    <row r="995" spans="1:9" ht="24" x14ac:dyDescent="0.3">
      <c r="A995" s="2" t="s">
        <v>146</v>
      </c>
      <c r="B995" s="2" t="s">
        <v>1323</v>
      </c>
      <c r="C995" s="2" t="s">
        <v>911</v>
      </c>
      <c r="D995" s="2" t="s">
        <v>5090</v>
      </c>
      <c r="E995" s="2"/>
      <c r="F995" s="2"/>
      <c r="G995" s="2"/>
      <c r="H995" s="2" t="s">
        <v>646</v>
      </c>
      <c r="I995" s="3">
        <f t="shared" si="15"/>
        <v>148</v>
      </c>
    </row>
    <row r="996" spans="1:9" ht="24" x14ac:dyDescent="0.3">
      <c r="A996" s="2" t="s">
        <v>146</v>
      </c>
      <c r="B996" s="2" t="s">
        <v>5093</v>
      </c>
      <c r="C996" s="2" t="s">
        <v>4797</v>
      </c>
      <c r="D996" s="2" t="s">
        <v>8753</v>
      </c>
      <c r="E996" s="2" t="s">
        <v>39</v>
      </c>
      <c r="F996" s="2" t="s">
        <v>1778</v>
      </c>
      <c r="G996" s="2" t="s">
        <v>1717</v>
      </c>
      <c r="H996" s="2"/>
      <c r="I996" s="3">
        <f t="shared" si="15"/>
        <v>146</v>
      </c>
    </row>
    <row r="997" spans="1:9" ht="24" x14ac:dyDescent="0.3">
      <c r="A997" s="2" t="s">
        <v>146</v>
      </c>
      <c r="B997" s="2" t="s">
        <v>5094</v>
      </c>
      <c r="C997" s="2" t="s">
        <v>5095</v>
      </c>
      <c r="D997" s="2" t="s">
        <v>8754</v>
      </c>
      <c r="E997" s="2" t="s">
        <v>39</v>
      </c>
      <c r="F997" s="2" t="s">
        <v>3082</v>
      </c>
      <c r="G997" s="2" t="s">
        <v>1717</v>
      </c>
      <c r="H997" s="2"/>
      <c r="I997" s="3">
        <f t="shared" si="15"/>
        <v>146</v>
      </c>
    </row>
    <row r="998" spans="1:9" ht="24" x14ac:dyDescent="0.3">
      <c r="A998" s="2" t="s">
        <v>146</v>
      </c>
      <c r="B998" s="2" t="s">
        <v>5112</v>
      </c>
      <c r="C998" s="2"/>
      <c r="D998" s="2" t="s">
        <v>5113</v>
      </c>
      <c r="E998" s="2" t="s">
        <v>39</v>
      </c>
      <c r="F998" s="2"/>
      <c r="G998" s="2"/>
      <c r="H998" s="2"/>
      <c r="I998" s="3">
        <f t="shared" si="15"/>
        <v>148</v>
      </c>
    </row>
    <row r="999" spans="1:9" ht="24" x14ac:dyDescent="0.3">
      <c r="A999" s="2" t="s">
        <v>146</v>
      </c>
      <c r="B999" s="2" t="s">
        <v>2230</v>
      </c>
      <c r="C999" s="2" t="s">
        <v>515</v>
      </c>
      <c r="D999" s="2" t="s">
        <v>5114</v>
      </c>
      <c r="E999" s="2" t="s">
        <v>39</v>
      </c>
      <c r="F999" s="2"/>
      <c r="G999" s="2"/>
      <c r="H999" s="2"/>
      <c r="I999" s="3">
        <f t="shared" si="15"/>
        <v>148</v>
      </c>
    </row>
    <row r="1000" spans="1:9" ht="24" x14ac:dyDescent="0.3">
      <c r="A1000" s="2" t="s">
        <v>146</v>
      </c>
      <c r="B1000" s="2" t="s">
        <v>2894</v>
      </c>
      <c r="C1000" s="2" t="s">
        <v>491</v>
      </c>
      <c r="D1000" s="2" t="s">
        <v>5115</v>
      </c>
      <c r="E1000" s="2" t="s">
        <v>39</v>
      </c>
      <c r="F1000" s="2"/>
      <c r="G1000" s="2"/>
      <c r="H1000" s="2" t="s">
        <v>646</v>
      </c>
      <c r="I1000" s="3">
        <f t="shared" si="15"/>
        <v>148</v>
      </c>
    </row>
    <row r="1001" spans="1:9" ht="24" x14ac:dyDescent="0.3">
      <c r="A1001" s="2" t="s">
        <v>146</v>
      </c>
      <c r="B1001" s="2" t="s">
        <v>5116</v>
      </c>
      <c r="C1001" s="2"/>
      <c r="D1001" s="2" t="s">
        <v>5117</v>
      </c>
      <c r="E1001" s="2" t="s">
        <v>39</v>
      </c>
      <c r="F1001" s="2"/>
      <c r="G1001" s="2" t="s">
        <v>1717</v>
      </c>
      <c r="H1001" s="2"/>
      <c r="I1001" s="3">
        <f t="shared" si="15"/>
        <v>148</v>
      </c>
    </row>
    <row r="1002" spans="1:9" ht="24" x14ac:dyDescent="0.3">
      <c r="A1002" s="2" t="s">
        <v>146</v>
      </c>
      <c r="B1002" s="2" t="s">
        <v>5124</v>
      </c>
      <c r="C1002" s="2" t="s">
        <v>332</v>
      </c>
      <c r="D1002" s="2" t="s">
        <v>5125</v>
      </c>
      <c r="E1002" s="2" t="s">
        <v>39</v>
      </c>
      <c r="F1002" s="2"/>
      <c r="G1002" s="2"/>
      <c r="H1002" s="2"/>
      <c r="I1002" s="3">
        <f t="shared" si="15"/>
        <v>148</v>
      </c>
    </row>
    <row r="1003" spans="1:9" ht="24" x14ac:dyDescent="0.3">
      <c r="A1003" s="2" t="s">
        <v>146</v>
      </c>
      <c r="B1003" s="2" t="s">
        <v>5130</v>
      </c>
      <c r="C1003" s="2"/>
      <c r="D1003" s="2" t="s">
        <v>8755</v>
      </c>
      <c r="E1003" s="2" t="s">
        <v>2709</v>
      </c>
      <c r="F1003" s="2" t="s">
        <v>1778</v>
      </c>
      <c r="G1003" s="2" t="s">
        <v>1717</v>
      </c>
      <c r="H1003" s="2"/>
      <c r="I1003" s="3">
        <f t="shared" si="15"/>
        <v>147</v>
      </c>
    </row>
    <row r="1004" spans="1:9" ht="24" x14ac:dyDescent="0.3">
      <c r="A1004" s="2" t="s">
        <v>146</v>
      </c>
      <c r="B1004" s="2" t="s">
        <v>1546</v>
      </c>
      <c r="C1004" s="2"/>
      <c r="D1004" s="2" t="s">
        <v>5136</v>
      </c>
      <c r="E1004" s="2" t="s">
        <v>918</v>
      </c>
      <c r="F1004" s="2"/>
      <c r="G1004" s="2"/>
      <c r="H1004" s="2"/>
      <c r="I1004" s="3">
        <f t="shared" si="15"/>
        <v>149</v>
      </c>
    </row>
    <row r="1005" spans="1:9" ht="24" x14ac:dyDescent="0.3">
      <c r="A1005" s="2" t="s">
        <v>146</v>
      </c>
      <c r="B1005" s="2" t="s">
        <v>5139</v>
      </c>
      <c r="C1005" s="2" t="s">
        <v>130</v>
      </c>
      <c r="D1005" s="2" t="s">
        <v>8756</v>
      </c>
      <c r="E1005" s="2"/>
      <c r="F1005" s="2" t="s">
        <v>1778</v>
      </c>
      <c r="G1005" s="2" t="s">
        <v>1717</v>
      </c>
      <c r="H1005" s="2"/>
      <c r="I1005" s="3">
        <f t="shared" si="15"/>
        <v>147</v>
      </c>
    </row>
    <row r="1006" spans="1:9" ht="24" x14ac:dyDescent="0.3">
      <c r="A1006" s="2" t="s">
        <v>146</v>
      </c>
      <c r="B1006" s="2" t="s">
        <v>5141</v>
      </c>
      <c r="C1006" s="2" t="s">
        <v>5142</v>
      </c>
      <c r="D1006" s="2" t="s">
        <v>5143</v>
      </c>
      <c r="E1006" s="2" t="s">
        <v>39</v>
      </c>
      <c r="F1006" s="2"/>
      <c r="G1006" s="2"/>
      <c r="H1006" s="2" t="s">
        <v>194</v>
      </c>
      <c r="I1006" s="3">
        <f t="shared" si="15"/>
        <v>149</v>
      </c>
    </row>
    <row r="1007" spans="1:9" ht="24" x14ac:dyDescent="0.3">
      <c r="A1007" s="2" t="s">
        <v>146</v>
      </c>
      <c r="B1007" s="2" t="s">
        <v>5144</v>
      </c>
      <c r="C1007" s="2" t="s">
        <v>389</v>
      </c>
      <c r="D1007" s="2" t="s">
        <v>5145</v>
      </c>
      <c r="E1007" s="2" t="s">
        <v>39</v>
      </c>
      <c r="F1007" s="2"/>
      <c r="G1007" s="2"/>
      <c r="H1007" s="2"/>
      <c r="I1007" s="3">
        <f t="shared" si="15"/>
        <v>149</v>
      </c>
    </row>
    <row r="1008" spans="1:9" ht="24" x14ac:dyDescent="0.3">
      <c r="A1008" s="2" t="s">
        <v>146</v>
      </c>
      <c r="B1008" s="2" t="s">
        <v>5146</v>
      </c>
      <c r="C1008" s="2"/>
      <c r="D1008" s="2" t="s">
        <v>5147</v>
      </c>
      <c r="E1008" s="2" t="s">
        <v>1188</v>
      </c>
      <c r="F1008" s="2"/>
      <c r="G1008" s="2"/>
      <c r="H1008" s="2" t="s">
        <v>194</v>
      </c>
      <c r="I1008" s="3">
        <f t="shared" si="15"/>
        <v>149</v>
      </c>
    </row>
    <row r="1009" spans="1:9" ht="24" x14ac:dyDescent="0.3">
      <c r="A1009" s="2" t="s">
        <v>146</v>
      </c>
      <c r="B1009" s="2" t="s">
        <v>5148</v>
      </c>
      <c r="C1009" s="2" t="s">
        <v>515</v>
      </c>
      <c r="D1009" s="2" t="s">
        <v>5149</v>
      </c>
      <c r="E1009" s="2" t="s">
        <v>39</v>
      </c>
      <c r="F1009" s="2"/>
      <c r="G1009" s="2"/>
      <c r="H1009" s="2"/>
      <c r="I1009" s="3">
        <f t="shared" si="15"/>
        <v>149</v>
      </c>
    </row>
    <row r="1010" spans="1:9" ht="24" x14ac:dyDescent="0.3">
      <c r="A1010" s="2" t="s">
        <v>146</v>
      </c>
      <c r="B1010" s="2" t="s">
        <v>5150</v>
      </c>
      <c r="C1010" s="2" t="s">
        <v>544</v>
      </c>
      <c r="D1010" s="2" t="s">
        <v>5151</v>
      </c>
      <c r="E1010" s="2" t="s">
        <v>39</v>
      </c>
      <c r="F1010" s="2"/>
      <c r="G1010" s="2"/>
      <c r="H1010" s="2"/>
      <c r="I1010" s="3">
        <f t="shared" si="15"/>
        <v>149</v>
      </c>
    </row>
    <row r="1011" spans="1:9" ht="24" x14ac:dyDescent="0.3">
      <c r="A1011" s="2" t="s">
        <v>146</v>
      </c>
      <c r="B1011" s="2" t="s">
        <v>971</v>
      </c>
      <c r="C1011" s="2" t="s">
        <v>389</v>
      </c>
      <c r="D1011" s="2" t="s">
        <v>5153</v>
      </c>
      <c r="E1011" s="2" t="s">
        <v>39</v>
      </c>
      <c r="F1011" s="2"/>
      <c r="G1011" s="2"/>
      <c r="H1011" s="2"/>
      <c r="I1011" s="3">
        <f t="shared" si="15"/>
        <v>149</v>
      </c>
    </row>
    <row r="1012" spans="1:9" ht="24" x14ac:dyDescent="0.3">
      <c r="A1012" s="2" t="s">
        <v>146</v>
      </c>
      <c r="B1012" s="2" t="s">
        <v>5160</v>
      </c>
      <c r="C1012" s="2" t="s">
        <v>515</v>
      </c>
      <c r="D1012" s="2" t="s">
        <v>5161</v>
      </c>
      <c r="E1012" s="2" t="s">
        <v>39</v>
      </c>
      <c r="F1012" s="2"/>
      <c r="G1012" s="2"/>
      <c r="H1012" s="2"/>
      <c r="I1012" s="3">
        <f t="shared" si="15"/>
        <v>149</v>
      </c>
    </row>
    <row r="1013" spans="1:9" ht="24" x14ac:dyDescent="0.3">
      <c r="A1013" s="2" t="s">
        <v>146</v>
      </c>
      <c r="B1013" s="2" t="s">
        <v>5165</v>
      </c>
      <c r="C1013" s="2" t="s">
        <v>911</v>
      </c>
      <c r="D1013" s="2" t="s">
        <v>5166</v>
      </c>
      <c r="E1013" s="2" t="s">
        <v>5167</v>
      </c>
      <c r="F1013" s="2"/>
      <c r="G1013" s="2"/>
      <c r="H1013" s="2"/>
      <c r="I1013" s="3">
        <f t="shared" si="15"/>
        <v>150</v>
      </c>
    </row>
    <row r="1014" spans="1:9" ht="24" x14ac:dyDescent="0.3">
      <c r="A1014" s="2" t="s">
        <v>146</v>
      </c>
      <c r="B1014" s="2" t="s">
        <v>5168</v>
      </c>
      <c r="C1014" s="2" t="s">
        <v>57</v>
      </c>
      <c r="D1014" s="2" t="s">
        <v>8757</v>
      </c>
      <c r="E1014" s="2" t="s">
        <v>39</v>
      </c>
      <c r="F1014" s="2" t="s">
        <v>1778</v>
      </c>
      <c r="G1014" s="2" t="s">
        <v>1717</v>
      </c>
      <c r="H1014" s="2"/>
      <c r="I1014" s="3">
        <f t="shared" si="15"/>
        <v>148</v>
      </c>
    </row>
    <row r="1015" spans="1:9" ht="24" x14ac:dyDescent="0.3">
      <c r="A1015" s="2" t="s">
        <v>146</v>
      </c>
      <c r="B1015" s="2" t="s">
        <v>5169</v>
      </c>
      <c r="C1015" s="2" t="s">
        <v>911</v>
      </c>
      <c r="D1015" s="2" t="s">
        <v>5170</v>
      </c>
      <c r="E1015" s="2" t="s">
        <v>5171</v>
      </c>
      <c r="F1015" s="2"/>
      <c r="G1015" s="2"/>
      <c r="H1015" s="2"/>
      <c r="I1015" s="3">
        <f t="shared" si="15"/>
        <v>150</v>
      </c>
    </row>
    <row r="1016" spans="1:9" ht="24" x14ac:dyDescent="0.3">
      <c r="A1016" s="2" t="s">
        <v>146</v>
      </c>
      <c r="B1016" s="2" t="s">
        <v>5180</v>
      </c>
      <c r="C1016" s="2" t="s">
        <v>5181</v>
      </c>
      <c r="D1016" s="2" t="s">
        <v>8758</v>
      </c>
      <c r="E1016" s="2" t="s">
        <v>39</v>
      </c>
      <c r="F1016" s="2" t="s">
        <v>3082</v>
      </c>
      <c r="G1016" s="2" t="s">
        <v>1717</v>
      </c>
      <c r="H1016" s="2"/>
      <c r="I1016" s="3">
        <f t="shared" si="15"/>
        <v>148</v>
      </c>
    </row>
    <row r="1017" spans="1:9" ht="24" x14ac:dyDescent="0.3">
      <c r="A1017" s="2" t="s">
        <v>146</v>
      </c>
      <c r="B1017" s="2" t="s">
        <v>5182</v>
      </c>
      <c r="C1017" s="2" t="s">
        <v>1772</v>
      </c>
      <c r="D1017" s="2" t="s">
        <v>5183</v>
      </c>
      <c r="E1017" s="2" t="s">
        <v>39</v>
      </c>
      <c r="F1017" s="2"/>
      <c r="G1017" s="2"/>
      <c r="H1017" s="2"/>
      <c r="I1017" s="3">
        <f t="shared" si="15"/>
        <v>150</v>
      </c>
    </row>
    <row r="1018" spans="1:9" ht="24" x14ac:dyDescent="0.3">
      <c r="A1018" s="2" t="s">
        <v>146</v>
      </c>
      <c r="B1018" s="2" t="s">
        <v>5184</v>
      </c>
      <c r="C1018" s="2" t="s">
        <v>4840</v>
      </c>
      <c r="D1018" s="2" t="s">
        <v>8759</v>
      </c>
      <c r="E1018" s="2" t="s">
        <v>39</v>
      </c>
      <c r="F1018" s="2" t="s">
        <v>3082</v>
      </c>
      <c r="G1018" s="2" t="s">
        <v>1717</v>
      </c>
      <c r="H1018" s="2"/>
      <c r="I1018" s="3">
        <f t="shared" si="15"/>
        <v>148</v>
      </c>
    </row>
    <row r="1019" spans="1:9" ht="24" x14ac:dyDescent="0.3">
      <c r="A1019" s="2" t="s">
        <v>146</v>
      </c>
      <c r="B1019" s="2" t="s">
        <v>5185</v>
      </c>
      <c r="C1019" s="2"/>
      <c r="D1019" s="2" t="s">
        <v>5186</v>
      </c>
      <c r="E1019" s="2" t="s">
        <v>39</v>
      </c>
      <c r="F1019" s="2"/>
      <c r="G1019" s="2"/>
      <c r="H1019" s="2"/>
      <c r="I1019" s="3">
        <f t="shared" si="15"/>
        <v>150</v>
      </c>
    </row>
    <row r="1020" spans="1:9" ht="24" x14ac:dyDescent="0.3">
      <c r="A1020" s="2" t="s">
        <v>146</v>
      </c>
      <c r="B1020" s="2" t="s">
        <v>5189</v>
      </c>
      <c r="C1020" s="2" t="s">
        <v>95</v>
      </c>
      <c r="D1020" s="2" t="s">
        <v>5190</v>
      </c>
      <c r="E1020" s="2" t="s">
        <v>39</v>
      </c>
      <c r="F1020" s="2"/>
      <c r="G1020" s="2"/>
      <c r="H1020" s="2"/>
      <c r="I1020" s="3">
        <f t="shared" si="15"/>
        <v>150</v>
      </c>
    </row>
    <row r="1021" spans="1:9" ht="24" x14ac:dyDescent="0.3">
      <c r="A1021" s="2" t="s">
        <v>146</v>
      </c>
      <c r="B1021" s="2" t="s">
        <v>5191</v>
      </c>
      <c r="C1021" s="2"/>
      <c r="D1021" s="2" t="s">
        <v>5192</v>
      </c>
      <c r="E1021" s="2" t="s">
        <v>39</v>
      </c>
      <c r="F1021" s="2"/>
      <c r="G1021" s="2"/>
      <c r="H1021" s="2" t="s">
        <v>194</v>
      </c>
      <c r="I1021" s="3">
        <f t="shared" si="15"/>
        <v>150</v>
      </c>
    </row>
    <row r="1022" spans="1:9" ht="24" x14ac:dyDescent="0.3">
      <c r="A1022" s="2" t="s">
        <v>146</v>
      </c>
      <c r="B1022" s="2" t="s">
        <v>5193</v>
      </c>
      <c r="C1022" s="2"/>
      <c r="D1022" s="2" t="s">
        <v>5194</v>
      </c>
      <c r="E1022" s="2" t="s">
        <v>39</v>
      </c>
      <c r="F1022" s="2"/>
      <c r="G1022" s="2"/>
      <c r="H1022" s="2"/>
      <c r="I1022" s="3">
        <f t="shared" si="15"/>
        <v>150</v>
      </c>
    </row>
    <row r="1023" spans="1:9" ht="24" x14ac:dyDescent="0.3">
      <c r="A1023" s="2" t="s">
        <v>146</v>
      </c>
      <c r="B1023" s="2" t="s">
        <v>2637</v>
      </c>
      <c r="C1023" s="2"/>
      <c r="D1023" s="2" t="s">
        <v>8760</v>
      </c>
      <c r="E1023" s="2" t="s">
        <v>674</v>
      </c>
      <c r="F1023" s="2" t="s">
        <v>1778</v>
      </c>
      <c r="G1023" s="2" t="s">
        <v>1717</v>
      </c>
      <c r="H1023" s="2"/>
      <c r="I1023" s="3">
        <f t="shared" si="15"/>
        <v>148</v>
      </c>
    </row>
    <row r="1024" spans="1:9" ht="24" x14ac:dyDescent="0.3">
      <c r="A1024" s="2" t="s">
        <v>146</v>
      </c>
      <c r="B1024" s="2" t="s">
        <v>5195</v>
      </c>
      <c r="C1024" s="2" t="s">
        <v>332</v>
      </c>
      <c r="D1024" s="2" t="s">
        <v>5196</v>
      </c>
      <c r="E1024" s="2" t="s">
        <v>39</v>
      </c>
      <c r="F1024" s="2"/>
      <c r="G1024" s="2"/>
      <c r="H1024" s="2"/>
      <c r="I1024" s="3">
        <f t="shared" si="15"/>
        <v>150</v>
      </c>
    </row>
    <row r="1025" spans="1:9" ht="24" x14ac:dyDescent="0.3">
      <c r="A1025" s="2" t="s">
        <v>146</v>
      </c>
      <c r="B1025" s="2" t="s">
        <v>5197</v>
      </c>
      <c r="C1025" s="2" t="s">
        <v>389</v>
      </c>
      <c r="D1025" s="2" t="s">
        <v>5198</v>
      </c>
      <c r="E1025" s="2" t="s">
        <v>39</v>
      </c>
      <c r="F1025" s="2"/>
      <c r="G1025" s="2"/>
      <c r="H1025" s="2"/>
      <c r="I1025" s="3">
        <f t="shared" si="15"/>
        <v>150</v>
      </c>
    </row>
    <row r="1026" spans="1:9" ht="24" x14ac:dyDescent="0.3">
      <c r="A1026" s="2" t="s">
        <v>146</v>
      </c>
      <c r="B1026" s="2" t="s">
        <v>1759</v>
      </c>
      <c r="C1026" s="2" t="s">
        <v>911</v>
      </c>
      <c r="D1026" s="2" t="s">
        <v>5201</v>
      </c>
      <c r="E1026" s="2" t="s">
        <v>39</v>
      </c>
      <c r="F1026" s="2"/>
      <c r="G1026" s="2"/>
      <c r="H1026" s="2"/>
      <c r="I1026" s="3">
        <f t="shared" ref="I1026:I1089" si="16">LEN(D1026)</f>
        <v>151</v>
      </c>
    </row>
    <row r="1027" spans="1:9" ht="24" x14ac:dyDescent="0.3">
      <c r="A1027" s="2" t="s">
        <v>146</v>
      </c>
      <c r="B1027" s="2" t="s">
        <v>5214</v>
      </c>
      <c r="C1027" s="2" t="s">
        <v>515</v>
      </c>
      <c r="D1027" s="2" t="s">
        <v>5215</v>
      </c>
      <c r="E1027" s="2" t="s">
        <v>39</v>
      </c>
      <c r="F1027" s="2"/>
      <c r="G1027" s="2"/>
      <c r="H1027" s="2"/>
      <c r="I1027" s="3">
        <f t="shared" si="16"/>
        <v>151</v>
      </c>
    </row>
    <row r="1028" spans="1:9" ht="24" x14ac:dyDescent="0.3">
      <c r="A1028" s="2" t="s">
        <v>146</v>
      </c>
      <c r="B1028" s="2" t="s">
        <v>2102</v>
      </c>
      <c r="C1028" s="2" t="s">
        <v>4007</v>
      </c>
      <c r="D1028" s="2" t="s">
        <v>5216</v>
      </c>
      <c r="E1028" s="2" t="s">
        <v>2136</v>
      </c>
      <c r="F1028" s="2"/>
      <c r="G1028" s="2"/>
      <c r="H1028" s="2"/>
      <c r="I1028" s="3">
        <f t="shared" si="16"/>
        <v>151</v>
      </c>
    </row>
    <row r="1029" spans="1:9" ht="24" x14ac:dyDescent="0.3">
      <c r="A1029" s="2" t="s">
        <v>146</v>
      </c>
      <c r="B1029" s="2" t="s">
        <v>2654</v>
      </c>
      <c r="C1029" s="2" t="s">
        <v>911</v>
      </c>
      <c r="D1029" s="2" t="s">
        <v>5218</v>
      </c>
      <c r="E1029" s="2"/>
      <c r="F1029" s="2"/>
      <c r="G1029" s="2"/>
      <c r="H1029" s="2"/>
      <c r="I1029" s="3">
        <f t="shared" si="16"/>
        <v>151</v>
      </c>
    </row>
    <row r="1030" spans="1:9" ht="24" x14ac:dyDescent="0.3">
      <c r="A1030" s="2" t="s">
        <v>146</v>
      </c>
      <c r="B1030" s="2" t="s">
        <v>5219</v>
      </c>
      <c r="C1030" s="2" t="s">
        <v>911</v>
      </c>
      <c r="D1030" s="2" t="s">
        <v>8761</v>
      </c>
      <c r="E1030" s="2" t="s">
        <v>39</v>
      </c>
      <c r="F1030" s="2" t="s">
        <v>2281</v>
      </c>
      <c r="G1030" s="2" t="s">
        <v>1717</v>
      </c>
      <c r="H1030" s="2"/>
      <c r="I1030" s="3">
        <f t="shared" si="16"/>
        <v>149</v>
      </c>
    </row>
    <row r="1031" spans="1:9" ht="24" x14ac:dyDescent="0.3">
      <c r="A1031" s="2" t="s">
        <v>146</v>
      </c>
      <c r="B1031" s="2" t="s">
        <v>5220</v>
      </c>
      <c r="C1031" s="2" t="s">
        <v>559</v>
      </c>
      <c r="D1031" s="2" t="s">
        <v>5221</v>
      </c>
      <c r="E1031" s="2" t="s">
        <v>39</v>
      </c>
      <c r="F1031" s="2"/>
      <c r="G1031" s="2"/>
      <c r="H1031" s="2"/>
      <c r="I1031" s="3">
        <f t="shared" si="16"/>
        <v>151</v>
      </c>
    </row>
    <row r="1032" spans="1:9" ht="24" x14ac:dyDescent="0.3">
      <c r="A1032" s="2" t="s">
        <v>146</v>
      </c>
      <c r="B1032" s="2" t="s">
        <v>5222</v>
      </c>
      <c r="C1032" s="2" t="s">
        <v>437</v>
      </c>
      <c r="D1032" s="2" t="s">
        <v>8762</v>
      </c>
      <c r="E1032" s="2" t="s">
        <v>39</v>
      </c>
      <c r="F1032" s="2" t="s">
        <v>4117</v>
      </c>
      <c r="G1032" s="2"/>
      <c r="H1032" s="2"/>
      <c r="I1032" s="3">
        <f t="shared" si="16"/>
        <v>149</v>
      </c>
    </row>
    <row r="1033" spans="1:9" ht="24" x14ac:dyDescent="0.3">
      <c r="A1033" s="2" t="s">
        <v>146</v>
      </c>
      <c r="B1033" s="2" t="s">
        <v>5223</v>
      </c>
      <c r="C1033" s="2" t="s">
        <v>911</v>
      </c>
      <c r="D1033" s="2" t="s">
        <v>8763</v>
      </c>
      <c r="E1033" s="2" t="s">
        <v>1188</v>
      </c>
      <c r="F1033" s="2" t="s">
        <v>4117</v>
      </c>
      <c r="G1033" s="2" t="s">
        <v>350</v>
      </c>
      <c r="H1033" s="2"/>
      <c r="I1033" s="3">
        <f t="shared" si="16"/>
        <v>149</v>
      </c>
    </row>
    <row r="1034" spans="1:9" ht="24" x14ac:dyDescent="0.3">
      <c r="A1034" s="2" t="s">
        <v>146</v>
      </c>
      <c r="B1034" s="2" t="s">
        <v>5226</v>
      </c>
      <c r="C1034" s="2" t="s">
        <v>5227</v>
      </c>
      <c r="D1034" s="2" t="s">
        <v>5228</v>
      </c>
      <c r="E1034" s="2" t="s">
        <v>39</v>
      </c>
      <c r="F1034" s="2"/>
      <c r="G1034" s="2"/>
      <c r="H1034" s="2"/>
      <c r="I1034" s="3">
        <f t="shared" si="16"/>
        <v>152</v>
      </c>
    </row>
    <row r="1035" spans="1:9" ht="24" x14ac:dyDescent="0.3">
      <c r="A1035" s="2" t="s">
        <v>146</v>
      </c>
      <c r="B1035" s="2" t="s">
        <v>5229</v>
      </c>
      <c r="C1035" s="2" t="s">
        <v>127</v>
      </c>
      <c r="D1035" s="2" t="s">
        <v>5230</v>
      </c>
      <c r="E1035" s="2" t="s">
        <v>39</v>
      </c>
      <c r="F1035" s="2"/>
      <c r="G1035" s="2"/>
      <c r="H1035" s="2" t="s">
        <v>646</v>
      </c>
      <c r="I1035" s="3">
        <f t="shared" si="16"/>
        <v>152</v>
      </c>
    </row>
    <row r="1036" spans="1:9" ht="24" x14ac:dyDescent="0.3">
      <c r="A1036" s="2" t="s">
        <v>146</v>
      </c>
      <c r="B1036" s="2" t="s">
        <v>5231</v>
      </c>
      <c r="C1036" s="2" t="s">
        <v>4797</v>
      </c>
      <c r="D1036" s="2" t="s">
        <v>8764</v>
      </c>
      <c r="E1036" s="2" t="s">
        <v>39</v>
      </c>
      <c r="F1036" s="2" t="s">
        <v>1778</v>
      </c>
      <c r="G1036" s="2" t="s">
        <v>1717</v>
      </c>
      <c r="H1036" s="2"/>
      <c r="I1036" s="3">
        <f t="shared" si="16"/>
        <v>150</v>
      </c>
    </row>
    <row r="1037" spans="1:9" ht="24" x14ac:dyDescent="0.3">
      <c r="A1037" s="2" t="s">
        <v>146</v>
      </c>
      <c r="B1037" s="2" t="s">
        <v>2780</v>
      </c>
      <c r="C1037" s="2" t="s">
        <v>515</v>
      </c>
      <c r="D1037" s="2" t="s">
        <v>5235</v>
      </c>
      <c r="E1037" s="2" t="s">
        <v>39</v>
      </c>
      <c r="F1037" s="2"/>
      <c r="G1037" s="2"/>
      <c r="H1037" s="2"/>
      <c r="I1037" s="3">
        <f t="shared" si="16"/>
        <v>152</v>
      </c>
    </row>
    <row r="1038" spans="1:9" ht="24" x14ac:dyDescent="0.3">
      <c r="A1038" s="2" t="s">
        <v>146</v>
      </c>
      <c r="B1038" s="2" t="s">
        <v>5238</v>
      </c>
      <c r="C1038" s="2" t="s">
        <v>113</v>
      </c>
      <c r="D1038" s="2" t="s">
        <v>8765</v>
      </c>
      <c r="E1038" s="2" t="s">
        <v>39</v>
      </c>
      <c r="F1038" s="2" t="s">
        <v>1778</v>
      </c>
      <c r="G1038" s="2" t="s">
        <v>1717</v>
      </c>
      <c r="H1038" s="2"/>
      <c r="I1038" s="3">
        <f t="shared" si="16"/>
        <v>150</v>
      </c>
    </row>
    <row r="1039" spans="1:9" ht="24" x14ac:dyDescent="0.3">
      <c r="A1039" s="2" t="s">
        <v>146</v>
      </c>
      <c r="B1039" s="2" t="s">
        <v>5239</v>
      </c>
      <c r="C1039" s="2" t="s">
        <v>332</v>
      </c>
      <c r="D1039" s="2" t="s">
        <v>5240</v>
      </c>
      <c r="E1039" s="2" t="s">
        <v>383</v>
      </c>
      <c r="F1039" s="2"/>
      <c r="G1039" s="2"/>
      <c r="H1039" s="2"/>
      <c r="I1039" s="3">
        <f t="shared" si="16"/>
        <v>152</v>
      </c>
    </row>
    <row r="1040" spans="1:9" ht="24" x14ac:dyDescent="0.3">
      <c r="A1040" s="2" t="s">
        <v>146</v>
      </c>
      <c r="B1040" s="2" t="s">
        <v>5241</v>
      </c>
      <c r="C1040" s="2" t="s">
        <v>332</v>
      </c>
      <c r="D1040" s="2" t="s">
        <v>5242</v>
      </c>
      <c r="E1040" s="2" t="s">
        <v>39</v>
      </c>
      <c r="F1040" s="2"/>
      <c r="G1040" s="2"/>
      <c r="H1040" s="2"/>
      <c r="I1040" s="3">
        <f t="shared" si="16"/>
        <v>152</v>
      </c>
    </row>
    <row r="1041" spans="1:9" ht="24" x14ac:dyDescent="0.3">
      <c r="A1041" s="2" t="s">
        <v>146</v>
      </c>
      <c r="B1041" s="2" t="s">
        <v>5243</v>
      </c>
      <c r="C1041" s="2"/>
      <c r="D1041" s="2" t="s">
        <v>5244</v>
      </c>
      <c r="E1041" s="2" t="s">
        <v>39</v>
      </c>
      <c r="F1041" s="2"/>
      <c r="G1041" s="2"/>
      <c r="H1041" s="2" t="s">
        <v>646</v>
      </c>
      <c r="I1041" s="3">
        <f t="shared" si="16"/>
        <v>152</v>
      </c>
    </row>
    <row r="1042" spans="1:9" ht="24" x14ac:dyDescent="0.3">
      <c r="A1042" s="2" t="s">
        <v>146</v>
      </c>
      <c r="B1042" s="2" t="s">
        <v>3734</v>
      </c>
      <c r="C1042" s="2" t="s">
        <v>214</v>
      </c>
      <c r="D1042" s="2" t="s">
        <v>5245</v>
      </c>
      <c r="E1042" s="2" t="s">
        <v>39</v>
      </c>
      <c r="F1042" s="2"/>
      <c r="G1042" s="2"/>
      <c r="H1042" s="2"/>
      <c r="I1042" s="3">
        <f t="shared" si="16"/>
        <v>152</v>
      </c>
    </row>
    <row r="1043" spans="1:9" ht="24" x14ac:dyDescent="0.3">
      <c r="A1043" s="2" t="s">
        <v>146</v>
      </c>
      <c r="B1043" s="2" t="s">
        <v>2892</v>
      </c>
      <c r="C1043" s="2" t="s">
        <v>214</v>
      </c>
      <c r="D1043" s="2" t="s">
        <v>5261</v>
      </c>
      <c r="E1043" s="2" t="s">
        <v>39</v>
      </c>
      <c r="F1043" s="2"/>
      <c r="G1043" s="2" t="s">
        <v>3082</v>
      </c>
      <c r="H1043" s="2"/>
      <c r="I1043" s="3">
        <f t="shared" si="16"/>
        <v>153</v>
      </c>
    </row>
    <row r="1044" spans="1:9" ht="24" x14ac:dyDescent="0.3">
      <c r="A1044" s="2" t="s">
        <v>146</v>
      </c>
      <c r="B1044" s="2" t="s">
        <v>5262</v>
      </c>
      <c r="C1044" s="2" t="s">
        <v>515</v>
      </c>
      <c r="D1044" s="2" t="s">
        <v>5263</v>
      </c>
      <c r="E1044" s="2" t="s">
        <v>39</v>
      </c>
      <c r="F1044" s="2"/>
      <c r="G1044" s="2"/>
      <c r="H1044" s="2"/>
      <c r="I1044" s="3">
        <f t="shared" si="16"/>
        <v>153</v>
      </c>
    </row>
    <row r="1045" spans="1:9" ht="24" x14ac:dyDescent="0.3">
      <c r="A1045" s="2" t="s">
        <v>146</v>
      </c>
      <c r="B1045" s="2" t="s">
        <v>2480</v>
      </c>
      <c r="C1045" s="2" t="s">
        <v>240</v>
      </c>
      <c r="D1045" s="2" t="s">
        <v>5264</v>
      </c>
      <c r="E1045" s="2" t="s">
        <v>211</v>
      </c>
      <c r="F1045" s="2"/>
      <c r="G1045" s="2"/>
      <c r="H1045" s="2"/>
      <c r="I1045" s="3">
        <f t="shared" si="16"/>
        <v>153</v>
      </c>
    </row>
    <row r="1046" spans="1:9" ht="24" x14ac:dyDescent="0.3">
      <c r="A1046" s="2" t="s">
        <v>146</v>
      </c>
      <c r="B1046" s="2" t="s">
        <v>5265</v>
      </c>
      <c r="C1046" s="2" t="s">
        <v>3692</v>
      </c>
      <c r="D1046" s="2" t="s">
        <v>5266</v>
      </c>
      <c r="E1046" s="2" t="s">
        <v>39</v>
      </c>
      <c r="F1046" s="2"/>
      <c r="G1046" s="2"/>
      <c r="H1046" s="2"/>
      <c r="I1046" s="3">
        <f t="shared" si="16"/>
        <v>153</v>
      </c>
    </row>
    <row r="1047" spans="1:9" ht="24" x14ac:dyDescent="0.3">
      <c r="A1047" s="2" t="s">
        <v>146</v>
      </c>
      <c r="B1047" s="2" t="s">
        <v>5272</v>
      </c>
      <c r="C1047" s="2"/>
      <c r="D1047" s="2" t="s">
        <v>5273</v>
      </c>
      <c r="E1047" s="2" t="s">
        <v>39</v>
      </c>
      <c r="F1047" s="2"/>
      <c r="G1047" s="2"/>
      <c r="H1047" s="2"/>
      <c r="I1047" s="3">
        <f t="shared" si="16"/>
        <v>154</v>
      </c>
    </row>
    <row r="1048" spans="1:9" ht="24" x14ac:dyDescent="0.3">
      <c r="A1048" s="2" t="s">
        <v>146</v>
      </c>
      <c r="B1048" s="2" t="s">
        <v>5279</v>
      </c>
      <c r="C1048" s="2" t="s">
        <v>515</v>
      </c>
      <c r="D1048" s="2" t="s">
        <v>5280</v>
      </c>
      <c r="E1048" s="2" t="s">
        <v>39</v>
      </c>
      <c r="F1048" s="2"/>
      <c r="G1048" s="2"/>
      <c r="H1048" s="2"/>
      <c r="I1048" s="3">
        <f t="shared" si="16"/>
        <v>154</v>
      </c>
    </row>
    <row r="1049" spans="1:9" ht="24" x14ac:dyDescent="0.3">
      <c r="A1049" s="2" t="s">
        <v>146</v>
      </c>
      <c r="B1049" s="2" t="s">
        <v>5283</v>
      </c>
      <c r="C1049" s="2" t="s">
        <v>437</v>
      </c>
      <c r="D1049" s="2" t="s">
        <v>5284</v>
      </c>
      <c r="E1049" s="2" t="s">
        <v>5285</v>
      </c>
      <c r="F1049" s="2"/>
      <c r="G1049" s="2"/>
      <c r="H1049" s="2"/>
      <c r="I1049" s="3">
        <f t="shared" si="16"/>
        <v>154</v>
      </c>
    </row>
    <row r="1050" spans="1:9" ht="24" x14ac:dyDescent="0.3">
      <c r="A1050" s="2" t="s">
        <v>146</v>
      </c>
      <c r="B1050" s="2" t="s">
        <v>5288</v>
      </c>
      <c r="C1050" s="2" t="s">
        <v>332</v>
      </c>
      <c r="D1050" s="2" t="s">
        <v>5289</v>
      </c>
      <c r="E1050" s="2" t="s">
        <v>39</v>
      </c>
      <c r="F1050" s="2"/>
      <c r="G1050" s="2"/>
      <c r="H1050" s="2"/>
      <c r="I1050" s="3">
        <f t="shared" si="16"/>
        <v>154</v>
      </c>
    </row>
    <row r="1051" spans="1:9" ht="24" x14ac:dyDescent="0.3">
      <c r="A1051" s="2" t="s">
        <v>146</v>
      </c>
      <c r="B1051" s="2" t="s">
        <v>5297</v>
      </c>
      <c r="C1051" s="2" t="s">
        <v>1201</v>
      </c>
      <c r="D1051" s="2" t="s">
        <v>5298</v>
      </c>
      <c r="E1051" s="2" t="s">
        <v>39</v>
      </c>
      <c r="F1051" s="2"/>
      <c r="G1051" s="2" t="s">
        <v>1717</v>
      </c>
      <c r="H1051" s="2"/>
      <c r="I1051" s="3">
        <f t="shared" si="16"/>
        <v>155</v>
      </c>
    </row>
    <row r="1052" spans="1:9" ht="24" x14ac:dyDescent="0.3">
      <c r="A1052" s="2" t="s">
        <v>146</v>
      </c>
      <c r="B1052" s="2" t="s">
        <v>5303</v>
      </c>
      <c r="C1052" s="2" t="s">
        <v>437</v>
      </c>
      <c r="D1052" s="2" t="s">
        <v>5304</v>
      </c>
      <c r="E1052" s="2" t="s">
        <v>39</v>
      </c>
      <c r="F1052" s="2"/>
      <c r="G1052" s="2"/>
      <c r="H1052" s="2"/>
      <c r="I1052" s="3">
        <f t="shared" si="16"/>
        <v>155</v>
      </c>
    </row>
    <row r="1053" spans="1:9" ht="24" x14ac:dyDescent="0.3">
      <c r="A1053" s="2" t="s">
        <v>146</v>
      </c>
      <c r="B1053" s="2" t="s">
        <v>5305</v>
      </c>
      <c r="C1053" s="2" t="s">
        <v>437</v>
      </c>
      <c r="D1053" s="2" t="s">
        <v>5306</v>
      </c>
      <c r="E1053" s="2" t="s">
        <v>393</v>
      </c>
      <c r="F1053" s="2"/>
      <c r="G1053" s="2"/>
      <c r="H1053" s="2"/>
      <c r="I1053" s="3">
        <f t="shared" si="16"/>
        <v>155</v>
      </c>
    </row>
    <row r="1054" spans="1:9" ht="24" x14ac:dyDescent="0.3">
      <c r="A1054" s="2" t="s">
        <v>146</v>
      </c>
      <c r="B1054" s="2" t="s">
        <v>3632</v>
      </c>
      <c r="C1054" s="2" t="s">
        <v>491</v>
      </c>
      <c r="D1054" s="2" t="s">
        <v>5318</v>
      </c>
      <c r="E1054" s="2" t="s">
        <v>39</v>
      </c>
      <c r="F1054" s="2"/>
      <c r="G1054" s="2"/>
      <c r="H1054" s="2"/>
      <c r="I1054" s="3">
        <f t="shared" si="16"/>
        <v>155</v>
      </c>
    </row>
    <row r="1055" spans="1:9" ht="24" x14ac:dyDescent="0.3">
      <c r="A1055" s="2" t="s">
        <v>146</v>
      </c>
      <c r="B1055" s="2" t="s">
        <v>4431</v>
      </c>
      <c r="C1055" s="2" t="s">
        <v>57</v>
      </c>
      <c r="D1055" s="2" t="s">
        <v>8766</v>
      </c>
      <c r="E1055" s="2"/>
      <c r="F1055" s="2" t="s">
        <v>4117</v>
      </c>
      <c r="G1055" s="2" t="s">
        <v>1717</v>
      </c>
      <c r="H1055" s="2"/>
      <c r="I1055" s="3">
        <f t="shared" si="16"/>
        <v>154</v>
      </c>
    </row>
    <row r="1056" spans="1:9" ht="24" x14ac:dyDescent="0.3">
      <c r="A1056" s="2" t="s">
        <v>146</v>
      </c>
      <c r="B1056" s="2" t="s">
        <v>5328</v>
      </c>
      <c r="C1056" s="2"/>
      <c r="D1056" s="2" t="s">
        <v>5329</v>
      </c>
      <c r="E1056" s="2" t="s">
        <v>39</v>
      </c>
      <c r="F1056" s="2"/>
      <c r="G1056" s="2"/>
      <c r="H1056" s="2"/>
      <c r="I1056" s="3">
        <f t="shared" si="16"/>
        <v>156</v>
      </c>
    </row>
    <row r="1057" spans="1:9" ht="24" x14ac:dyDescent="0.3">
      <c r="A1057" s="2" t="s">
        <v>146</v>
      </c>
      <c r="B1057" s="2" t="s">
        <v>2900</v>
      </c>
      <c r="C1057" s="2" t="s">
        <v>515</v>
      </c>
      <c r="D1057" s="2" t="s">
        <v>5336</v>
      </c>
      <c r="E1057" s="2" t="s">
        <v>39</v>
      </c>
      <c r="F1057" s="2"/>
      <c r="G1057" s="2"/>
      <c r="H1057" s="2"/>
      <c r="I1057" s="3">
        <f t="shared" si="16"/>
        <v>156</v>
      </c>
    </row>
    <row r="1058" spans="1:9" ht="24" x14ac:dyDescent="0.3">
      <c r="A1058" s="2" t="s">
        <v>146</v>
      </c>
      <c r="B1058" s="2" t="s">
        <v>5337</v>
      </c>
      <c r="C1058" s="2"/>
      <c r="D1058" s="2" t="s">
        <v>5338</v>
      </c>
      <c r="E1058" s="2" t="s">
        <v>39</v>
      </c>
      <c r="F1058" s="2"/>
      <c r="G1058" s="2"/>
      <c r="H1058" s="2"/>
      <c r="I1058" s="3">
        <f t="shared" si="16"/>
        <v>156</v>
      </c>
    </row>
    <row r="1059" spans="1:9" ht="24" x14ac:dyDescent="0.3">
      <c r="A1059" s="2" t="s">
        <v>146</v>
      </c>
      <c r="B1059" s="2" t="s">
        <v>5339</v>
      </c>
      <c r="C1059" s="2" t="s">
        <v>491</v>
      </c>
      <c r="D1059" s="2" t="s">
        <v>5340</v>
      </c>
      <c r="E1059" s="2" t="s">
        <v>39</v>
      </c>
      <c r="F1059" s="2"/>
      <c r="G1059" s="2"/>
      <c r="H1059" s="2"/>
      <c r="I1059" s="3">
        <f t="shared" si="16"/>
        <v>156</v>
      </c>
    </row>
    <row r="1060" spans="1:9" ht="24" x14ac:dyDescent="0.3">
      <c r="A1060" s="2" t="s">
        <v>146</v>
      </c>
      <c r="B1060" s="2" t="s">
        <v>5341</v>
      </c>
      <c r="C1060" s="2" t="s">
        <v>788</v>
      </c>
      <c r="D1060" s="2" t="s">
        <v>5342</v>
      </c>
      <c r="E1060" s="2" t="s">
        <v>39</v>
      </c>
      <c r="F1060" s="2"/>
      <c r="G1060" s="2"/>
      <c r="H1060" s="2"/>
      <c r="I1060" s="3">
        <f t="shared" si="16"/>
        <v>156</v>
      </c>
    </row>
    <row r="1061" spans="1:9" ht="24" x14ac:dyDescent="0.3">
      <c r="A1061" s="2" t="s">
        <v>146</v>
      </c>
      <c r="B1061" s="2" t="s">
        <v>5343</v>
      </c>
      <c r="C1061" s="2" t="s">
        <v>911</v>
      </c>
      <c r="D1061" s="2" t="s">
        <v>9562</v>
      </c>
      <c r="E1061" s="2" t="s">
        <v>39</v>
      </c>
      <c r="F1061" s="2"/>
      <c r="G1061" s="2"/>
      <c r="H1061" s="2"/>
      <c r="I1061" s="3">
        <f t="shared" si="16"/>
        <v>157</v>
      </c>
    </row>
    <row r="1062" spans="1:9" ht="24" x14ac:dyDescent="0.3">
      <c r="A1062" s="2" t="s">
        <v>146</v>
      </c>
      <c r="B1062" s="2" t="s">
        <v>5344</v>
      </c>
      <c r="C1062" s="2" t="s">
        <v>437</v>
      </c>
      <c r="D1062" s="2" t="s">
        <v>5345</v>
      </c>
      <c r="E1062" s="2" t="s">
        <v>5346</v>
      </c>
      <c r="F1062" s="2"/>
      <c r="G1062" s="2"/>
      <c r="H1062" s="2"/>
      <c r="I1062" s="3">
        <f t="shared" si="16"/>
        <v>156</v>
      </c>
    </row>
    <row r="1063" spans="1:9" ht="24" x14ac:dyDescent="0.3">
      <c r="A1063" s="2" t="s">
        <v>146</v>
      </c>
      <c r="B1063" s="2" t="s">
        <v>5349</v>
      </c>
      <c r="C1063" s="2"/>
      <c r="D1063" s="2" t="s">
        <v>8767</v>
      </c>
      <c r="E1063" s="2" t="s">
        <v>556</v>
      </c>
      <c r="F1063" s="2" t="s">
        <v>4117</v>
      </c>
      <c r="G1063" s="2" t="s">
        <v>1717</v>
      </c>
      <c r="H1063" s="2"/>
      <c r="I1063" s="3">
        <f t="shared" si="16"/>
        <v>155</v>
      </c>
    </row>
    <row r="1064" spans="1:9" ht="24" x14ac:dyDescent="0.3">
      <c r="A1064" s="2" t="s">
        <v>146</v>
      </c>
      <c r="B1064" s="2" t="s">
        <v>5359</v>
      </c>
      <c r="C1064" s="2" t="s">
        <v>491</v>
      </c>
      <c r="D1064" s="2" t="s">
        <v>5360</v>
      </c>
      <c r="E1064" s="2" t="s">
        <v>39</v>
      </c>
      <c r="F1064" s="2"/>
      <c r="G1064" s="2"/>
      <c r="H1064" s="2"/>
      <c r="I1064" s="3">
        <f t="shared" si="16"/>
        <v>157</v>
      </c>
    </row>
    <row r="1065" spans="1:9" ht="24" x14ac:dyDescent="0.3">
      <c r="A1065" s="2" t="s">
        <v>146</v>
      </c>
      <c r="B1065" s="2" t="s">
        <v>5370</v>
      </c>
      <c r="C1065" s="2" t="s">
        <v>491</v>
      </c>
      <c r="D1065" s="2" t="s">
        <v>5371</v>
      </c>
      <c r="E1065" s="2" t="s">
        <v>39</v>
      </c>
      <c r="F1065" s="2"/>
      <c r="G1065" s="2"/>
      <c r="H1065" s="2"/>
      <c r="I1065" s="3">
        <f t="shared" si="16"/>
        <v>157</v>
      </c>
    </row>
    <row r="1066" spans="1:9" ht="24" x14ac:dyDescent="0.3">
      <c r="A1066" s="2" t="s">
        <v>146</v>
      </c>
      <c r="B1066" s="2" t="s">
        <v>5381</v>
      </c>
      <c r="C1066" s="2" t="s">
        <v>57</v>
      </c>
      <c r="D1066" s="2" t="s">
        <v>8768</v>
      </c>
      <c r="E1066" s="2" t="s">
        <v>39</v>
      </c>
      <c r="F1066" s="2" t="s">
        <v>1778</v>
      </c>
      <c r="G1066" s="2" t="s">
        <v>1717</v>
      </c>
      <c r="H1066" s="2"/>
      <c r="I1066" s="3">
        <f t="shared" si="16"/>
        <v>156</v>
      </c>
    </row>
    <row r="1067" spans="1:9" ht="24" x14ac:dyDescent="0.3">
      <c r="A1067" s="2" t="s">
        <v>146</v>
      </c>
      <c r="B1067" s="2" t="s">
        <v>5382</v>
      </c>
      <c r="C1067" s="2" t="s">
        <v>130</v>
      </c>
      <c r="D1067" s="2" t="s">
        <v>8769</v>
      </c>
      <c r="E1067" s="2" t="s">
        <v>379</v>
      </c>
      <c r="F1067" s="2" t="s">
        <v>1778</v>
      </c>
      <c r="G1067" s="2" t="s">
        <v>1717</v>
      </c>
      <c r="H1067" s="2" t="s">
        <v>646</v>
      </c>
      <c r="I1067" s="3">
        <f t="shared" si="16"/>
        <v>156</v>
      </c>
    </row>
    <row r="1068" spans="1:9" ht="24" x14ac:dyDescent="0.3">
      <c r="A1068" s="2" t="s">
        <v>146</v>
      </c>
      <c r="B1068" s="2" t="s">
        <v>5383</v>
      </c>
      <c r="C1068" s="2" t="s">
        <v>491</v>
      </c>
      <c r="D1068" s="2" t="s">
        <v>5384</v>
      </c>
      <c r="E1068" s="2" t="s">
        <v>39</v>
      </c>
      <c r="F1068" s="2"/>
      <c r="G1068" s="2"/>
      <c r="H1068" s="2"/>
      <c r="I1068" s="3">
        <f t="shared" si="16"/>
        <v>158</v>
      </c>
    </row>
    <row r="1069" spans="1:9" ht="24" x14ac:dyDescent="0.3">
      <c r="A1069" s="2" t="s">
        <v>146</v>
      </c>
      <c r="B1069" s="2" t="s">
        <v>5387</v>
      </c>
      <c r="C1069" s="2" t="s">
        <v>178</v>
      </c>
      <c r="D1069" s="2" t="s">
        <v>5388</v>
      </c>
      <c r="E1069" s="2" t="s">
        <v>39</v>
      </c>
      <c r="F1069" s="2"/>
      <c r="G1069" s="2"/>
      <c r="H1069" s="2"/>
      <c r="I1069" s="3">
        <f t="shared" si="16"/>
        <v>158</v>
      </c>
    </row>
    <row r="1070" spans="1:9" ht="24" x14ac:dyDescent="0.3">
      <c r="A1070" s="2" t="s">
        <v>146</v>
      </c>
      <c r="B1070" s="2" t="s">
        <v>5389</v>
      </c>
      <c r="C1070" s="2"/>
      <c r="D1070" s="2" t="s">
        <v>5390</v>
      </c>
      <c r="E1070" s="2" t="s">
        <v>39</v>
      </c>
      <c r="F1070" s="2"/>
      <c r="G1070" s="2"/>
      <c r="H1070" s="2" t="s">
        <v>1176</v>
      </c>
      <c r="I1070" s="3">
        <f t="shared" si="16"/>
        <v>158</v>
      </c>
    </row>
    <row r="1071" spans="1:9" ht="24" x14ac:dyDescent="0.3">
      <c r="A1071" s="2" t="s">
        <v>146</v>
      </c>
      <c r="B1071" s="2" t="s">
        <v>5391</v>
      </c>
      <c r="C1071" s="2" t="s">
        <v>911</v>
      </c>
      <c r="D1071" s="2" t="s">
        <v>8770</v>
      </c>
      <c r="E1071" s="2" t="s">
        <v>616</v>
      </c>
      <c r="F1071" s="2" t="s">
        <v>2281</v>
      </c>
      <c r="G1071" s="2" t="s">
        <v>1717</v>
      </c>
      <c r="H1071" s="2"/>
      <c r="I1071" s="3">
        <f t="shared" si="16"/>
        <v>156</v>
      </c>
    </row>
    <row r="1072" spans="1:9" ht="24" x14ac:dyDescent="0.3">
      <c r="A1072" s="2" t="s">
        <v>146</v>
      </c>
      <c r="B1072" s="2" t="s">
        <v>5392</v>
      </c>
      <c r="C1072" s="2" t="s">
        <v>57</v>
      </c>
      <c r="D1072" s="2" t="s">
        <v>8771</v>
      </c>
      <c r="E1072" s="2" t="s">
        <v>39</v>
      </c>
      <c r="F1072" s="2" t="s">
        <v>1778</v>
      </c>
      <c r="G1072" s="2" t="s">
        <v>1717</v>
      </c>
      <c r="H1072" s="2"/>
      <c r="I1072" s="3">
        <f t="shared" si="16"/>
        <v>157</v>
      </c>
    </row>
    <row r="1073" spans="1:9" ht="24" x14ac:dyDescent="0.3">
      <c r="A1073" s="2" t="s">
        <v>146</v>
      </c>
      <c r="B1073" s="2" t="s">
        <v>4867</v>
      </c>
      <c r="C1073" s="2" t="s">
        <v>5393</v>
      </c>
      <c r="D1073" s="2" t="s">
        <v>8772</v>
      </c>
      <c r="E1073" s="2"/>
      <c r="F1073" s="2" t="s">
        <v>1778</v>
      </c>
      <c r="G1073" s="2" t="s">
        <v>1717</v>
      </c>
      <c r="H1073" s="2"/>
      <c r="I1073" s="3">
        <f t="shared" si="16"/>
        <v>157</v>
      </c>
    </row>
    <row r="1074" spans="1:9" ht="24" x14ac:dyDescent="0.3">
      <c r="A1074" s="2" t="s">
        <v>146</v>
      </c>
      <c r="B1074" s="2" t="s">
        <v>5407</v>
      </c>
      <c r="C1074" s="2"/>
      <c r="D1074" s="2" t="s">
        <v>5408</v>
      </c>
      <c r="E1074" s="2" t="s">
        <v>39</v>
      </c>
      <c r="F1074" s="2"/>
      <c r="G1074" s="2"/>
      <c r="H1074" s="2"/>
      <c r="I1074" s="3">
        <f t="shared" si="16"/>
        <v>159</v>
      </c>
    </row>
    <row r="1075" spans="1:9" ht="24" x14ac:dyDescent="0.3">
      <c r="A1075" s="2" t="s">
        <v>146</v>
      </c>
      <c r="B1075" s="2" t="s">
        <v>5411</v>
      </c>
      <c r="C1075" s="2" t="s">
        <v>491</v>
      </c>
      <c r="D1075" s="2" t="s">
        <v>5412</v>
      </c>
      <c r="E1075" s="2" t="s">
        <v>39</v>
      </c>
      <c r="F1075" s="2"/>
      <c r="G1075" s="2"/>
      <c r="H1075" s="2"/>
      <c r="I1075" s="3">
        <f t="shared" si="16"/>
        <v>160</v>
      </c>
    </row>
    <row r="1076" spans="1:9" ht="24" x14ac:dyDescent="0.3">
      <c r="A1076" s="2" t="s">
        <v>146</v>
      </c>
      <c r="B1076" s="2" t="s">
        <v>5413</v>
      </c>
      <c r="C1076" s="2" t="s">
        <v>5414</v>
      </c>
      <c r="D1076" s="2" t="s">
        <v>8773</v>
      </c>
      <c r="E1076" s="2" t="s">
        <v>39</v>
      </c>
      <c r="F1076" s="2" t="s">
        <v>350</v>
      </c>
      <c r="G1076" s="2" t="s">
        <v>1717</v>
      </c>
      <c r="H1076" s="2"/>
      <c r="I1076" s="3">
        <f t="shared" si="16"/>
        <v>158</v>
      </c>
    </row>
    <row r="1077" spans="1:9" ht="24" x14ac:dyDescent="0.3">
      <c r="A1077" s="2" t="s">
        <v>146</v>
      </c>
      <c r="B1077" s="2" t="s">
        <v>5415</v>
      </c>
      <c r="C1077" s="2" t="s">
        <v>5416</v>
      </c>
      <c r="D1077" s="2" t="s">
        <v>8774</v>
      </c>
      <c r="E1077" s="2" t="s">
        <v>3773</v>
      </c>
      <c r="F1077" s="2" t="s">
        <v>1778</v>
      </c>
      <c r="G1077" s="2" t="s">
        <v>1717</v>
      </c>
      <c r="H1077" s="2"/>
      <c r="I1077" s="3">
        <f t="shared" si="16"/>
        <v>158</v>
      </c>
    </row>
    <row r="1078" spans="1:9" ht="24" x14ac:dyDescent="0.3">
      <c r="A1078" s="2" t="s">
        <v>146</v>
      </c>
      <c r="B1078" s="2" t="s">
        <v>1774</v>
      </c>
      <c r="C1078" s="2" t="s">
        <v>95</v>
      </c>
      <c r="D1078" s="2" t="s">
        <v>5418</v>
      </c>
      <c r="E1078" s="2" t="s">
        <v>3226</v>
      </c>
      <c r="F1078" s="2"/>
      <c r="G1078" s="2"/>
      <c r="H1078" s="2"/>
      <c r="I1078" s="3">
        <f t="shared" si="16"/>
        <v>160</v>
      </c>
    </row>
    <row r="1079" spans="1:9" ht="24" x14ac:dyDescent="0.3">
      <c r="A1079" s="2" t="s">
        <v>146</v>
      </c>
      <c r="B1079" s="2" t="s">
        <v>5425</v>
      </c>
      <c r="C1079" s="2" t="s">
        <v>5142</v>
      </c>
      <c r="D1079" s="2" t="s">
        <v>5426</v>
      </c>
      <c r="E1079" s="2" t="s">
        <v>39</v>
      </c>
      <c r="F1079" s="2"/>
      <c r="G1079" s="2"/>
      <c r="H1079" s="2" t="s">
        <v>402</v>
      </c>
      <c r="I1079" s="3">
        <f t="shared" si="16"/>
        <v>160</v>
      </c>
    </row>
    <row r="1080" spans="1:9" ht="24" x14ac:dyDescent="0.3">
      <c r="A1080" s="2" t="s">
        <v>146</v>
      </c>
      <c r="B1080" s="2" t="s">
        <v>5429</v>
      </c>
      <c r="C1080" s="2" t="s">
        <v>5430</v>
      </c>
      <c r="D1080" s="2" t="s">
        <v>8775</v>
      </c>
      <c r="E1080" s="2" t="s">
        <v>39</v>
      </c>
      <c r="F1080" s="2" t="s">
        <v>350</v>
      </c>
      <c r="G1080" s="2" t="s">
        <v>350</v>
      </c>
      <c r="H1080" s="2"/>
      <c r="I1080" s="3">
        <f t="shared" si="16"/>
        <v>159</v>
      </c>
    </row>
    <row r="1081" spans="1:9" ht="24" x14ac:dyDescent="0.3">
      <c r="A1081" s="2" t="s">
        <v>146</v>
      </c>
      <c r="B1081" s="2" t="s">
        <v>5436</v>
      </c>
      <c r="C1081" s="2" t="s">
        <v>45</v>
      </c>
      <c r="D1081" s="2" t="s">
        <v>8776</v>
      </c>
      <c r="E1081" s="2" t="s">
        <v>39</v>
      </c>
      <c r="F1081" s="2" t="s">
        <v>4117</v>
      </c>
      <c r="G1081" s="2" t="s">
        <v>1717</v>
      </c>
      <c r="H1081" s="2"/>
      <c r="I1081" s="3">
        <f t="shared" si="16"/>
        <v>159</v>
      </c>
    </row>
    <row r="1082" spans="1:9" ht="24" x14ac:dyDescent="0.3">
      <c r="A1082" s="2" t="s">
        <v>146</v>
      </c>
      <c r="B1082" s="2" t="s">
        <v>5437</v>
      </c>
      <c r="C1082" s="2"/>
      <c r="D1082" s="2" t="s">
        <v>5438</v>
      </c>
      <c r="E1082" s="2" t="s">
        <v>39</v>
      </c>
      <c r="F1082" s="2"/>
      <c r="G1082" s="2"/>
      <c r="H1082" s="2"/>
      <c r="I1082" s="3">
        <f t="shared" si="16"/>
        <v>161</v>
      </c>
    </row>
    <row r="1083" spans="1:9" ht="24" x14ac:dyDescent="0.3">
      <c r="A1083" s="2" t="s">
        <v>146</v>
      </c>
      <c r="B1083" s="2" t="s">
        <v>5439</v>
      </c>
      <c r="C1083" s="2" t="s">
        <v>500</v>
      </c>
      <c r="D1083" s="2" t="s">
        <v>5440</v>
      </c>
      <c r="E1083" s="2" t="s">
        <v>39</v>
      </c>
      <c r="F1083" s="2"/>
      <c r="G1083" s="2"/>
      <c r="H1083" s="2"/>
      <c r="I1083" s="3">
        <f t="shared" si="16"/>
        <v>161</v>
      </c>
    </row>
    <row r="1084" spans="1:9" ht="24" x14ac:dyDescent="0.3">
      <c r="A1084" s="2" t="s">
        <v>146</v>
      </c>
      <c r="B1084" s="2" t="s">
        <v>1976</v>
      </c>
      <c r="C1084" s="2"/>
      <c r="D1084" s="2" t="s">
        <v>5441</v>
      </c>
      <c r="E1084" s="2" t="s">
        <v>39</v>
      </c>
      <c r="F1084" s="2"/>
      <c r="G1084" s="2"/>
      <c r="H1084" s="2"/>
      <c r="I1084" s="3">
        <f t="shared" si="16"/>
        <v>161</v>
      </c>
    </row>
    <row r="1085" spans="1:9" ht="24" x14ac:dyDescent="0.3">
      <c r="A1085" s="2" t="s">
        <v>146</v>
      </c>
      <c r="B1085" s="2" t="s">
        <v>5442</v>
      </c>
      <c r="C1085" s="2" t="s">
        <v>1255</v>
      </c>
      <c r="D1085" s="2" t="s">
        <v>5443</v>
      </c>
      <c r="E1085" s="2" t="s">
        <v>39</v>
      </c>
      <c r="F1085" s="2"/>
      <c r="G1085" s="2"/>
      <c r="H1085" s="2"/>
      <c r="I1085" s="3">
        <f t="shared" si="16"/>
        <v>161</v>
      </c>
    </row>
    <row r="1086" spans="1:9" ht="24" x14ac:dyDescent="0.3">
      <c r="A1086" s="2" t="s">
        <v>146</v>
      </c>
      <c r="B1086" s="2" t="s">
        <v>5448</v>
      </c>
      <c r="C1086" s="2" t="s">
        <v>491</v>
      </c>
      <c r="D1086" s="2" t="s">
        <v>5449</v>
      </c>
      <c r="E1086" s="2" t="s">
        <v>39</v>
      </c>
      <c r="F1086" s="2"/>
      <c r="G1086" s="2"/>
      <c r="H1086" s="2"/>
      <c r="I1086" s="3">
        <f t="shared" si="16"/>
        <v>162</v>
      </c>
    </row>
    <row r="1087" spans="1:9" ht="24" x14ac:dyDescent="0.3">
      <c r="A1087" s="2" t="s">
        <v>146</v>
      </c>
      <c r="B1087" s="2" t="s">
        <v>5450</v>
      </c>
      <c r="C1087" s="2" t="s">
        <v>1507</v>
      </c>
      <c r="D1087" s="2" t="s">
        <v>5451</v>
      </c>
      <c r="E1087" s="2" t="s">
        <v>39</v>
      </c>
      <c r="F1087" s="2"/>
      <c r="G1087" s="2"/>
      <c r="H1087" s="2"/>
      <c r="I1087" s="3">
        <f t="shared" si="16"/>
        <v>162</v>
      </c>
    </row>
    <row r="1088" spans="1:9" ht="24" x14ac:dyDescent="0.3">
      <c r="A1088" s="2" t="s">
        <v>146</v>
      </c>
      <c r="B1088" s="2" t="s">
        <v>5457</v>
      </c>
      <c r="C1088" s="2" t="s">
        <v>389</v>
      </c>
      <c r="D1088" s="2" t="s">
        <v>5458</v>
      </c>
      <c r="E1088" s="2" t="s">
        <v>39</v>
      </c>
      <c r="F1088" s="2"/>
      <c r="G1088" s="2"/>
      <c r="H1088" s="2"/>
      <c r="I1088" s="3">
        <f t="shared" si="16"/>
        <v>163</v>
      </c>
    </row>
    <row r="1089" spans="1:9" ht="24" x14ac:dyDescent="0.3">
      <c r="A1089" s="2" t="s">
        <v>146</v>
      </c>
      <c r="B1089" s="2" t="s">
        <v>5459</v>
      </c>
      <c r="C1089" s="2" t="s">
        <v>2531</v>
      </c>
      <c r="D1089" s="2" t="s">
        <v>8777</v>
      </c>
      <c r="E1089" s="2" t="s">
        <v>39</v>
      </c>
      <c r="F1089" s="2" t="s">
        <v>1778</v>
      </c>
      <c r="G1089" s="2" t="s">
        <v>1717</v>
      </c>
      <c r="H1089" s="2"/>
      <c r="I1089" s="3">
        <f t="shared" si="16"/>
        <v>161</v>
      </c>
    </row>
    <row r="1090" spans="1:9" ht="24" x14ac:dyDescent="0.3">
      <c r="A1090" s="2" t="s">
        <v>146</v>
      </c>
      <c r="B1090" s="2" t="s">
        <v>5464</v>
      </c>
      <c r="C1090" s="3" t="s">
        <v>911</v>
      </c>
      <c r="D1090" s="2" t="s">
        <v>5465</v>
      </c>
      <c r="E1090" s="2" t="s">
        <v>39</v>
      </c>
      <c r="F1090" s="2"/>
      <c r="G1090" s="2"/>
      <c r="H1090" s="2"/>
      <c r="I1090" s="3">
        <f t="shared" ref="I1090:I1153" si="17">LEN(D1090)</f>
        <v>163</v>
      </c>
    </row>
    <row r="1091" spans="1:9" ht="24" x14ac:dyDescent="0.3">
      <c r="A1091" s="2" t="s">
        <v>146</v>
      </c>
      <c r="B1091" s="2" t="s">
        <v>827</v>
      </c>
      <c r="C1091" s="2" t="s">
        <v>130</v>
      </c>
      <c r="D1091" s="2" t="s">
        <v>8778</v>
      </c>
      <c r="E1091" s="2" t="s">
        <v>2709</v>
      </c>
      <c r="F1091" s="2" t="s">
        <v>1778</v>
      </c>
      <c r="G1091" s="2" t="s">
        <v>1717</v>
      </c>
      <c r="H1091" s="2" t="s">
        <v>646</v>
      </c>
      <c r="I1091" s="3">
        <f t="shared" si="17"/>
        <v>161</v>
      </c>
    </row>
    <row r="1092" spans="1:9" ht="24" x14ac:dyDescent="0.3">
      <c r="A1092" s="2" t="s">
        <v>146</v>
      </c>
      <c r="B1092" s="2" t="s">
        <v>5466</v>
      </c>
      <c r="C1092" s="2" t="s">
        <v>4007</v>
      </c>
      <c r="D1092" s="2" t="s">
        <v>8700</v>
      </c>
      <c r="E1092" s="2" t="s">
        <v>3209</v>
      </c>
      <c r="F1092" s="2"/>
      <c r="G1092" s="2"/>
      <c r="H1092" s="2"/>
      <c r="I1092" s="3">
        <f t="shared" si="17"/>
        <v>163</v>
      </c>
    </row>
    <row r="1093" spans="1:9" ht="24" x14ac:dyDescent="0.3">
      <c r="A1093" s="2" t="s">
        <v>146</v>
      </c>
      <c r="B1093" s="2" t="s">
        <v>4069</v>
      </c>
      <c r="C1093" s="2" t="s">
        <v>491</v>
      </c>
      <c r="D1093" s="2" t="s">
        <v>5471</v>
      </c>
      <c r="E1093" s="2" t="s">
        <v>39</v>
      </c>
      <c r="F1093" s="2"/>
      <c r="G1093" s="2"/>
      <c r="H1093" s="2"/>
      <c r="I1093" s="3">
        <f t="shared" si="17"/>
        <v>163</v>
      </c>
    </row>
    <row r="1094" spans="1:9" ht="24" x14ac:dyDescent="0.3">
      <c r="A1094" s="2" t="s">
        <v>146</v>
      </c>
      <c r="B1094" s="2" t="s">
        <v>5474</v>
      </c>
      <c r="C1094" s="2" t="s">
        <v>1379</v>
      </c>
      <c r="D1094" s="2" t="s">
        <v>5475</v>
      </c>
      <c r="E1094" s="2" t="s">
        <v>39</v>
      </c>
      <c r="F1094" s="2"/>
      <c r="G1094" s="2"/>
      <c r="H1094" s="2" t="s">
        <v>646</v>
      </c>
      <c r="I1094" s="3">
        <f t="shared" si="17"/>
        <v>163</v>
      </c>
    </row>
    <row r="1095" spans="1:9" ht="24" x14ac:dyDescent="0.3">
      <c r="A1095" s="2" t="s">
        <v>146</v>
      </c>
      <c r="B1095" s="2" t="s">
        <v>2646</v>
      </c>
      <c r="C1095" s="2" t="s">
        <v>911</v>
      </c>
      <c r="D1095" s="2" t="s">
        <v>5477</v>
      </c>
      <c r="E1095" s="2" t="s">
        <v>1494</v>
      </c>
      <c r="F1095" s="2"/>
      <c r="G1095" s="2"/>
      <c r="H1095" s="2"/>
      <c r="I1095" s="3">
        <f t="shared" si="17"/>
        <v>164</v>
      </c>
    </row>
    <row r="1096" spans="1:9" ht="24" x14ac:dyDescent="0.3">
      <c r="A1096" s="2" t="s">
        <v>146</v>
      </c>
      <c r="B1096" s="2" t="s">
        <v>5487</v>
      </c>
      <c r="C1096" s="2" t="s">
        <v>95</v>
      </c>
      <c r="D1096" s="2" t="s">
        <v>5488</v>
      </c>
      <c r="E1096" s="2" t="s">
        <v>39</v>
      </c>
      <c r="F1096" s="2"/>
      <c r="G1096" s="2"/>
      <c r="H1096" s="2"/>
      <c r="I1096" s="3">
        <f t="shared" si="17"/>
        <v>164</v>
      </c>
    </row>
    <row r="1097" spans="1:9" ht="24" x14ac:dyDescent="0.3">
      <c r="A1097" s="2" t="s">
        <v>146</v>
      </c>
      <c r="B1097" s="2" t="s">
        <v>5493</v>
      </c>
      <c r="C1097" s="2" t="s">
        <v>50</v>
      </c>
      <c r="D1097" s="2" t="s">
        <v>8779</v>
      </c>
      <c r="E1097" s="2" t="s">
        <v>39</v>
      </c>
      <c r="F1097" s="2" t="s">
        <v>1778</v>
      </c>
      <c r="G1097" s="2" t="s">
        <v>1717</v>
      </c>
      <c r="H1097" s="2"/>
      <c r="I1097" s="3">
        <f t="shared" si="17"/>
        <v>162</v>
      </c>
    </row>
    <row r="1098" spans="1:9" ht="24" x14ac:dyDescent="0.3">
      <c r="A1098" s="2" t="s">
        <v>146</v>
      </c>
      <c r="B1098" s="2" t="s">
        <v>2892</v>
      </c>
      <c r="C1098" s="2" t="s">
        <v>214</v>
      </c>
      <c r="D1098" s="2" t="s">
        <v>5494</v>
      </c>
      <c r="E1098" s="2" t="s">
        <v>39</v>
      </c>
      <c r="F1098" s="2"/>
      <c r="G1098" s="2" t="s">
        <v>3082</v>
      </c>
      <c r="H1098" s="2"/>
      <c r="I1098" s="3">
        <f t="shared" si="17"/>
        <v>164</v>
      </c>
    </row>
    <row r="1099" spans="1:9" ht="24" x14ac:dyDescent="0.3">
      <c r="A1099" s="2" t="s">
        <v>146</v>
      </c>
      <c r="B1099" s="2" t="s">
        <v>5495</v>
      </c>
      <c r="C1099" s="2"/>
      <c r="D1099" s="2" t="s">
        <v>5496</v>
      </c>
      <c r="E1099" s="2" t="s">
        <v>39</v>
      </c>
      <c r="F1099" s="2"/>
      <c r="G1099" s="2"/>
      <c r="H1099" s="2"/>
      <c r="I1099" s="3">
        <f t="shared" si="17"/>
        <v>164</v>
      </c>
    </row>
    <row r="1100" spans="1:9" ht="24" x14ac:dyDescent="0.3">
      <c r="A1100" s="2" t="s">
        <v>146</v>
      </c>
      <c r="B1100" s="2" t="s">
        <v>5497</v>
      </c>
      <c r="C1100" s="2" t="s">
        <v>491</v>
      </c>
      <c r="D1100" s="2" t="s">
        <v>5498</v>
      </c>
      <c r="E1100" s="2" t="s">
        <v>39</v>
      </c>
      <c r="F1100" s="2"/>
      <c r="G1100" s="2"/>
      <c r="H1100" s="2" t="s">
        <v>194</v>
      </c>
      <c r="I1100" s="3">
        <f t="shared" si="17"/>
        <v>164</v>
      </c>
    </row>
    <row r="1101" spans="1:9" ht="24" x14ac:dyDescent="0.3">
      <c r="A1101" s="2" t="s">
        <v>146</v>
      </c>
      <c r="B1101" s="2" t="s">
        <v>5499</v>
      </c>
      <c r="C1101" s="2" t="s">
        <v>515</v>
      </c>
      <c r="D1101" s="2" t="s">
        <v>5500</v>
      </c>
      <c r="E1101" s="2" t="s">
        <v>39</v>
      </c>
      <c r="F1101" s="2"/>
      <c r="G1101" s="2"/>
      <c r="H1101" s="2"/>
      <c r="I1101" s="3">
        <f t="shared" si="17"/>
        <v>164</v>
      </c>
    </row>
    <row r="1102" spans="1:9" ht="24" x14ac:dyDescent="0.3">
      <c r="A1102" s="2" t="s">
        <v>146</v>
      </c>
      <c r="B1102" s="2" t="s">
        <v>5503</v>
      </c>
      <c r="C1102" s="2" t="s">
        <v>4830</v>
      </c>
      <c r="D1102" s="2" t="s">
        <v>8780</v>
      </c>
      <c r="E1102" s="2" t="s">
        <v>39</v>
      </c>
      <c r="F1102" s="2" t="s">
        <v>2281</v>
      </c>
      <c r="G1102" s="2" t="s">
        <v>1717</v>
      </c>
      <c r="H1102" s="2"/>
      <c r="I1102" s="3">
        <f t="shared" si="17"/>
        <v>162</v>
      </c>
    </row>
    <row r="1103" spans="1:9" ht="24" x14ac:dyDescent="0.3">
      <c r="A1103" s="2" t="s">
        <v>146</v>
      </c>
      <c r="B1103" s="2" t="s">
        <v>5504</v>
      </c>
      <c r="C1103" s="3" t="s">
        <v>911</v>
      </c>
      <c r="D1103" s="2" t="s">
        <v>8781</v>
      </c>
      <c r="E1103" s="2" t="s">
        <v>3686</v>
      </c>
      <c r="F1103" s="2" t="s">
        <v>4117</v>
      </c>
      <c r="G1103" s="2" t="s">
        <v>1717</v>
      </c>
      <c r="H1103" s="2"/>
      <c r="I1103" s="3">
        <f t="shared" si="17"/>
        <v>163</v>
      </c>
    </row>
    <row r="1104" spans="1:9" ht="24" x14ac:dyDescent="0.3">
      <c r="A1104" s="2" t="s">
        <v>146</v>
      </c>
      <c r="B1104" s="2" t="s">
        <v>5511</v>
      </c>
      <c r="C1104" s="3" t="s">
        <v>911</v>
      </c>
      <c r="D1104" s="2" t="s">
        <v>8782</v>
      </c>
      <c r="E1104" s="2" t="s">
        <v>3571</v>
      </c>
      <c r="F1104" s="2" t="s">
        <v>1778</v>
      </c>
      <c r="G1104" s="2" t="s">
        <v>1717</v>
      </c>
      <c r="H1104" s="2"/>
      <c r="I1104" s="3">
        <f t="shared" si="17"/>
        <v>163</v>
      </c>
    </row>
    <row r="1105" spans="1:9" ht="24" x14ac:dyDescent="0.3">
      <c r="A1105" s="2" t="s">
        <v>146</v>
      </c>
      <c r="B1105" s="2" t="s">
        <v>5518</v>
      </c>
      <c r="C1105" s="2" t="s">
        <v>437</v>
      </c>
      <c r="D1105" s="2" t="s">
        <v>5519</v>
      </c>
      <c r="E1105" s="2"/>
      <c r="F1105" s="2"/>
      <c r="G1105" s="2"/>
      <c r="H1105" s="2"/>
      <c r="I1105" s="3">
        <f t="shared" si="17"/>
        <v>165</v>
      </c>
    </row>
    <row r="1106" spans="1:9" ht="24" x14ac:dyDescent="0.3">
      <c r="A1106" s="2" t="s">
        <v>146</v>
      </c>
      <c r="B1106" s="2" t="s">
        <v>5524</v>
      </c>
      <c r="C1106" s="2" t="s">
        <v>130</v>
      </c>
      <c r="D1106" s="2" t="s">
        <v>8783</v>
      </c>
      <c r="E1106" s="2" t="s">
        <v>39</v>
      </c>
      <c r="F1106" s="2" t="s">
        <v>1778</v>
      </c>
      <c r="G1106" s="2" t="s">
        <v>1717</v>
      </c>
      <c r="H1106" s="2"/>
      <c r="I1106" s="3">
        <f t="shared" si="17"/>
        <v>164</v>
      </c>
    </row>
    <row r="1107" spans="1:9" ht="24" x14ac:dyDescent="0.3">
      <c r="A1107" s="2" t="s">
        <v>146</v>
      </c>
      <c r="B1107" s="2" t="s">
        <v>5525</v>
      </c>
      <c r="C1107" s="2" t="s">
        <v>1326</v>
      </c>
      <c r="D1107" s="2" t="s">
        <v>5526</v>
      </c>
      <c r="E1107" s="2" t="s">
        <v>39</v>
      </c>
      <c r="F1107" s="2"/>
      <c r="G1107" s="2"/>
      <c r="H1107" s="2"/>
      <c r="I1107" s="3">
        <f t="shared" si="17"/>
        <v>166</v>
      </c>
    </row>
    <row r="1108" spans="1:9" ht="24" x14ac:dyDescent="0.3">
      <c r="A1108" s="2" t="s">
        <v>146</v>
      </c>
      <c r="B1108" s="2" t="s">
        <v>5527</v>
      </c>
      <c r="C1108" s="2" t="s">
        <v>5528</v>
      </c>
      <c r="D1108" s="2" t="s">
        <v>5529</v>
      </c>
      <c r="E1108" s="2" t="s">
        <v>4224</v>
      </c>
      <c r="F1108" s="2"/>
      <c r="G1108" s="2"/>
      <c r="H1108" s="2"/>
      <c r="I1108" s="3">
        <f t="shared" si="17"/>
        <v>166</v>
      </c>
    </row>
    <row r="1109" spans="1:9" ht="24" x14ac:dyDescent="0.3">
      <c r="A1109" s="2" t="s">
        <v>146</v>
      </c>
      <c r="B1109" s="2" t="s">
        <v>5534</v>
      </c>
      <c r="C1109" s="2" t="s">
        <v>1255</v>
      </c>
      <c r="D1109" s="2" t="s">
        <v>5535</v>
      </c>
      <c r="E1109" s="2" t="s">
        <v>39</v>
      </c>
      <c r="F1109" s="2"/>
      <c r="G1109" s="2"/>
      <c r="H1109" s="2"/>
      <c r="I1109" s="3">
        <f t="shared" si="17"/>
        <v>166</v>
      </c>
    </row>
    <row r="1110" spans="1:9" ht="24" x14ac:dyDescent="0.3">
      <c r="A1110" s="2" t="s">
        <v>146</v>
      </c>
      <c r="B1110" s="2" t="s">
        <v>5540</v>
      </c>
      <c r="C1110" s="2"/>
      <c r="D1110" s="2" t="s">
        <v>5541</v>
      </c>
      <c r="E1110" s="2" t="s">
        <v>39</v>
      </c>
      <c r="F1110" s="2"/>
      <c r="G1110" s="2"/>
      <c r="H1110" s="2"/>
      <c r="I1110" s="3">
        <f t="shared" si="17"/>
        <v>166</v>
      </c>
    </row>
    <row r="1111" spans="1:9" ht="24" x14ac:dyDescent="0.3">
      <c r="A1111" s="2" t="s">
        <v>146</v>
      </c>
      <c r="B1111" s="2" t="s">
        <v>5548</v>
      </c>
      <c r="C1111" s="2"/>
      <c r="D1111" s="2" t="s">
        <v>5549</v>
      </c>
      <c r="E1111" s="2" t="s">
        <v>39</v>
      </c>
      <c r="F1111" s="2"/>
      <c r="G1111" s="2"/>
      <c r="H1111" s="2"/>
      <c r="I1111" s="3">
        <f t="shared" si="17"/>
        <v>166</v>
      </c>
    </row>
    <row r="1112" spans="1:9" ht="24" x14ac:dyDescent="0.3">
      <c r="A1112" s="2" t="s">
        <v>146</v>
      </c>
      <c r="B1112" s="2" t="s">
        <v>5552</v>
      </c>
      <c r="C1112" s="2" t="s">
        <v>130</v>
      </c>
      <c r="D1112" s="2" t="s">
        <v>8784</v>
      </c>
      <c r="E1112" s="2" t="s">
        <v>3980</v>
      </c>
      <c r="F1112" s="2" t="s">
        <v>1778</v>
      </c>
      <c r="G1112" s="2" t="s">
        <v>1717</v>
      </c>
      <c r="H1112" s="2" t="s">
        <v>646</v>
      </c>
      <c r="I1112" s="3">
        <f t="shared" si="17"/>
        <v>164</v>
      </c>
    </row>
    <row r="1113" spans="1:9" ht="24" x14ac:dyDescent="0.3">
      <c r="A1113" s="2" t="s">
        <v>146</v>
      </c>
      <c r="B1113" s="2" t="s">
        <v>2452</v>
      </c>
      <c r="C1113" s="2"/>
      <c r="D1113" s="2" t="s">
        <v>5553</v>
      </c>
      <c r="E1113" s="2" t="s">
        <v>379</v>
      </c>
      <c r="F1113" s="2"/>
      <c r="G1113" s="2"/>
      <c r="H1113" s="2"/>
      <c r="I1113" s="3">
        <f t="shared" si="17"/>
        <v>166</v>
      </c>
    </row>
    <row r="1114" spans="1:9" ht="24" x14ac:dyDescent="0.3">
      <c r="A1114" s="2" t="s">
        <v>146</v>
      </c>
      <c r="B1114" s="2" t="s">
        <v>5554</v>
      </c>
      <c r="C1114" s="2" t="s">
        <v>1354</v>
      </c>
      <c r="D1114" s="2" t="s">
        <v>5555</v>
      </c>
      <c r="E1114" s="2" t="s">
        <v>2830</v>
      </c>
      <c r="F1114" s="2"/>
      <c r="G1114" s="2"/>
      <c r="H1114" s="2" t="s">
        <v>194</v>
      </c>
      <c r="I1114" s="3">
        <f t="shared" si="17"/>
        <v>166</v>
      </c>
    </row>
    <row r="1115" spans="1:9" ht="24" x14ac:dyDescent="0.3">
      <c r="A1115" s="2" t="s">
        <v>146</v>
      </c>
      <c r="B1115" s="2" t="s">
        <v>5559</v>
      </c>
      <c r="C1115" s="2" t="s">
        <v>515</v>
      </c>
      <c r="D1115" s="2" t="s">
        <v>5560</v>
      </c>
      <c r="E1115" s="2" t="s">
        <v>39</v>
      </c>
      <c r="F1115" s="2"/>
      <c r="G1115" s="2"/>
      <c r="H1115" s="2"/>
      <c r="I1115" s="3">
        <f t="shared" si="17"/>
        <v>167</v>
      </c>
    </row>
    <row r="1116" spans="1:9" ht="24" x14ac:dyDescent="0.3">
      <c r="A1116" s="2" t="s">
        <v>146</v>
      </c>
      <c r="B1116" s="2" t="s">
        <v>5561</v>
      </c>
      <c r="C1116" s="2" t="s">
        <v>491</v>
      </c>
      <c r="D1116" s="2" t="s">
        <v>5562</v>
      </c>
      <c r="E1116" s="2" t="s">
        <v>39</v>
      </c>
      <c r="F1116" s="2"/>
      <c r="G1116" s="2"/>
      <c r="H1116" s="2"/>
      <c r="I1116" s="3">
        <f t="shared" si="17"/>
        <v>167</v>
      </c>
    </row>
    <row r="1117" spans="1:9" ht="24" x14ac:dyDescent="0.3">
      <c r="A1117" s="2" t="s">
        <v>146</v>
      </c>
      <c r="B1117" s="2" t="s">
        <v>5563</v>
      </c>
      <c r="C1117" s="2"/>
      <c r="D1117" s="2" t="s">
        <v>5564</v>
      </c>
      <c r="E1117" s="2" t="s">
        <v>39</v>
      </c>
      <c r="F1117" s="2"/>
      <c r="G1117" s="2" t="s">
        <v>1717</v>
      </c>
      <c r="H1117" s="2"/>
      <c r="I1117" s="3">
        <f t="shared" si="17"/>
        <v>167</v>
      </c>
    </row>
    <row r="1118" spans="1:9" ht="24" x14ac:dyDescent="0.3">
      <c r="A1118" s="2" t="s">
        <v>146</v>
      </c>
      <c r="B1118" s="2" t="s">
        <v>3346</v>
      </c>
      <c r="C1118" s="2" t="s">
        <v>911</v>
      </c>
      <c r="D1118" s="2" t="s">
        <v>5565</v>
      </c>
      <c r="E1118" s="2" t="s">
        <v>39</v>
      </c>
      <c r="F1118" s="2"/>
      <c r="G1118" s="2"/>
      <c r="H1118" s="2"/>
      <c r="I1118" s="3">
        <f t="shared" si="17"/>
        <v>168</v>
      </c>
    </row>
    <row r="1119" spans="1:9" ht="24" x14ac:dyDescent="0.3">
      <c r="A1119" s="2" t="s">
        <v>146</v>
      </c>
      <c r="B1119" s="2" t="s">
        <v>5566</v>
      </c>
      <c r="C1119" s="2" t="s">
        <v>144</v>
      </c>
      <c r="D1119" s="2" t="s">
        <v>8785</v>
      </c>
      <c r="E1119" s="2" t="s">
        <v>39</v>
      </c>
      <c r="F1119" s="2" t="s">
        <v>1778</v>
      </c>
      <c r="G1119" s="2" t="s">
        <v>1717</v>
      </c>
      <c r="H1119" s="2"/>
      <c r="I1119" s="3">
        <f t="shared" si="17"/>
        <v>166</v>
      </c>
    </row>
    <row r="1120" spans="1:9" ht="24" x14ac:dyDescent="0.3">
      <c r="A1120" s="2" t="s">
        <v>146</v>
      </c>
      <c r="B1120" s="2" t="s">
        <v>5569</v>
      </c>
      <c r="C1120" s="2" t="s">
        <v>1201</v>
      </c>
      <c r="D1120" s="2" t="s">
        <v>5570</v>
      </c>
      <c r="E1120" s="2" t="s">
        <v>39</v>
      </c>
      <c r="F1120" s="2"/>
      <c r="G1120" s="2" t="s">
        <v>1717</v>
      </c>
      <c r="H1120" s="2"/>
      <c r="I1120" s="3">
        <f t="shared" si="17"/>
        <v>168</v>
      </c>
    </row>
    <row r="1121" spans="1:9" ht="24" x14ac:dyDescent="0.3">
      <c r="A1121" s="2" t="s">
        <v>146</v>
      </c>
      <c r="B1121" s="2" t="s">
        <v>5575</v>
      </c>
      <c r="C1121" s="2" t="s">
        <v>332</v>
      </c>
      <c r="D1121" s="2" t="s">
        <v>5576</v>
      </c>
      <c r="E1121" s="2" t="s">
        <v>39</v>
      </c>
      <c r="F1121" s="2"/>
      <c r="G1121" s="2"/>
      <c r="H1121" s="2"/>
      <c r="I1121" s="3">
        <f t="shared" si="17"/>
        <v>168</v>
      </c>
    </row>
    <row r="1122" spans="1:9" ht="24" x14ac:dyDescent="0.3">
      <c r="A1122" s="2" t="s">
        <v>146</v>
      </c>
      <c r="B1122" s="2" t="s">
        <v>5577</v>
      </c>
      <c r="C1122" s="2" t="s">
        <v>491</v>
      </c>
      <c r="D1122" s="2" t="s">
        <v>5578</v>
      </c>
      <c r="E1122" s="2" t="s">
        <v>39</v>
      </c>
      <c r="F1122" s="2"/>
      <c r="G1122" s="2"/>
      <c r="H1122" s="2"/>
      <c r="I1122" s="3">
        <f t="shared" si="17"/>
        <v>168</v>
      </c>
    </row>
    <row r="1123" spans="1:9" ht="24" x14ac:dyDescent="0.3">
      <c r="A1123" s="2" t="s">
        <v>146</v>
      </c>
      <c r="B1123" s="2" t="s">
        <v>5584</v>
      </c>
      <c r="C1123" s="2" t="s">
        <v>389</v>
      </c>
      <c r="D1123" s="2" t="s">
        <v>5585</v>
      </c>
      <c r="E1123" s="2" t="s">
        <v>39</v>
      </c>
      <c r="F1123" s="2"/>
      <c r="G1123" s="2"/>
      <c r="H1123" s="2"/>
      <c r="I1123" s="3">
        <f t="shared" si="17"/>
        <v>168</v>
      </c>
    </row>
    <row r="1124" spans="1:9" ht="24" x14ac:dyDescent="0.3">
      <c r="A1124" s="2" t="s">
        <v>146</v>
      </c>
      <c r="B1124" s="2" t="s">
        <v>5588</v>
      </c>
      <c r="C1124" s="2"/>
      <c r="D1124" s="2" t="s">
        <v>5589</v>
      </c>
      <c r="E1124" s="2" t="s">
        <v>39</v>
      </c>
      <c r="F1124" s="2"/>
      <c r="G1124" s="2"/>
      <c r="H1124" s="2" t="s">
        <v>646</v>
      </c>
      <c r="I1124" s="3">
        <f t="shared" si="17"/>
        <v>168</v>
      </c>
    </row>
    <row r="1125" spans="1:9" ht="24" x14ac:dyDescent="0.3">
      <c r="A1125" s="2" t="s">
        <v>146</v>
      </c>
      <c r="B1125" s="2" t="s">
        <v>5594</v>
      </c>
      <c r="C1125" s="2"/>
      <c r="D1125" s="2" t="s">
        <v>5595</v>
      </c>
      <c r="E1125" s="2" t="s">
        <v>39</v>
      </c>
      <c r="F1125" s="2"/>
      <c r="G1125" s="2"/>
      <c r="H1125" s="2"/>
      <c r="I1125" s="3">
        <f t="shared" si="17"/>
        <v>169</v>
      </c>
    </row>
    <row r="1126" spans="1:9" ht="24" x14ac:dyDescent="0.3">
      <c r="A1126" s="2" t="s">
        <v>146</v>
      </c>
      <c r="B1126" s="2" t="s">
        <v>5596</v>
      </c>
      <c r="C1126" s="2" t="s">
        <v>911</v>
      </c>
      <c r="D1126" s="2" t="s">
        <v>5597</v>
      </c>
      <c r="E1126" s="2" t="s">
        <v>39</v>
      </c>
      <c r="F1126" s="2"/>
      <c r="G1126" s="2"/>
      <c r="H1126" s="2"/>
      <c r="I1126" s="3">
        <f t="shared" si="17"/>
        <v>169</v>
      </c>
    </row>
    <row r="1127" spans="1:9" ht="24" x14ac:dyDescent="0.3">
      <c r="A1127" s="2" t="s">
        <v>146</v>
      </c>
      <c r="B1127" s="2" t="s">
        <v>5600</v>
      </c>
      <c r="C1127" s="2"/>
      <c r="D1127" s="2" t="s">
        <v>5601</v>
      </c>
      <c r="E1127" s="2" t="s">
        <v>39</v>
      </c>
      <c r="F1127" s="2"/>
      <c r="G1127" s="2"/>
      <c r="H1127" s="2"/>
      <c r="I1127" s="3">
        <f t="shared" si="17"/>
        <v>169</v>
      </c>
    </row>
    <row r="1128" spans="1:9" ht="24" x14ac:dyDescent="0.3">
      <c r="A1128" s="2" t="s">
        <v>146</v>
      </c>
      <c r="B1128" s="2" t="s">
        <v>3673</v>
      </c>
      <c r="C1128" s="2" t="s">
        <v>911</v>
      </c>
      <c r="D1128" s="2" t="s">
        <v>8786</v>
      </c>
      <c r="E1128" s="2" t="s">
        <v>1188</v>
      </c>
      <c r="F1128" s="2" t="s">
        <v>1778</v>
      </c>
      <c r="G1128" s="2" t="s">
        <v>1717</v>
      </c>
      <c r="H1128" s="2"/>
      <c r="I1128" s="3">
        <f t="shared" si="17"/>
        <v>167</v>
      </c>
    </row>
    <row r="1129" spans="1:9" ht="24" x14ac:dyDescent="0.3">
      <c r="A1129" s="2" t="s">
        <v>146</v>
      </c>
      <c r="B1129" s="2" t="s">
        <v>2056</v>
      </c>
      <c r="C1129" s="2" t="s">
        <v>5603</v>
      </c>
      <c r="D1129" s="2" t="s">
        <v>5604</v>
      </c>
      <c r="E1129" s="2" t="s">
        <v>5605</v>
      </c>
      <c r="F1129" s="2"/>
      <c r="G1129" s="2"/>
      <c r="H1129" s="2"/>
      <c r="I1129" s="3">
        <f t="shared" si="17"/>
        <v>170</v>
      </c>
    </row>
    <row r="1130" spans="1:9" ht="24" x14ac:dyDescent="0.3">
      <c r="A1130" s="2" t="s">
        <v>146</v>
      </c>
      <c r="B1130" s="2" t="s">
        <v>5606</v>
      </c>
      <c r="C1130" s="2"/>
      <c r="D1130" s="2" t="s">
        <v>5607</v>
      </c>
      <c r="E1130" s="2" t="s">
        <v>39</v>
      </c>
      <c r="F1130" s="2"/>
      <c r="G1130" s="2"/>
      <c r="H1130" s="2" t="s">
        <v>1176</v>
      </c>
      <c r="I1130" s="3">
        <f t="shared" si="17"/>
        <v>170</v>
      </c>
    </row>
    <row r="1131" spans="1:9" ht="24" x14ac:dyDescent="0.3">
      <c r="A1131" s="2" t="s">
        <v>146</v>
      </c>
      <c r="B1131" s="2" t="s">
        <v>1681</v>
      </c>
      <c r="C1131" s="2" t="s">
        <v>95</v>
      </c>
      <c r="D1131" s="2" t="s">
        <v>5619</v>
      </c>
      <c r="E1131" s="2" t="s">
        <v>39</v>
      </c>
      <c r="F1131" s="2"/>
      <c r="G1131" s="2"/>
      <c r="H1131" s="2"/>
      <c r="I1131" s="3">
        <f t="shared" si="17"/>
        <v>171</v>
      </c>
    </row>
    <row r="1132" spans="1:9" ht="24" x14ac:dyDescent="0.3">
      <c r="A1132" s="2" t="s">
        <v>146</v>
      </c>
      <c r="B1132" s="2" t="s">
        <v>5621</v>
      </c>
      <c r="C1132" s="2" t="s">
        <v>4840</v>
      </c>
      <c r="D1132" s="2" t="s">
        <v>8787</v>
      </c>
      <c r="E1132" s="2" t="s">
        <v>39</v>
      </c>
      <c r="F1132" s="2" t="s">
        <v>1778</v>
      </c>
      <c r="G1132" s="2" t="s">
        <v>1717</v>
      </c>
      <c r="H1132" s="2"/>
      <c r="I1132" s="3">
        <f t="shared" si="17"/>
        <v>169</v>
      </c>
    </row>
    <row r="1133" spans="1:9" ht="24" x14ac:dyDescent="0.3">
      <c r="A1133" s="2" t="s">
        <v>146</v>
      </c>
      <c r="B1133" s="2" t="s">
        <v>4820</v>
      </c>
      <c r="C1133" s="2" t="s">
        <v>515</v>
      </c>
      <c r="D1133" s="2" t="s">
        <v>5622</v>
      </c>
      <c r="E1133" s="2" t="s">
        <v>39</v>
      </c>
      <c r="F1133" s="2"/>
      <c r="G1133" s="2"/>
      <c r="H1133" s="2"/>
      <c r="I1133" s="3">
        <f t="shared" si="17"/>
        <v>171</v>
      </c>
    </row>
    <row r="1134" spans="1:9" ht="24" x14ac:dyDescent="0.3">
      <c r="A1134" s="2" t="s">
        <v>146</v>
      </c>
      <c r="B1134" s="2" t="s">
        <v>2892</v>
      </c>
      <c r="C1134" s="2" t="s">
        <v>214</v>
      </c>
      <c r="D1134" s="2" t="s">
        <v>5623</v>
      </c>
      <c r="E1134" s="2" t="s">
        <v>39</v>
      </c>
      <c r="F1134" s="2"/>
      <c r="G1134" s="2" t="s">
        <v>3082</v>
      </c>
      <c r="H1134" s="2"/>
      <c r="I1134" s="3">
        <f t="shared" si="17"/>
        <v>171</v>
      </c>
    </row>
    <row r="1135" spans="1:9" ht="24" x14ac:dyDescent="0.3">
      <c r="A1135" s="2" t="s">
        <v>146</v>
      </c>
      <c r="B1135" s="2" t="s">
        <v>5624</v>
      </c>
      <c r="C1135" s="2" t="s">
        <v>389</v>
      </c>
      <c r="D1135" s="2" t="s">
        <v>5625</v>
      </c>
      <c r="E1135" s="2" t="s">
        <v>39</v>
      </c>
      <c r="F1135" s="2"/>
      <c r="G1135" s="2"/>
      <c r="H1135" s="2"/>
      <c r="I1135" s="3">
        <f t="shared" si="17"/>
        <v>171</v>
      </c>
    </row>
    <row r="1136" spans="1:9" ht="24" x14ac:dyDescent="0.3">
      <c r="A1136" s="2" t="s">
        <v>146</v>
      </c>
      <c r="B1136" s="2" t="s">
        <v>5626</v>
      </c>
      <c r="C1136" s="2" t="s">
        <v>911</v>
      </c>
      <c r="D1136" s="2" t="s">
        <v>8788</v>
      </c>
      <c r="E1136" s="2" t="s">
        <v>2830</v>
      </c>
      <c r="F1136" s="2" t="s">
        <v>4117</v>
      </c>
      <c r="G1136" s="2" t="s">
        <v>1717</v>
      </c>
      <c r="H1136" s="2"/>
      <c r="I1136" s="3">
        <f t="shared" si="17"/>
        <v>169</v>
      </c>
    </row>
    <row r="1137" spans="1:9" ht="24" x14ac:dyDescent="0.3">
      <c r="A1137" s="2" t="s">
        <v>146</v>
      </c>
      <c r="B1137" s="2" t="s">
        <v>5627</v>
      </c>
      <c r="C1137" s="2" t="s">
        <v>1354</v>
      </c>
      <c r="D1137" s="2" t="s">
        <v>5628</v>
      </c>
      <c r="E1137" s="2" t="s">
        <v>39</v>
      </c>
      <c r="F1137" s="2"/>
      <c r="G1137" s="2"/>
      <c r="H1137" s="2" t="s">
        <v>194</v>
      </c>
      <c r="I1137" s="3">
        <f t="shared" si="17"/>
        <v>171</v>
      </c>
    </row>
    <row r="1138" spans="1:9" ht="24" x14ac:dyDescent="0.3">
      <c r="A1138" s="2" t="s">
        <v>146</v>
      </c>
      <c r="B1138" s="2" t="s">
        <v>5634</v>
      </c>
      <c r="C1138" s="2" t="s">
        <v>5635</v>
      </c>
      <c r="D1138" s="2" t="s">
        <v>8789</v>
      </c>
      <c r="E1138" s="2" t="s">
        <v>39</v>
      </c>
      <c r="F1138" s="2" t="s">
        <v>2281</v>
      </c>
      <c r="G1138" s="2" t="s">
        <v>1717</v>
      </c>
      <c r="H1138" s="2"/>
      <c r="I1138" s="3">
        <f t="shared" si="17"/>
        <v>170</v>
      </c>
    </row>
    <row r="1139" spans="1:9" ht="24" x14ac:dyDescent="0.3">
      <c r="A1139" s="2" t="s">
        <v>146</v>
      </c>
      <c r="B1139" s="2" t="s">
        <v>5642</v>
      </c>
      <c r="C1139" s="2" t="s">
        <v>437</v>
      </c>
      <c r="D1139" s="2" t="s">
        <v>5643</v>
      </c>
      <c r="E1139" s="2"/>
      <c r="F1139" s="2"/>
      <c r="G1139" s="2"/>
      <c r="H1139" s="2"/>
      <c r="I1139" s="3">
        <f t="shared" si="17"/>
        <v>172</v>
      </c>
    </row>
    <row r="1140" spans="1:9" ht="24" x14ac:dyDescent="0.3">
      <c r="A1140" s="2" t="s">
        <v>146</v>
      </c>
      <c r="B1140" s="2" t="s">
        <v>5647</v>
      </c>
      <c r="C1140" s="2" t="s">
        <v>1201</v>
      </c>
      <c r="D1140" s="2" t="s">
        <v>5648</v>
      </c>
      <c r="E1140" s="2"/>
      <c r="F1140" s="2"/>
      <c r="G1140" s="2"/>
      <c r="H1140" s="2" t="s">
        <v>646</v>
      </c>
      <c r="I1140" s="3">
        <f t="shared" si="17"/>
        <v>172</v>
      </c>
    </row>
    <row r="1141" spans="1:9" ht="24" x14ac:dyDescent="0.3">
      <c r="A1141" s="2" t="s">
        <v>146</v>
      </c>
      <c r="B1141" s="2" t="s">
        <v>5662</v>
      </c>
      <c r="C1141" s="2" t="s">
        <v>637</v>
      </c>
      <c r="D1141" s="2" t="s">
        <v>8790</v>
      </c>
      <c r="E1141" s="2" t="s">
        <v>39</v>
      </c>
      <c r="F1141" s="2" t="s">
        <v>2281</v>
      </c>
      <c r="G1141" s="2" t="s">
        <v>4507</v>
      </c>
      <c r="H1141" s="2"/>
      <c r="I1141" s="3">
        <f t="shared" si="17"/>
        <v>171</v>
      </c>
    </row>
    <row r="1142" spans="1:9" ht="24" x14ac:dyDescent="0.3">
      <c r="A1142" s="2" t="s">
        <v>146</v>
      </c>
      <c r="B1142" s="2" t="s">
        <v>5664</v>
      </c>
      <c r="C1142" s="2"/>
      <c r="D1142" s="2" t="s">
        <v>5665</v>
      </c>
      <c r="E1142" s="2" t="s">
        <v>39</v>
      </c>
      <c r="F1142" s="2"/>
      <c r="G1142" s="2"/>
      <c r="H1142" s="2"/>
      <c r="I1142" s="3">
        <f t="shared" si="17"/>
        <v>173</v>
      </c>
    </row>
    <row r="1143" spans="1:9" ht="24" x14ac:dyDescent="0.3">
      <c r="A1143" s="2" t="s">
        <v>146</v>
      </c>
      <c r="B1143" s="2" t="s">
        <v>5668</v>
      </c>
      <c r="C1143" s="2" t="s">
        <v>437</v>
      </c>
      <c r="D1143" s="2" t="s">
        <v>5669</v>
      </c>
      <c r="E1143" s="2" t="s">
        <v>39</v>
      </c>
      <c r="F1143" s="2"/>
      <c r="G1143" s="2"/>
      <c r="H1143" s="2"/>
      <c r="I1143" s="3">
        <f t="shared" si="17"/>
        <v>173</v>
      </c>
    </row>
    <row r="1144" spans="1:9" ht="24" x14ac:dyDescent="0.3">
      <c r="A1144" s="2" t="s">
        <v>146</v>
      </c>
      <c r="B1144" s="2" t="s">
        <v>5670</v>
      </c>
      <c r="C1144" s="2" t="s">
        <v>75</v>
      </c>
      <c r="D1144" s="2" t="s">
        <v>5671</v>
      </c>
      <c r="E1144" s="2" t="s">
        <v>39</v>
      </c>
      <c r="F1144" s="2"/>
      <c r="G1144" s="2"/>
      <c r="H1144" s="2"/>
      <c r="I1144" s="3">
        <f t="shared" si="17"/>
        <v>173</v>
      </c>
    </row>
    <row r="1145" spans="1:9" ht="24" x14ac:dyDescent="0.3">
      <c r="A1145" s="2" t="s">
        <v>146</v>
      </c>
      <c r="B1145" s="2" t="s">
        <v>5673</v>
      </c>
      <c r="C1145" s="2"/>
      <c r="D1145" s="2" t="s">
        <v>5674</v>
      </c>
      <c r="E1145" s="2" t="s">
        <v>39</v>
      </c>
      <c r="F1145" s="2"/>
      <c r="G1145" s="2"/>
      <c r="H1145" s="2"/>
      <c r="I1145" s="3">
        <f t="shared" si="17"/>
        <v>174</v>
      </c>
    </row>
    <row r="1146" spans="1:9" ht="24" x14ac:dyDescent="0.3">
      <c r="A1146" s="2" t="s">
        <v>146</v>
      </c>
      <c r="B1146" s="2" t="s">
        <v>3311</v>
      </c>
      <c r="C1146" s="2" t="s">
        <v>214</v>
      </c>
      <c r="D1146" s="2" t="s">
        <v>5685</v>
      </c>
      <c r="E1146" s="2" t="s">
        <v>39</v>
      </c>
      <c r="F1146" s="2"/>
      <c r="G1146" s="2"/>
      <c r="H1146" s="2"/>
      <c r="I1146" s="3">
        <f t="shared" si="17"/>
        <v>174</v>
      </c>
    </row>
    <row r="1147" spans="1:9" ht="24" x14ac:dyDescent="0.3">
      <c r="A1147" s="2" t="s">
        <v>146</v>
      </c>
      <c r="B1147" s="2" t="s">
        <v>5686</v>
      </c>
      <c r="C1147" s="2" t="s">
        <v>1354</v>
      </c>
      <c r="D1147" s="2" t="s">
        <v>5687</v>
      </c>
      <c r="E1147" s="2" t="s">
        <v>39</v>
      </c>
      <c r="F1147" s="2"/>
      <c r="G1147" s="2"/>
      <c r="H1147" s="2" t="s">
        <v>194</v>
      </c>
      <c r="I1147" s="3">
        <f t="shared" si="17"/>
        <v>174</v>
      </c>
    </row>
    <row r="1148" spans="1:9" ht="24" x14ac:dyDescent="0.3">
      <c r="A1148" s="2" t="s">
        <v>146</v>
      </c>
      <c r="B1148" s="2" t="s">
        <v>5700</v>
      </c>
      <c r="C1148" s="2" t="s">
        <v>332</v>
      </c>
      <c r="D1148" s="2" t="s">
        <v>5701</v>
      </c>
      <c r="E1148" s="2" t="s">
        <v>211</v>
      </c>
      <c r="F1148" s="2"/>
      <c r="G1148" s="2"/>
      <c r="H1148" s="2"/>
      <c r="I1148" s="3">
        <f t="shared" si="17"/>
        <v>175</v>
      </c>
    </row>
    <row r="1149" spans="1:9" ht="24" x14ac:dyDescent="0.3">
      <c r="A1149" s="2" t="s">
        <v>146</v>
      </c>
      <c r="B1149" s="2" t="s">
        <v>5518</v>
      </c>
      <c r="C1149" s="2" t="s">
        <v>437</v>
      </c>
      <c r="D1149" s="2" t="s">
        <v>5705</v>
      </c>
      <c r="E1149" s="2" t="s">
        <v>616</v>
      </c>
      <c r="F1149" s="2"/>
      <c r="G1149" s="2"/>
      <c r="H1149" s="2"/>
      <c r="I1149" s="3">
        <f t="shared" si="17"/>
        <v>175</v>
      </c>
    </row>
    <row r="1150" spans="1:9" ht="24" x14ac:dyDescent="0.3">
      <c r="A1150" s="2" t="s">
        <v>146</v>
      </c>
      <c r="B1150" s="2" t="s">
        <v>3030</v>
      </c>
      <c r="C1150" s="2" t="s">
        <v>535</v>
      </c>
      <c r="D1150" s="2" t="s">
        <v>5708</v>
      </c>
      <c r="E1150" s="2" t="s">
        <v>39</v>
      </c>
      <c r="F1150" s="2"/>
      <c r="G1150" s="2"/>
      <c r="H1150" s="2" t="s">
        <v>537</v>
      </c>
      <c r="I1150" s="3">
        <f t="shared" si="17"/>
        <v>175</v>
      </c>
    </row>
    <row r="1151" spans="1:9" ht="24" x14ac:dyDescent="0.3">
      <c r="A1151" s="2" t="s">
        <v>146</v>
      </c>
      <c r="B1151" s="2" t="s">
        <v>5709</v>
      </c>
      <c r="C1151" s="2"/>
      <c r="D1151" s="2" t="s">
        <v>5710</v>
      </c>
      <c r="E1151" s="2" t="s">
        <v>39</v>
      </c>
      <c r="F1151" s="2"/>
      <c r="G1151" s="2"/>
      <c r="H1151" s="2"/>
      <c r="I1151" s="3">
        <f t="shared" si="17"/>
        <v>175</v>
      </c>
    </row>
    <row r="1152" spans="1:9" ht="24" x14ac:dyDescent="0.3">
      <c r="A1152" s="2" t="s">
        <v>146</v>
      </c>
      <c r="B1152" s="2" t="s">
        <v>5711</v>
      </c>
      <c r="C1152" s="2" t="s">
        <v>57</v>
      </c>
      <c r="D1152" s="2" t="s">
        <v>8791</v>
      </c>
      <c r="E1152" s="2" t="s">
        <v>39</v>
      </c>
      <c r="F1152" s="2" t="s">
        <v>1778</v>
      </c>
      <c r="G1152" s="2" t="s">
        <v>1717</v>
      </c>
      <c r="H1152" s="2"/>
      <c r="I1152" s="3">
        <f t="shared" si="17"/>
        <v>173</v>
      </c>
    </row>
    <row r="1153" spans="1:9" ht="24" x14ac:dyDescent="0.3">
      <c r="A1153" s="2" t="s">
        <v>146</v>
      </c>
      <c r="B1153" s="2" t="s">
        <v>2780</v>
      </c>
      <c r="C1153" s="2" t="s">
        <v>515</v>
      </c>
      <c r="D1153" s="2" t="s">
        <v>5724</v>
      </c>
      <c r="E1153" s="2" t="s">
        <v>39</v>
      </c>
      <c r="F1153" s="2"/>
      <c r="G1153" s="2"/>
      <c r="H1153" s="2"/>
      <c r="I1153" s="3">
        <f t="shared" si="17"/>
        <v>176</v>
      </c>
    </row>
    <row r="1154" spans="1:9" ht="24" x14ac:dyDescent="0.3">
      <c r="A1154" s="2" t="s">
        <v>146</v>
      </c>
      <c r="B1154" s="2" t="s">
        <v>3758</v>
      </c>
      <c r="C1154" s="3" t="s">
        <v>3759</v>
      </c>
      <c r="D1154" s="2" t="s">
        <v>5725</v>
      </c>
      <c r="E1154" s="2" t="s">
        <v>39</v>
      </c>
      <c r="F1154" s="2"/>
      <c r="G1154" s="2"/>
      <c r="H1154" s="2"/>
      <c r="I1154" s="3">
        <f t="shared" ref="I1154:I1217" si="18">LEN(D1154)</f>
        <v>176</v>
      </c>
    </row>
    <row r="1155" spans="1:9" ht="24" x14ac:dyDescent="0.3">
      <c r="A1155" s="2" t="s">
        <v>146</v>
      </c>
      <c r="B1155" s="2" t="s">
        <v>5726</v>
      </c>
      <c r="C1155" s="2" t="s">
        <v>691</v>
      </c>
      <c r="D1155" s="2" t="s">
        <v>5727</v>
      </c>
      <c r="E1155" s="2" t="s">
        <v>39</v>
      </c>
      <c r="F1155" s="2"/>
      <c r="G1155" s="2"/>
      <c r="H1155" s="2" t="s">
        <v>646</v>
      </c>
      <c r="I1155" s="3">
        <f t="shared" si="18"/>
        <v>176</v>
      </c>
    </row>
    <row r="1156" spans="1:9" ht="24" x14ac:dyDescent="0.3">
      <c r="A1156" s="2" t="s">
        <v>146</v>
      </c>
      <c r="B1156" s="2" t="s">
        <v>5730</v>
      </c>
      <c r="C1156" s="2" t="s">
        <v>544</v>
      </c>
      <c r="D1156" s="2" t="s">
        <v>5731</v>
      </c>
      <c r="E1156" s="2" t="s">
        <v>39</v>
      </c>
      <c r="F1156" s="2"/>
      <c r="G1156" s="2"/>
      <c r="H1156" s="2"/>
      <c r="I1156" s="3">
        <f t="shared" si="18"/>
        <v>176</v>
      </c>
    </row>
    <row r="1157" spans="1:9" ht="24" x14ac:dyDescent="0.3">
      <c r="A1157" s="2" t="s">
        <v>146</v>
      </c>
      <c r="B1157" s="2" t="s">
        <v>4431</v>
      </c>
      <c r="C1157" s="2" t="s">
        <v>911</v>
      </c>
      <c r="D1157" s="2" t="s">
        <v>8792</v>
      </c>
      <c r="E1157" s="2" t="s">
        <v>5732</v>
      </c>
      <c r="F1157" s="2" t="s">
        <v>1778</v>
      </c>
      <c r="G1157" s="2" t="s">
        <v>1717</v>
      </c>
      <c r="H1157" s="2"/>
      <c r="I1157" s="3">
        <f t="shared" si="18"/>
        <v>174</v>
      </c>
    </row>
    <row r="1158" spans="1:9" ht="24" x14ac:dyDescent="0.3">
      <c r="A1158" s="2" t="s">
        <v>146</v>
      </c>
      <c r="B1158" s="2" t="s">
        <v>5733</v>
      </c>
      <c r="C1158" s="2" t="s">
        <v>2531</v>
      </c>
      <c r="D1158" s="2" t="s">
        <v>8793</v>
      </c>
      <c r="E1158" s="2" t="s">
        <v>39</v>
      </c>
      <c r="F1158" s="2" t="s">
        <v>1778</v>
      </c>
      <c r="G1158" s="2" t="s">
        <v>1717</v>
      </c>
      <c r="H1158" s="2"/>
      <c r="I1158" s="3">
        <f t="shared" si="18"/>
        <v>175</v>
      </c>
    </row>
    <row r="1159" spans="1:9" ht="24" x14ac:dyDescent="0.3">
      <c r="A1159" s="2" t="s">
        <v>146</v>
      </c>
      <c r="B1159" s="2" t="s">
        <v>2056</v>
      </c>
      <c r="C1159" s="2" t="s">
        <v>1553</v>
      </c>
      <c r="D1159" s="2" t="s">
        <v>5734</v>
      </c>
      <c r="E1159" s="2" t="s">
        <v>5605</v>
      </c>
      <c r="F1159" s="2"/>
      <c r="G1159" s="2"/>
      <c r="H1159" s="2"/>
      <c r="I1159" s="3">
        <f t="shared" si="18"/>
        <v>177</v>
      </c>
    </row>
    <row r="1160" spans="1:9" ht="24" x14ac:dyDescent="0.3">
      <c r="A1160" s="2" t="s">
        <v>146</v>
      </c>
      <c r="B1160" s="2" t="s">
        <v>5741</v>
      </c>
      <c r="C1160" s="2"/>
      <c r="D1160" s="2" t="s">
        <v>5742</v>
      </c>
      <c r="E1160" s="2" t="s">
        <v>39</v>
      </c>
      <c r="F1160" s="2"/>
      <c r="G1160" s="2"/>
      <c r="H1160" s="2" t="s">
        <v>194</v>
      </c>
      <c r="I1160" s="3">
        <f t="shared" si="18"/>
        <v>177</v>
      </c>
    </row>
    <row r="1161" spans="1:9" ht="24" x14ac:dyDescent="0.3">
      <c r="A1161" s="2" t="s">
        <v>146</v>
      </c>
      <c r="B1161" s="2" t="s">
        <v>5746</v>
      </c>
      <c r="C1161" s="2" t="s">
        <v>491</v>
      </c>
      <c r="D1161" s="2" t="s">
        <v>5747</v>
      </c>
      <c r="E1161" s="2" t="s">
        <v>39</v>
      </c>
      <c r="F1161" s="2"/>
      <c r="G1161" s="2"/>
      <c r="H1161" s="2"/>
      <c r="I1161" s="3">
        <f t="shared" si="18"/>
        <v>177</v>
      </c>
    </row>
    <row r="1162" spans="1:9" ht="24" x14ac:dyDescent="0.3">
      <c r="A1162" s="2" t="s">
        <v>146</v>
      </c>
      <c r="B1162" s="2" t="s">
        <v>1366</v>
      </c>
      <c r="C1162" s="2" t="s">
        <v>5748</v>
      </c>
      <c r="D1162" s="2" t="s">
        <v>8794</v>
      </c>
      <c r="E1162" s="2" t="s">
        <v>2709</v>
      </c>
      <c r="F1162" s="2" t="s">
        <v>1778</v>
      </c>
      <c r="G1162" s="2" t="s">
        <v>1717</v>
      </c>
      <c r="H1162" s="2" t="s">
        <v>86</v>
      </c>
      <c r="I1162" s="3">
        <f t="shared" si="18"/>
        <v>175</v>
      </c>
    </row>
    <row r="1163" spans="1:9" ht="24" x14ac:dyDescent="0.3">
      <c r="A1163" s="2" t="s">
        <v>146</v>
      </c>
      <c r="B1163" s="2" t="s">
        <v>5749</v>
      </c>
      <c r="C1163" s="2"/>
      <c r="D1163" s="2" t="s">
        <v>5750</v>
      </c>
      <c r="E1163" s="2" t="s">
        <v>39</v>
      </c>
      <c r="F1163" s="2"/>
      <c r="G1163" s="2"/>
      <c r="H1163" s="2"/>
      <c r="I1163" s="3">
        <f t="shared" si="18"/>
        <v>177</v>
      </c>
    </row>
    <row r="1164" spans="1:9" ht="24" x14ac:dyDescent="0.3">
      <c r="A1164" s="2" t="s">
        <v>146</v>
      </c>
      <c r="B1164" s="2" t="s">
        <v>5751</v>
      </c>
      <c r="C1164" s="2" t="s">
        <v>64</v>
      </c>
      <c r="D1164" s="2" t="s">
        <v>8795</v>
      </c>
      <c r="E1164" s="2" t="s">
        <v>39</v>
      </c>
      <c r="F1164" s="2" t="s">
        <v>1778</v>
      </c>
      <c r="G1164" s="2" t="s">
        <v>1717</v>
      </c>
      <c r="H1164" s="2"/>
      <c r="I1164" s="3">
        <f t="shared" si="18"/>
        <v>175</v>
      </c>
    </row>
    <row r="1165" spans="1:9" ht="24" x14ac:dyDescent="0.3">
      <c r="A1165" s="2" t="s">
        <v>146</v>
      </c>
      <c r="B1165" s="2" t="s">
        <v>804</v>
      </c>
      <c r="C1165" s="2" t="s">
        <v>130</v>
      </c>
      <c r="D1165" s="2" t="s">
        <v>8796</v>
      </c>
      <c r="E1165" s="2" t="s">
        <v>39</v>
      </c>
      <c r="F1165" s="2" t="s">
        <v>1778</v>
      </c>
      <c r="G1165" s="2" t="s">
        <v>1717</v>
      </c>
      <c r="H1165" s="2"/>
      <c r="I1165" s="3">
        <f t="shared" si="18"/>
        <v>176</v>
      </c>
    </row>
    <row r="1166" spans="1:9" ht="24" x14ac:dyDescent="0.3">
      <c r="A1166" s="2" t="s">
        <v>146</v>
      </c>
      <c r="B1166" s="2" t="s">
        <v>5297</v>
      </c>
      <c r="C1166" s="2" t="s">
        <v>1201</v>
      </c>
      <c r="D1166" s="2" t="s">
        <v>5754</v>
      </c>
      <c r="E1166" s="2" t="s">
        <v>39</v>
      </c>
      <c r="F1166" s="2"/>
      <c r="G1166" s="2" t="s">
        <v>1717</v>
      </c>
      <c r="H1166" s="2"/>
      <c r="I1166" s="3">
        <f t="shared" si="18"/>
        <v>178</v>
      </c>
    </row>
    <row r="1167" spans="1:9" ht="24" x14ac:dyDescent="0.3">
      <c r="A1167" s="2" t="s">
        <v>146</v>
      </c>
      <c r="B1167" s="2" t="s">
        <v>1630</v>
      </c>
      <c r="C1167" s="2" t="s">
        <v>116</v>
      </c>
      <c r="D1167" s="2" t="s">
        <v>5764</v>
      </c>
      <c r="E1167" s="2"/>
      <c r="F1167" s="2"/>
      <c r="G1167" s="2"/>
      <c r="H1167" s="2" t="s">
        <v>646</v>
      </c>
      <c r="I1167" s="3">
        <f t="shared" si="18"/>
        <v>178</v>
      </c>
    </row>
    <row r="1168" spans="1:9" ht="24" x14ac:dyDescent="0.3">
      <c r="A1168" s="2" t="s">
        <v>146</v>
      </c>
      <c r="B1168" s="2" t="s">
        <v>403</v>
      </c>
      <c r="C1168" s="2" t="s">
        <v>491</v>
      </c>
      <c r="D1168" s="2" t="s">
        <v>5767</v>
      </c>
      <c r="E1168" s="2" t="s">
        <v>39</v>
      </c>
      <c r="F1168" s="2"/>
      <c r="G1168" s="2"/>
      <c r="H1168" s="2"/>
      <c r="I1168" s="3">
        <f t="shared" si="18"/>
        <v>178</v>
      </c>
    </row>
    <row r="1169" spans="1:9" ht="24" x14ac:dyDescent="0.3">
      <c r="A1169" s="2" t="s">
        <v>146</v>
      </c>
      <c r="B1169" s="2" t="s">
        <v>5773</v>
      </c>
      <c r="C1169" s="2" t="s">
        <v>559</v>
      </c>
      <c r="D1169" s="2" t="s">
        <v>5774</v>
      </c>
      <c r="E1169" s="2" t="s">
        <v>39</v>
      </c>
      <c r="F1169" s="2"/>
      <c r="G1169" s="2"/>
      <c r="H1169" s="2"/>
      <c r="I1169" s="3">
        <f t="shared" si="18"/>
        <v>178</v>
      </c>
    </row>
    <row r="1170" spans="1:9" ht="24" x14ac:dyDescent="0.3">
      <c r="A1170" s="2" t="s">
        <v>146</v>
      </c>
      <c r="B1170" s="2" t="s">
        <v>5775</v>
      </c>
      <c r="C1170" s="2" t="s">
        <v>491</v>
      </c>
      <c r="D1170" s="2" t="s">
        <v>5776</v>
      </c>
      <c r="E1170" s="2" t="s">
        <v>379</v>
      </c>
      <c r="F1170" s="2"/>
      <c r="G1170" s="2"/>
      <c r="H1170" s="2"/>
      <c r="I1170" s="3">
        <f t="shared" si="18"/>
        <v>178</v>
      </c>
    </row>
    <row r="1171" spans="1:9" ht="24" x14ac:dyDescent="0.3">
      <c r="A1171" s="2" t="s">
        <v>146</v>
      </c>
      <c r="B1171" s="2" t="s">
        <v>5777</v>
      </c>
      <c r="C1171" s="2" t="s">
        <v>5778</v>
      </c>
      <c r="D1171" s="2" t="s">
        <v>8797</v>
      </c>
      <c r="E1171" s="2" t="s">
        <v>39</v>
      </c>
      <c r="F1171" s="2" t="s">
        <v>1778</v>
      </c>
      <c r="G1171" s="2" t="s">
        <v>1717</v>
      </c>
      <c r="H1171" s="2"/>
      <c r="I1171" s="3">
        <f t="shared" si="18"/>
        <v>177</v>
      </c>
    </row>
    <row r="1172" spans="1:9" ht="24" x14ac:dyDescent="0.3">
      <c r="A1172" s="2" t="s">
        <v>146</v>
      </c>
      <c r="B1172" s="2" t="s">
        <v>5779</v>
      </c>
      <c r="C1172" s="2" t="s">
        <v>911</v>
      </c>
      <c r="D1172" s="2" t="s">
        <v>8798</v>
      </c>
      <c r="E1172" s="2" t="s">
        <v>3700</v>
      </c>
      <c r="F1172" s="2" t="s">
        <v>4117</v>
      </c>
      <c r="G1172" s="2" t="s">
        <v>350</v>
      </c>
      <c r="H1172" s="2"/>
      <c r="I1172" s="3">
        <f t="shared" si="18"/>
        <v>177</v>
      </c>
    </row>
    <row r="1173" spans="1:9" ht="24" x14ac:dyDescent="0.3">
      <c r="A1173" s="2" t="s">
        <v>146</v>
      </c>
      <c r="B1173" s="2" t="s">
        <v>5791</v>
      </c>
      <c r="C1173" s="2" t="s">
        <v>515</v>
      </c>
      <c r="D1173" s="2" t="s">
        <v>5792</v>
      </c>
      <c r="E1173" s="2" t="s">
        <v>39</v>
      </c>
      <c r="F1173" s="2"/>
      <c r="G1173" s="2"/>
      <c r="H1173" s="2"/>
      <c r="I1173" s="3">
        <f t="shared" si="18"/>
        <v>179</v>
      </c>
    </row>
    <row r="1174" spans="1:9" ht="24" x14ac:dyDescent="0.3">
      <c r="A1174" s="2" t="s">
        <v>146</v>
      </c>
      <c r="B1174" s="2" t="s">
        <v>2230</v>
      </c>
      <c r="C1174" s="2" t="s">
        <v>515</v>
      </c>
      <c r="D1174" s="2" t="s">
        <v>5793</v>
      </c>
      <c r="E1174" s="2" t="s">
        <v>39</v>
      </c>
      <c r="F1174" s="2"/>
      <c r="G1174" s="2"/>
      <c r="H1174" s="2"/>
      <c r="I1174" s="3">
        <f t="shared" si="18"/>
        <v>179</v>
      </c>
    </row>
    <row r="1175" spans="1:9" ht="24" x14ac:dyDescent="0.3">
      <c r="A1175" s="2" t="s">
        <v>146</v>
      </c>
      <c r="B1175" s="2" t="s">
        <v>5794</v>
      </c>
      <c r="C1175" s="2" t="s">
        <v>515</v>
      </c>
      <c r="D1175" s="2" t="s">
        <v>5795</v>
      </c>
      <c r="E1175" s="2" t="s">
        <v>39</v>
      </c>
      <c r="F1175" s="2"/>
      <c r="G1175" s="2"/>
      <c r="H1175" s="2"/>
      <c r="I1175" s="3">
        <f t="shared" si="18"/>
        <v>179</v>
      </c>
    </row>
    <row r="1176" spans="1:9" ht="24" x14ac:dyDescent="0.3">
      <c r="A1176" s="2" t="s">
        <v>146</v>
      </c>
      <c r="B1176" s="2" t="s">
        <v>5796</v>
      </c>
      <c r="C1176" s="2"/>
      <c r="D1176" s="2" t="s">
        <v>5797</v>
      </c>
      <c r="E1176" s="2" t="s">
        <v>39</v>
      </c>
      <c r="F1176" s="2"/>
      <c r="G1176" s="2"/>
      <c r="H1176" s="2"/>
      <c r="I1176" s="3">
        <f t="shared" si="18"/>
        <v>179</v>
      </c>
    </row>
    <row r="1177" spans="1:9" ht="24" x14ac:dyDescent="0.3">
      <c r="A1177" s="2" t="s">
        <v>146</v>
      </c>
      <c r="B1177" s="2" t="s">
        <v>895</v>
      </c>
      <c r="C1177" s="2" t="s">
        <v>896</v>
      </c>
      <c r="D1177" s="2" t="s">
        <v>5800</v>
      </c>
      <c r="E1177" s="2" t="s">
        <v>1494</v>
      </c>
      <c r="F1177" s="2"/>
      <c r="G1177" s="2"/>
      <c r="H1177" s="2" t="s">
        <v>898</v>
      </c>
      <c r="I1177" s="3">
        <f t="shared" si="18"/>
        <v>179</v>
      </c>
    </row>
    <row r="1178" spans="1:9" ht="24" x14ac:dyDescent="0.3">
      <c r="A1178" s="2" t="s">
        <v>146</v>
      </c>
      <c r="B1178" s="2" t="s">
        <v>1518</v>
      </c>
      <c r="C1178" s="2" t="s">
        <v>3656</v>
      </c>
      <c r="D1178" s="2" t="s">
        <v>8799</v>
      </c>
      <c r="E1178" s="2" t="s">
        <v>5804</v>
      </c>
      <c r="F1178" s="2" t="s">
        <v>4117</v>
      </c>
      <c r="G1178" s="2" t="s">
        <v>1717</v>
      </c>
      <c r="H1178" s="2"/>
      <c r="I1178" s="3">
        <f t="shared" si="18"/>
        <v>178</v>
      </c>
    </row>
    <row r="1179" spans="1:9" ht="24" x14ac:dyDescent="0.3">
      <c r="A1179" s="2" t="s">
        <v>146</v>
      </c>
      <c r="B1179" s="2" t="s">
        <v>5805</v>
      </c>
      <c r="C1179" s="2" t="s">
        <v>5806</v>
      </c>
      <c r="D1179" s="2" t="s">
        <v>5807</v>
      </c>
      <c r="E1179" s="2" t="s">
        <v>5335</v>
      </c>
      <c r="F1179" s="2"/>
      <c r="G1179" s="2"/>
      <c r="H1179" s="2" t="s">
        <v>194</v>
      </c>
      <c r="I1179" s="3">
        <f t="shared" si="18"/>
        <v>180</v>
      </c>
    </row>
    <row r="1180" spans="1:9" ht="24" x14ac:dyDescent="0.3">
      <c r="A1180" s="2" t="s">
        <v>146</v>
      </c>
      <c r="B1180" s="2" t="s">
        <v>5808</v>
      </c>
      <c r="C1180" s="2" t="s">
        <v>348</v>
      </c>
      <c r="D1180" s="2" t="s">
        <v>5809</v>
      </c>
      <c r="E1180" s="2" t="s">
        <v>39</v>
      </c>
      <c r="F1180" s="2"/>
      <c r="G1180" s="2" t="s">
        <v>1717</v>
      </c>
      <c r="H1180" s="2"/>
      <c r="I1180" s="3">
        <f t="shared" si="18"/>
        <v>180</v>
      </c>
    </row>
    <row r="1181" spans="1:9" ht="24" x14ac:dyDescent="0.3">
      <c r="A1181" s="2" t="s">
        <v>146</v>
      </c>
      <c r="B1181" s="2" t="s">
        <v>5813</v>
      </c>
      <c r="C1181" s="2" t="s">
        <v>491</v>
      </c>
      <c r="D1181" s="2" t="s">
        <v>5814</v>
      </c>
      <c r="E1181" s="2" t="s">
        <v>39</v>
      </c>
      <c r="F1181" s="2"/>
      <c r="G1181" s="2"/>
      <c r="H1181" s="2"/>
      <c r="I1181" s="3">
        <f t="shared" si="18"/>
        <v>180</v>
      </c>
    </row>
    <row r="1182" spans="1:9" ht="24" x14ac:dyDescent="0.3">
      <c r="A1182" s="2" t="s">
        <v>146</v>
      </c>
      <c r="B1182" s="2" t="s">
        <v>5815</v>
      </c>
      <c r="C1182" s="2" t="s">
        <v>1379</v>
      </c>
      <c r="D1182" s="2" t="s">
        <v>5816</v>
      </c>
      <c r="E1182" s="2"/>
      <c r="F1182" s="2"/>
      <c r="G1182" s="2"/>
      <c r="H1182" s="2"/>
      <c r="I1182" s="3">
        <f t="shared" si="18"/>
        <v>180</v>
      </c>
    </row>
    <row r="1183" spans="1:9" ht="24" x14ac:dyDescent="0.3">
      <c r="A1183" s="2" t="s">
        <v>146</v>
      </c>
      <c r="B1183" s="2" t="s">
        <v>5817</v>
      </c>
      <c r="C1183" s="2" t="s">
        <v>4830</v>
      </c>
      <c r="D1183" s="2" t="s">
        <v>8800</v>
      </c>
      <c r="E1183" s="2" t="s">
        <v>39</v>
      </c>
      <c r="F1183" s="2" t="s">
        <v>2281</v>
      </c>
      <c r="G1183" s="2" t="s">
        <v>1717</v>
      </c>
      <c r="H1183" s="2" t="s">
        <v>646</v>
      </c>
      <c r="I1183" s="3">
        <f t="shared" si="18"/>
        <v>178</v>
      </c>
    </row>
    <row r="1184" spans="1:9" ht="24" x14ac:dyDescent="0.3">
      <c r="A1184" s="2" t="s">
        <v>146</v>
      </c>
      <c r="B1184" s="2" t="s">
        <v>5819</v>
      </c>
      <c r="C1184" s="2"/>
      <c r="D1184" s="2" t="s">
        <v>5820</v>
      </c>
      <c r="E1184" s="2" t="s">
        <v>39</v>
      </c>
      <c r="F1184" s="2"/>
      <c r="G1184" s="2"/>
      <c r="H1184" s="2" t="s">
        <v>646</v>
      </c>
      <c r="I1184" s="3">
        <f t="shared" si="18"/>
        <v>180</v>
      </c>
    </row>
    <row r="1185" spans="1:9" ht="24" x14ac:dyDescent="0.3">
      <c r="A1185" s="2" t="s">
        <v>146</v>
      </c>
      <c r="B1185" s="2" t="s">
        <v>787</v>
      </c>
      <c r="C1185" s="2" t="s">
        <v>788</v>
      </c>
      <c r="D1185" s="2" t="s">
        <v>5821</v>
      </c>
      <c r="E1185" s="2" t="s">
        <v>39</v>
      </c>
      <c r="F1185" s="2"/>
      <c r="G1185" s="2"/>
      <c r="H1185" s="2" t="s">
        <v>646</v>
      </c>
      <c r="I1185" s="3">
        <f t="shared" si="18"/>
        <v>180</v>
      </c>
    </row>
    <row r="1186" spans="1:9" ht="24" x14ac:dyDescent="0.3">
      <c r="A1186" s="2" t="s">
        <v>146</v>
      </c>
      <c r="B1186" s="2" t="s">
        <v>5835</v>
      </c>
      <c r="C1186" s="2"/>
      <c r="D1186" s="2" t="s">
        <v>5836</v>
      </c>
      <c r="E1186" s="2" t="s">
        <v>39</v>
      </c>
      <c r="F1186" s="2"/>
      <c r="G1186" s="2"/>
      <c r="H1186" s="2" t="s">
        <v>216</v>
      </c>
      <c r="I1186" s="3">
        <f t="shared" si="18"/>
        <v>181</v>
      </c>
    </row>
    <row r="1187" spans="1:9" ht="24" x14ac:dyDescent="0.3">
      <c r="A1187" s="2" t="s">
        <v>146</v>
      </c>
      <c r="B1187" s="2" t="s">
        <v>5837</v>
      </c>
      <c r="C1187" s="2" t="s">
        <v>437</v>
      </c>
      <c r="D1187" s="2" t="s">
        <v>5838</v>
      </c>
      <c r="E1187" s="2" t="s">
        <v>39</v>
      </c>
      <c r="F1187" s="2"/>
      <c r="G1187" s="2"/>
      <c r="H1187" s="2"/>
      <c r="I1187" s="3">
        <f t="shared" si="18"/>
        <v>181</v>
      </c>
    </row>
    <row r="1188" spans="1:9" ht="24" x14ac:dyDescent="0.3">
      <c r="A1188" s="2" t="s">
        <v>146</v>
      </c>
      <c r="B1188" s="2" t="s">
        <v>5839</v>
      </c>
      <c r="C1188" s="2"/>
      <c r="D1188" s="2" t="s">
        <v>5840</v>
      </c>
      <c r="E1188" s="2" t="s">
        <v>39</v>
      </c>
      <c r="F1188" s="2"/>
      <c r="G1188" s="2"/>
      <c r="H1188" s="2"/>
      <c r="I1188" s="3">
        <f t="shared" si="18"/>
        <v>181</v>
      </c>
    </row>
    <row r="1189" spans="1:9" ht="24" x14ac:dyDescent="0.3">
      <c r="A1189" s="2" t="s">
        <v>146</v>
      </c>
      <c r="B1189" s="2" t="s">
        <v>5848</v>
      </c>
      <c r="C1189" s="2" t="s">
        <v>535</v>
      </c>
      <c r="D1189" s="2" t="s">
        <v>5849</v>
      </c>
      <c r="E1189" s="2" t="s">
        <v>39</v>
      </c>
      <c r="F1189" s="2"/>
      <c r="G1189" s="2"/>
      <c r="H1189" s="2" t="s">
        <v>537</v>
      </c>
      <c r="I1189" s="3">
        <f t="shared" si="18"/>
        <v>181</v>
      </c>
    </row>
    <row r="1190" spans="1:9" ht="24" x14ac:dyDescent="0.3">
      <c r="A1190" s="2" t="s">
        <v>146</v>
      </c>
      <c r="B1190" s="2" t="s">
        <v>5859</v>
      </c>
      <c r="C1190" s="2" t="s">
        <v>329</v>
      </c>
      <c r="D1190" s="2" t="s">
        <v>5860</v>
      </c>
      <c r="E1190" s="2" t="s">
        <v>39</v>
      </c>
      <c r="F1190" s="2"/>
      <c r="G1190" s="2"/>
      <c r="H1190" s="2"/>
      <c r="I1190" s="3">
        <f t="shared" si="18"/>
        <v>182</v>
      </c>
    </row>
    <row r="1191" spans="1:9" ht="24" x14ac:dyDescent="0.3">
      <c r="A1191" s="2" t="s">
        <v>146</v>
      </c>
      <c r="B1191" s="2" t="s">
        <v>5864</v>
      </c>
      <c r="C1191" s="2" t="s">
        <v>45</v>
      </c>
      <c r="D1191" s="2" t="s">
        <v>8801</v>
      </c>
      <c r="E1191" s="2" t="s">
        <v>39</v>
      </c>
      <c r="F1191" s="2" t="s">
        <v>1778</v>
      </c>
      <c r="G1191" s="2" t="s">
        <v>1717</v>
      </c>
      <c r="H1191" s="2"/>
      <c r="I1191" s="3">
        <f t="shared" si="18"/>
        <v>180</v>
      </c>
    </row>
    <row r="1192" spans="1:9" ht="24" x14ac:dyDescent="0.3">
      <c r="A1192" s="2" t="s">
        <v>146</v>
      </c>
      <c r="B1192" s="2" t="s">
        <v>5866</v>
      </c>
      <c r="C1192" s="2" t="s">
        <v>240</v>
      </c>
      <c r="D1192" s="2" t="s">
        <v>5867</v>
      </c>
      <c r="E1192" s="2" t="s">
        <v>211</v>
      </c>
      <c r="F1192" s="2"/>
      <c r="G1192" s="2"/>
      <c r="H1192" s="2"/>
      <c r="I1192" s="3">
        <f t="shared" si="18"/>
        <v>182</v>
      </c>
    </row>
    <row r="1193" spans="1:9" ht="24" x14ac:dyDescent="0.3">
      <c r="A1193" s="2" t="s">
        <v>146</v>
      </c>
      <c r="B1193" s="2" t="s">
        <v>2892</v>
      </c>
      <c r="C1193" s="2" t="s">
        <v>214</v>
      </c>
      <c r="D1193" s="2" t="s">
        <v>5868</v>
      </c>
      <c r="E1193" s="2" t="s">
        <v>39</v>
      </c>
      <c r="F1193" s="2"/>
      <c r="G1193" s="2" t="s">
        <v>3082</v>
      </c>
      <c r="H1193" s="2"/>
      <c r="I1193" s="3">
        <f t="shared" si="18"/>
        <v>182</v>
      </c>
    </row>
    <row r="1194" spans="1:9" ht="24" x14ac:dyDescent="0.3">
      <c r="A1194" s="2" t="s">
        <v>146</v>
      </c>
      <c r="B1194" s="2" t="s">
        <v>1556</v>
      </c>
      <c r="C1194" s="2" t="s">
        <v>515</v>
      </c>
      <c r="D1194" s="2" t="s">
        <v>5869</v>
      </c>
      <c r="E1194" s="2" t="s">
        <v>39</v>
      </c>
      <c r="F1194" s="2"/>
      <c r="G1194" s="2"/>
      <c r="H1194" s="2"/>
      <c r="I1194" s="3">
        <f t="shared" si="18"/>
        <v>182</v>
      </c>
    </row>
    <row r="1195" spans="1:9" ht="24" x14ac:dyDescent="0.3">
      <c r="A1195" s="2" t="s">
        <v>146</v>
      </c>
      <c r="B1195" s="2" t="s">
        <v>5872</v>
      </c>
      <c r="C1195" s="2" t="s">
        <v>491</v>
      </c>
      <c r="D1195" s="2" t="s">
        <v>5873</v>
      </c>
      <c r="E1195" s="2" t="s">
        <v>39</v>
      </c>
      <c r="F1195" s="2"/>
      <c r="G1195" s="2"/>
      <c r="H1195" s="2"/>
      <c r="I1195" s="3">
        <f t="shared" si="18"/>
        <v>182</v>
      </c>
    </row>
    <row r="1196" spans="1:9" ht="24" x14ac:dyDescent="0.3">
      <c r="A1196" s="2" t="s">
        <v>146</v>
      </c>
      <c r="B1196" s="2" t="s">
        <v>5874</v>
      </c>
      <c r="C1196" s="2"/>
      <c r="D1196" s="2" t="s">
        <v>5875</v>
      </c>
      <c r="E1196" s="2" t="s">
        <v>5876</v>
      </c>
      <c r="F1196" s="2"/>
      <c r="G1196" s="2"/>
      <c r="H1196" s="2"/>
      <c r="I1196" s="3">
        <f t="shared" si="18"/>
        <v>182</v>
      </c>
    </row>
    <row r="1197" spans="1:9" ht="24" x14ac:dyDescent="0.3">
      <c r="A1197" s="2" t="s">
        <v>146</v>
      </c>
      <c r="B1197" s="2" t="s">
        <v>5885</v>
      </c>
      <c r="C1197" s="2" t="s">
        <v>559</v>
      </c>
      <c r="D1197" s="2" t="s">
        <v>5886</v>
      </c>
      <c r="E1197" s="2" t="s">
        <v>39</v>
      </c>
      <c r="F1197" s="2"/>
      <c r="G1197" s="2"/>
      <c r="H1197" s="2"/>
      <c r="I1197" s="3">
        <f t="shared" si="18"/>
        <v>183</v>
      </c>
    </row>
    <row r="1198" spans="1:9" ht="24" x14ac:dyDescent="0.3">
      <c r="A1198" s="2" t="s">
        <v>146</v>
      </c>
      <c r="B1198" s="2" t="s">
        <v>5894</v>
      </c>
      <c r="C1198" s="2" t="s">
        <v>3692</v>
      </c>
      <c r="D1198" s="2" t="s">
        <v>5895</v>
      </c>
      <c r="E1198" s="2" t="s">
        <v>39</v>
      </c>
      <c r="F1198" s="2"/>
      <c r="G1198" s="2"/>
      <c r="H1198" s="2"/>
      <c r="I1198" s="3">
        <f t="shared" si="18"/>
        <v>183</v>
      </c>
    </row>
    <row r="1199" spans="1:9" ht="24" x14ac:dyDescent="0.3">
      <c r="A1199" s="2" t="s">
        <v>146</v>
      </c>
      <c r="B1199" s="2" t="s">
        <v>5902</v>
      </c>
      <c r="C1199" s="2" t="s">
        <v>389</v>
      </c>
      <c r="D1199" s="2" t="s">
        <v>5903</v>
      </c>
      <c r="E1199" s="2" t="s">
        <v>39</v>
      </c>
      <c r="F1199" s="2"/>
      <c r="G1199" s="2"/>
      <c r="H1199" s="2"/>
      <c r="I1199" s="3">
        <f t="shared" si="18"/>
        <v>184</v>
      </c>
    </row>
    <row r="1200" spans="1:9" ht="24" x14ac:dyDescent="0.3">
      <c r="A1200" s="2" t="s">
        <v>146</v>
      </c>
      <c r="B1200" s="2" t="s">
        <v>895</v>
      </c>
      <c r="C1200" s="2" t="s">
        <v>896</v>
      </c>
      <c r="D1200" s="2" t="s">
        <v>5905</v>
      </c>
      <c r="E1200" s="2" t="s">
        <v>1188</v>
      </c>
      <c r="F1200" s="2"/>
      <c r="G1200" s="2"/>
      <c r="H1200" s="2" t="s">
        <v>898</v>
      </c>
      <c r="I1200" s="3">
        <f t="shared" si="18"/>
        <v>184</v>
      </c>
    </row>
    <row r="1201" spans="1:9" ht="24" x14ac:dyDescent="0.3">
      <c r="A1201" s="2" t="s">
        <v>146</v>
      </c>
      <c r="B1201" s="2" t="s">
        <v>5906</v>
      </c>
      <c r="C1201" s="2" t="s">
        <v>214</v>
      </c>
      <c r="D1201" s="2" t="s">
        <v>5907</v>
      </c>
      <c r="E1201" s="2" t="s">
        <v>39</v>
      </c>
      <c r="F1201" s="2"/>
      <c r="G1201" s="2"/>
      <c r="H1201" s="2"/>
      <c r="I1201" s="3">
        <f t="shared" si="18"/>
        <v>184</v>
      </c>
    </row>
    <row r="1202" spans="1:9" ht="24" x14ac:dyDescent="0.3">
      <c r="A1202" s="2" t="s">
        <v>146</v>
      </c>
      <c r="B1202" s="2" t="s">
        <v>787</v>
      </c>
      <c r="C1202" s="2" t="s">
        <v>788</v>
      </c>
      <c r="D1202" s="2" t="s">
        <v>5915</v>
      </c>
      <c r="E1202" s="2" t="s">
        <v>39</v>
      </c>
      <c r="F1202" s="2"/>
      <c r="G1202" s="2"/>
      <c r="H1202" s="2"/>
      <c r="I1202" s="3">
        <f t="shared" si="18"/>
        <v>185</v>
      </c>
    </row>
    <row r="1203" spans="1:9" ht="24" x14ac:dyDescent="0.3">
      <c r="A1203" s="2" t="s">
        <v>146</v>
      </c>
      <c r="B1203" s="2" t="s">
        <v>213</v>
      </c>
      <c r="C1203" s="2"/>
      <c r="D1203" s="2" t="s">
        <v>5916</v>
      </c>
      <c r="E1203" s="2" t="s">
        <v>39</v>
      </c>
      <c r="F1203" s="2"/>
      <c r="G1203" s="2" t="s">
        <v>1717</v>
      </c>
      <c r="H1203" s="2" t="s">
        <v>216</v>
      </c>
      <c r="I1203" s="3">
        <f t="shared" si="18"/>
        <v>185</v>
      </c>
    </row>
    <row r="1204" spans="1:9" ht="24" x14ac:dyDescent="0.3">
      <c r="A1204" s="2" t="s">
        <v>146</v>
      </c>
      <c r="B1204" s="2" t="s">
        <v>5924</v>
      </c>
      <c r="C1204" s="2" t="s">
        <v>57</v>
      </c>
      <c r="D1204" s="2" t="s">
        <v>8802</v>
      </c>
      <c r="E1204" s="2" t="s">
        <v>39</v>
      </c>
      <c r="F1204" s="2" t="s">
        <v>1778</v>
      </c>
      <c r="G1204" s="2" t="s">
        <v>1717</v>
      </c>
      <c r="H1204" s="2" t="s">
        <v>1176</v>
      </c>
      <c r="I1204" s="3">
        <f t="shared" si="18"/>
        <v>183</v>
      </c>
    </row>
    <row r="1205" spans="1:9" ht="24" x14ac:dyDescent="0.3">
      <c r="A1205" s="2" t="s">
        <v>146</v>
      </c>
      <c r="B1205" s="2" t="s">
        <v>5925</v>
      </c>
      <c r="C1205" s="2"/>
      <c r="D1205" s="2" t="s">
        <v>5926</v>
      </c>
      <c r="E1205" s="2" t="s">
        <v>39</v>
      </c>
      <c r="F1205" s="2"/>
      <c r="G1205" s="2"/>
      <c r="H1205" s="2"/>
      <c r="I1205" s="3">
        <f t="shared" si="18"/>
        <v>185</v>
      </c>
    </row>
    <row r="1206" spans="1:9" ht="24" x14ac:dyDescent="0.3">
      <c r="A1206" s="2" t="s">
        <v>146</v>
      </c>
      <c r="B1206" s="2" t="s">
        <v>5929</v>
      </c>
      <c r="C1206" s="2" t="s">
        <v>229</v>
      </c>
      <c r="D1206" s="2" t="s">
        <v>5930</v>
      </c>
      <c r="E1206" s="2" t="s">
        <v>39</v>
      </c>
      <c r="F1206" s="2"/>
      <c r="G1206" s="2"/>
      <c r="H1206" s="2"/>
      <c r="I1206" s="3">
        <f t="shared" si="18"/>
        <v>185</v>
      </c>
    </row>
    <row r="1207" spans="1:9" ht="24" x14ac:dyDescent="0.3">
      <c r="A1207" s="2" t="s">
        <v>146</v>
      </c>
      <c r="B1207" s="2" t="s">
        <v>4156</v>
      </c>
      <c r="C1207" s="2" t="s">
        <v>113</v>
      </c>
      <c r="D1207" s="2" t="s">
        <v>8803</v>
      </c>
      <c r="E1207" s="2" t="s">
        <v>1188</v>
      </c>
      <c r="F1207" s="2" t="s">
        <v>350</v>
      </c>
      <c r="G1207" s="2" t="s">
        <v>350</v>
      </c>
      <c r="H1207" s="2"/>
      <c r="I1207" s="3">
        <f t="shared" si="18"/>
        <v>183</v>
      </c>
    </row>
    <row r="1208" spans="1:9" ht="24" x14ac:dyDescent="0.3">
      <c r="A1208" s="2" t="s">
        <v>146</v>
      </c>
      <c r="B1208" s="2" t="s">
        <v>5931</v>
      </c>
      <c r="C1208" s="3" t="s">
        <v>911</v>
      </c>
      <c r="D1208" s="2" t="s">
        <v>8804</v>
      </c>
      <c r="E1208" s="2" t="s">
        <v>39</v>
      </c>
      <c r="F1208" s="2" t="s">
        <v>1778</v>
      </c>
      <c r="G1208" s="2" t="s">
        <v>1717</v>
      </c>
      <c r="H1208" s="2"/>
      <c r="I1208" s="3">
        <f t="shared" si="18"/>
        <v>184</v>
      </c>
    </row>
    <row r="1209" spans="1:9" ht="24" x14ac:dyDescent="0.3">
      <c r="A1209" s="2" t="s">
        <v>146</v>
      </c>
      <c r="B1209" s="2" t="s">
        <v>5939</v>
      </c>
      <c r="C1209" s="2" t="s">
        <v>559</v>
      </c>
      <c r="D1209" s="2" t="s">
        <v>5940</v>
      </c>
      <c r="E1209" s="2" t="s">
        <v>39</v>
      </c>
      <c r="F1209" s="2"/>
      <c r="G1209" s="2"/>
      <c r="H1209" s="2" t="s">
        <v>1176</v>
      </c>
      <c r="I1209" s="3">
        <f t="shared" si="18"/>
        <v>186</v>
      </c>
    </row>
    <row r="1210" spans="1:9" ht="24" x14ac:dyDescent="0.3">
      <c r="A1210" s="2" t="s">
        <v>146</v>
      </c>
      <c r="B1210" s="2" t="s">
        <v>4517</v>
      </c>
      <c r="C1210" s="2" t="s">
        <v>389</v>
      </c>
      <c r="D1210" s="2" t="s">
        <v>5950</v>
      </c>
      <c r="E1210" s="2" t="s">
        <v>39</v>
      </c>
      <c r="F1210" s="2"/>
      <c r="G1210" s="2"/>
      <c r="H1210" s="2"/>
      <c r="I1210" s="3">
        <f t="shared" si="18"/>
        <v>187</v>
      </c>
    </row>
    <row r="1211" spans="1:9" ht="24" x14ac:dyDescent="0.3">
      <c r="A1211" s="2" t="s">
        <v>146</v>
      </c>
      <c r="B1211" s="2" t="s">
        <v>5951</v>
      </c>
      <c r="C1211" s="2" t="s">
        <v>437</v>
      </c>
      <c r="D1211" s="2" t="s">
        <v>5952</v>
      </c>
      <c r="E1211" s="2" t="s">
        <v>39</v>
      </c>
      <c r="F1211" s="2"/>
      <c r="G1211" s="2"/>
      <c r="H1211" s="2"/>
      <c r="I1211" s="3">
        <f t="shared" si="18"/>
        <v>187</v>
      </c>
    </row>
    <row r="1212" spans="1:9" ht="24" x14ac:dyDescent="0.3">
      <c r="A1212" s="2" t="s">
        <v>146</v>
      </c>
      <c r="B1212" s="2" t="s">
        <v>5953</v>
      </c>
      <c r="C1212" s="2" t="s">
        <v>332</v>
      </c>
      <c r="D1212" s="2" t="s">
        <v>5954</v>
      </c>
      <c r="E1212" s="2" t="s">
        <v>39</v>
      </c>
      <c r="F1212" s="2"/>
      <c r="G1212" s="2"/>
      <c r="H1212" s="2"/>
      <c r="I1212" s="3">
        <f t="shared" si="18"/>
        <v>187</v>
      </c>
    </row>
    <row r="1213" spans="1:9" ht="24" x14ac:dyDescent="0.3">
      <c r="A1213" s="2" t="s">
        <v>146</v>
      </c>
      <c r="B1213" s="2" t="s">
        <v>4154</v>
      </c>
      <c r="C1213" s="2" t="s">
        <v>35</v>
      </c>
      <c r="D1213" s="2" t="s">
        <v>8805</v>
      </c>
      <c r="E1213" s="2" t="s">
        <v>39</v>
      </c>
      <c r="F1213" s="2" t="s">
        <v>1778</v>
      </c>
      <c r="G1213" s="2" t="s">
        <v>1717</v>
      </c>
      <c r="H1213" s="2" t="s">
        <v>646</v>
      </c>
      <c r="I1213" s="3">
        <f t="shared" si="18"/>
        <v>185</v>
      </c>
    </row>
    <row r="1214" spans="1:9" ht="24" x14ac:dyDescent="0.3">
      <c r="A1214" s="2" t="s">
        <v>146</v>
      </c>
      <c r="B1214" s="2" t="s">
        <v>5957</v>
      </c>
      <c r="C1214" s="2" t="s">
        <v>5958</v>
      </c>
      <c r="D1214" s="2" t="s">
        <v>5959</v>
      </c>
      <c r="E1214" s="2" t="s">
        <v>39</v>
      </c>
      <c r="F1214" s="2"/>
      <c r="G1214" s="2"/>
      <c r="H1214" s="2"/>
      <c r="I1214" s="3">
        <f t="shared" si="18"/>
        <v>187</v>
      </c>
    </row>
    <row r="1215" spans="1:9" ht="24" x14ac:dyDescent="0.3">
      <c r="A1215" s="2" t="s">
        <v>146</v>
      </c>
      <c r="B1215" s="2" t="s">
        <v>1630</v>
      </c>
      <c r="C1215" s="2" t="s">
        <v>275</v>
      </c>
      <c r="D1215" s="2" t="s">
        <v>8806</v>
      </c>
      <c r="E1215" s="2"/>
      <c r="F1215" s="2" t="s">
        <v>1778</v>
      </c>
      <c r="G1215" s="2" t="s">
        <v>1717</v>
      </c>
      <c r="H1215" s="2"/>
      <c r="I1215" s="3">
        <f t="shared" si="18"/>
        <v>186</v>
      </c>
    </row>
    <row r="1216" spans="1:9" ht="24" x14ac:dyDescent="0.3">
      <c r="A1216" s="2" t="s">
        <v>146</v>
      </c>
      <c r="B1216" s="2" t="s">
        <v>5966</v>
      </c>
      <c r="C1216" s="2" t="s">
        <v>206</v>
      </c>
      <c r="D1216" s="2" t="s">
        <v>5967</v>
      </c>
      <c r="E1216" s="2" t="s">
        <v>39</v>
      </c>
      <c r="F1216" s="2"/>
      <c r="G1216" s="2"/>
      <c r="H1216" s="2" t="s">
        <v>646</v>
      </c>
      <c r="I1216" s="3">
        <f t="shared" si="18"/>
        <v>188</v>
      </c>
    </row>
    <row r="1217" spans="1:9" ht="24" x14ac:dyDescent="0.3">
      <c r="A1217" s="2" t="s">
        <v>146</v>
      </c>
      <c r="B1217" s="2" t="s">
        <v>5968</v>
      </c>
      <c r="C1217" s="2" t="s">
        <v>122</v>
      </c>
      <c r="D1217" s="2" t="s">
        <v>5969</v>
      </c>
      <c r="E1217" s="2" t="s">
        <v>39</v>
      </c>
      <c r="F1217" s="2"/>
      <c r="G1217" s="2"/>
      <c r="H1217" s="2"/>
      <c r="I1217" s="3">
        <f t="shared" si="18"/>
        <v>188</v>
      </c>
    </row>
    <row r="1218" spans="1:9" ht="24" x14ac:dyDescent="0.3">
      <c r="A1218" s="2" t="s">
        <v>146</v>
      </c>
      <c r="B1218" s="2" t="s">
        <v>4431</v>
      </c>
      <c r="C1218" s="2" t="s">
        <v>57</v>
      </c>
      <c r="D1218" s="2" t="s">
        <v>8807</v>
      </c>
      <c r="E1218" s="2" t="s">
        <v>2709</v>
      </c>
      <c r="F1218" s="2" t="s">
        <v>4117</v>
      </c>
      <c r="G1218" s="2" t="s">
        <v>1717</v>
      </c>
      <c r="H1218" s="2"/>
      <c r="I1218" s="3">
        <f t="shared" ref="I1218:I1281" si="19">LEN(D1218)</f>
        <v>187</v>
      </c>
    </row>
    <row r="1219" spans="1:9" ht="24" x14ac:dyDescent="0.3">
      <c r="A1219" s="2" t="s">
        <v>146</v>
      </c>
      <c r="B1219" s="2" t="s">
        <v>5978</v>
      </c>
      <c r="C1219" s="2" t="s">
        <v>1354</v>
      </c>
      <c r="D1219" s="2" t="s">
        <v>5979</v>
      </c>
      <c r="E1219" s="2" t="s">
        <v>39</v>
      </c>
      <c r="F1219" s="2"/>
      <c r="G1219" s="2"/>
      <c r="H1219" s="2" t="s">
        <v>194</v>
      </c>
      <c r="I1219" s="3">
        <f t="shared" si="19"/>
        <v>189</v>
      </c>
    </row>
    <row r="1220" spans="1:9" ht="24" x14ac:dyDescent="0.3">
      <c r="A1220" s="2" t="s">
        <v>146</v>
      </c>
      <c r="B1220" s="2" t="s">
        <v>5980</v>
      </c>
      <c r="C1220" s="2"/>
      <c r="D1220" s="2" t="s">
        <v>8808</v>
      </c>
      <c r="E1220" s="2" t="s">
        <v>5981</v>
      </c>
      <c r="F1220" s="2" t="s">
        <v>4117</v>
      </c>
      <c r="G1220" s="2" t="s">
        <v>1717</v>
      </c>
      <c r="H1220" s="2"/>
      <c r="I1220" s="3">
        <f t="shared" si="19"/>
        <v>187</v>
      </c>
    </row>
    <row r="1221" spans="1:9" ht="24" x14ac:dyDescent="0.3">
      <c r="A1221" s="2" t="s">
        <v>146</v>
      </c>
      <c r="B1221" s="2" t="s">
        <v>5983</v>
      </c>
      <c r="C1221" s="2"/>
      <c r="D1221" s="2" t="s">
        <v>8809</v>
      </c>
      <c r="E1221" s="2" t="s">
        <v>39</v>
      </c>
      <c r="F1221" s="2" t="s">
        <v>4117</v>
      </c>
      <c r="G1221" s="2" t="s">
        <v>1717</v>
      </c>
      <c r="H1221" s="2"/>
      <c r="I1221" s="3">
        <f t="shared" si="19"/>
        <v>188</v>
      </c>
    </row>
    <row r="1222" spans="1:9" ht="24" x14ac:dyDescent="0.3">
      <c r="A1222" s="2" t="s">
        <v>146</v>
      </c>
      <c r="B1222" s="2" t="s">
        <v>5988</v>
      </c>
      <c r="C1222" s="2" t="s">
        <v>332</v>
      </c>
      <c r="D1222" s="2" t="s">
        <v>5989</v>
      </c>
      <c r="E1222" s="2" t="s">
        <v>39</v>
      </c>
      <c r="F1222" s="2"/>
      <c r="G1222" s="2"/>
      <c r="H1222" s="2"/>
      <c r="I1222" s="3">
        <f t="shared" si="19"/>
        <v>190</v>
      </c>
    </row>
    <row r="1223" spans="1:9" ht="24" x14ac:dyDescent="0.3">
      <c r="A1223" s="2" t="s">
        <v>146</v>
      </c>
      <c r="B1223" s="2" t="s">
        <v>787</v>
      </c>
      <c r="C1223" s="2" t="s">
        <v>788</v>
      </c>
      <c r="D1223" s="2" t="s">
        <v>5990</v>
      </c>
      <c r="E1223" s="2" t="s">
        <v>39</v>
      </c>
      <c r="F1223" s="2"/>
      <c r="G1223" s="2"/>
      <c r="H1223" s="2"/>
      <c r="I1223" s="3">
        <f t="shared" si="19"/>
        <v>190</v>
      </c>
    </row>
    <row r="1224" spans="1:9" ht="24" x14ac:dyDescent="0.3">
      <c r="A1224" s="2" t="s">
        <v>146</v>
      </c>
      <c r="B1224" s="2" t="s">
        <v>5991</v>
      </c>
      <c r="C1224" s="2" t="s">
        <v>559</v>
      </c>
      <c r="D1224" s="2" t="s">
        <v>5992</v>
      </c>
      <c r="E1224" s="2" t="s">
        <v>39</v>
      </c>
      <c r="F1224" s="2"/>
      <c r="G1224" s="2"/>
      <c r="H1224" s="2"/>
      <c r="I1224" s="3">
        <f t="shared" si="19"/>
        <v>190</v>
      </c>
    </row>
    <row r="1225" spans="1:9" ht="24" x14ac:dyDescent="0.3">
      <c r="A1225" s="2" t="s">
        <v>146</v>
      </c>
      <c r="B1225" s="2" t="s">
        <v>5998</v>
      </c>
      <c r="C1225" s="2"/>
      <c r="D1225" s="2" t="s">
        <v>5999</v>
      </c>
      <c r="E1225" s="2" t="s">
        <v>39</v>
      </c>
      <c r="F1225" s="2"/>
      <c r="G1225" s="2"/>
      <c r="H1225" s="2" t="s">
        <v>1176</v>
      </c>
      <c r="I1225" s="3">
        <f t="shared" si="19"/>
        <v>190</v>
      </c>
    </row>
    <row r="1226" spans="1:9" ht="24" x14ac:dyDescent="0.3">
      <c r="A1226" s="2" t="s">
        <v>146</v>
      </c>
      <c r="B1226" s="2" t="s">
        <v>5079</v>
      </c>
      <c r="C1226" s="2" t="s">
        <v>1553</v>
      </c>
      <c r="D1226" s="2" t="s">
        <v>6002</v>
      </c>
      <c r="E1226" s="2" t="s">
        <v>5605</v>
      </c>
      <c r="F1226" s="2"/>
      <c r="G1226" s="2"/>
      <c r="H1226" s="2"/>
      <c r="I1226" s="3">
        <f t="shared" si="19"/>
        <v>190</v>
      </c>
    </row>
    <row r="1227" spans="1:9" ht="24" x14ac:dyDescent="0.3">
      <c r="A1227" s="2" t="s">
        <v>146</v>
      </c>
      <c r="B1227" s="2" t="s">
        <v>6003</v>
      </c>
      <c r="C1227" s="2" t="s">
        <v>1201</v>
      </c>
      <c r="D1227" s="2" t="s">
        <v>8810</v>
      </c>
      <c r="E1227" s="2" t="s">
        <v>39</v>
      </c>
      <c r="F1227" s="2" t="s">
        <v>1778</v>
      </c>
      <c r="G1227" s="2" t="s">
        <v>1717</v>
      </c>
      <c r="H1227" s="2"/>
      <c r="I1227" s="3">
        <f t="shared" si="19"/>
        <v>189</v>
      </c>
    </row>
    <row r="1228" spans="1:9" ht="24" x14ac:dyDescent="0.3">
      <c r="A1228" s="2" t="s">
        <v>146</v>
      </c>
      <c r="B1228" s="2" t="s">
        <v>6004</v>
      </c>
      <c r="C1228" s="2" t="s">
        <v>1647</v>
      </c>
      <c r="D1228" s="2" t="s">
        <v>6005</v>
      </c>
      <c r="E1228" s="2" t="s">
        <v>39</v>
      </c>
      <c r="F1228" s="2"/>
      <c r="G1228" s="2"/>
      <c r="H1228" s="2"/>
      <c r="I1228" s="3">
        <f t="shared" si="19"/>
        <v>191</v>
      </c>
    </row>
    <row r="1229" spans="1:9" ht="24" x14ac:dyDescent="0.3">
      <c r="A1229" s="2" t="s">
        <v>146</v>
      </c>
      <c r="B1229" s="2" t="s">
        <v>6006</v>
      </c>
      <c r="C1229" s="2" t="s">
        <v>389</v>
      </c>
      <c r="D1229" s="2" t="s">
        <v>6007</v>
      </c>
      <c r="E1229" s="2" t="s">
        <v>39</v>
      </c>
      <c r="F1229" s="2"/>
      <c r="G1229" s="2"/>
      <c r="H1229" s="2" t="s">
        <v>194</v>
      </c>
      <c r="I1229" s="3">
        <f t="shared" si="19"/>
        <v>191</v>
      </c>
    </row>
    <row r="1230" spans="1:9" ht="24" x14ac:dyDescent="0.3">
      <c r="A1230" s="2" t="s">
        <v>146</v>
      </c>
      <c r="B1230" s="2" t="s">
        <v>6008</v>
      </c>
      <c r="C1230" s="2" t="s">
        <v>4174</v>
      </c>
      <c r="D1230" s="2" t="s">
        <v>6009</v>
      </c>
      <c r="E1230" s="2" t="s">
        <v>39</v>
      </c>
      <c r="F1230" s="2"/>
      <c r="G1230" s="2"/>
      <c r="H1230" s="2" t="s">
        <v>194</v>
      </c>
      <c r="I1230" s="3">
        <f t="shared" si="19"/>
        <v>191</v>
      </c>
    </row>
    <row r="1231" spans="1:9" ht="24" x14ac:dyDescent="0.3">
      <c r="A1231" s="2" t="s">
        <v>146</v>
      </c>
      <c r="B1231" s="2" t="s">
        <v>6014</v>
      </c>
      <c r="C1231" s="2" t="s">
        <v>214</v>
      </c>
      <c r="D1231" s="2" t="s">
        <v>6015</v>
      </c>
      <c r="E1231" s="2" t="s">
        <v>39</v>
      </c>
      <c r="F1231" s="2"/>
      <c r="G1231" s="2"/>
      <c r="H1231" s="2"/>
      <c r="I1231" s="3">
        <f t="shared" si="19"/>
        <v>191</v>
      </c>
    </row>
    <row r="1232" spans="1:9" ht="24" x14ac:dyDescent="0.3">
      <c r="A1232" s="2" t="s">
        <v>146</v>
      </c>
      <c r="B1232" s="2" t="s">
        <v>6016</v>
      </c>
      <c r="C1232" s="2"/>
      <c r="D1232" s="2" t="s">
        <v>8811</v>
      </c>
      <c r="E1232" s="2" t="s">
        <v>5335</v>
      </c>
      <c r="F1232" s="2" t="s">
        <v>4117</v>
      </c>
      <c r="G1232" s="2" t="s">
        <v>1717</v>
      </c>
      <c r="H1232" s="2"/>
      <c r="I1232" s="3">
        <f t="shared" si="19"/>
        <v>189</v>
      </c>
    </row>
    <row r="1233" spans="1:9" ht="24" x14ac:dyDescent="0.3">
      <c r="A1233" s="2" t="s">
        <v>146</v>
      </c>
      <c r="B1233" s="2" t="s">
        <v>6017</v>
      </c>
      <c r="C1233" s="2"/>
      <c r="D1233" s="2" t="s">
        <v>6018</v>
      </c>
      <c r="E1233" s="2" t="s">
        <v>39</v>
      </c>
      <c r="F1233" s="2"/>
      <c r="G1233" s="2"/>
      <c r="H1233" s="2"/>
      <c r="I1233" s="3">
        <f t="shared" si="19"/>
        <v>191</v>
      </c>
    </row>
    <row r="1234" spans="1:9" ht="24" x14ac:dyDescent="0.3">
      <c r="A1234" s="2" t="s">
        <v>146</v>
      </c>
      <c r="B1234" s="2" t="s">
        <v>6003</v>
      </c>
      <c r="C1234" s="2" t="s">
        <v>116</v>
      </c>
      <c r="D1234" s="2" t="s">
        <v>6021</v>
      </c>
      <c r="E1234" s="2" t="s">
        <v>39</v>
      </c>
      <c r="F1234" s="2"/>
      <c r="G1234" s="2" t="s">
        <v>1717</v>
      </c>
      <c r="H1234" s="2"/>
      <c r="I1234" s="3">
        <f t="shared" si="19"/>
        <v>192</v>
      </c>
    </row>
    <row r="1235" spans="1:9" ht="24" x14ac:dyDescent="0.3">
      <c r="A1235" s="2" t="s">
        <v>146</v>
      </c>
      <c r="B1235" s="2" t="s">
        <v>6030</v>
      </c>
      <c r="C1235" s="2" t="s">
        <v>491</v>
      </c>
      <c r="D1235" s="2" t="s">
        <v>6031</v>
      </c>
      <c r="E1235" s="2" t="s">
        <v>39</v>
      </c>
      <c r="F1235" s="2"/>
      <c r="G1235" s="2"/>
      <c r="H1235" s="2"/>
      <c r="I1235" s="3">
        <f t="shared" si="19"/>
        <v>192</v>
      </c>
    </row>
    <row r="1236" spans="1:9" ht="24" x14ac:dyDescent="0.3">
      <c r="A1236" s="2" t="s">
        <v>146</v>
      </c>
      <c r="B1236" s="2" t="s">
        <v>4572</v>
      </c>
      <c r="C1236" s="2" t="s">
        <v>437</v>
      </c>
      <c r="D1236" s="2" t="s">
        <v>6032</v>
      </c>
      <c r="E1236" s="2" t="s">
        <v>39</v>
      </c>
      <c r="F1236" s="2"/>
      <c r="G1236" s="2"/>
      <c r="H1236" s="2"/>
      <c r="I1236" s="3">
        <f t="shared" si="19"/>
        <v>192</v>
      </c>
    </row>
    <row r="1237" spans="1:9" ht="24" x14ac:dyDescent="0.3">
      <c r="A1237" s="2" t="s">
        <v>146</v>
      </c>
      <c r="B1237" s="2" t="s">
        <v>6036</v>
      </c>
      <c r="C1237" s="2" t="s">
        <v>1647</v>
      </c>
      <c r="D1237" s="2" t="s">
        <v>6037</v>
      </c>
      <c r="E1237" s="2" t="s">
        <v>39</v>
      </c>
      <c r="F1237" s="2"/>
      <c r="G1237" s="2"/>
      <c r="H1237" s="2" t="s">
        <v>1644</v>
      </c>
      <c r="I1237" s="3">
        <f t="shared" si="19"/>
        <v>193</v>
      </c>
    </row>
    <row r="1238" spans="1:9" ht="24" x14ac:dyDescent="0.3">
      <c r="A1238" s="2" t="s">
        <v>146</v>
      </c>
      <c r="B1238" s="2" t="s">
        <v>6038</v>
      </c>
      <c r="C1238" s="2" t="s">
        <v>214</v>
      </c>
      <c r="D1238" s="2" t="s">
        <v>6039</v>
      </c>
      <c r="E1238" s="2" t="s">
        <v>39</v>
      </c>
      <c r="F1238" s="2"/>
      <c r="G1238" s="2"/>
      <c r="H1238" s="2" t="s">
        <v>194</v>
      </c>
      <c r="I1238" s="3">
        <f t="shared" si="19"/>
        <v>193</v>
      </c>
    </row>
    <row r="1239" spans="1:9" ht="24" x14ac:dyDescent="0.3">
      <c r="A1239" s="2" t="s">
        <v>146</v>
      </c>
      <c r="B1239" s="2" t="s">
        <v>6040</v>
      </c>
      <c r="C1239" s="2" t="s">
        <v>491</v>
      </c>
      <c r="D1239" s="2" t="s">
        <v>6041</v>
      </c>
      <c r="E1239" s="2"/>
      <c r="F1239" s="2"/>
      <c r="G1239" s="2"/>
      <c r="H1239" s="2"/>
      <c r="I1239" s="3">
        <f t="shared" si="19"/>
        <v>193</v>
      </c>
    </row>
    <row r="1240" spans="1:9" ht="24" x14ac:dyDescent="0.3">
      <c r="A1240" s="2" t="s">
        <v>146</v>
      </c>
      <c r="B1240" s="2" t="s">
        <v>6042</v>
      </c>
      <c r="C1240" s="2" t="s">
        <v>4797</v>
      </c>
      <c r="D1240" s="2" t="s">
        <v>8812</v>
      </c>
      <c r="E1240" s="2" t="s">
        <v>6043</v>
      </c>
      <c r="F1240" s="2" t="s">
        <v>1778</v>
      </c>
      <c r="G1240" s="2" t="s">
        <v>1717</v>
      </c>
      <c r="H1240" s="2"/>
      <c r="I1240" s="3">
        <f t="shared" si="19"/>
        <v>191</v>
      </c>
    </row>
    <row r="1241" spans="1:9" ht="24" x14ac:dyDescent="0.3">
      <c r="A1241" s="2" t="s">
        <v>146</v>
      </c>
      <c r="B1241" s="2" t="s">
        <v>6044</v>
      </c>
      <c r="C1241" s="2" t="s">
        <v>6045</v>
      </c>
      <c r="D1241" s="2" t="s">
        <v>6046</v>
      </c>
      <c r="E1241" s="2" t="s">
        <v>39</v>
      </c>
      <c r="F1241" s="2"/>
      <c r="G1241" s="2"/>
      <c r="H1241" s="2" t="s">
        <v>194</v>
      </c>
      <c r="I1241" s="3">
        <f t="shared" si="19"/>
        <v>193</v>
      </c>
    </row>
    <row r="1242" spans="1:9" ht="24" x14ac:dyDescent="0.3">
      <c r="A1242" s="2" t="s">
        <v>146</v>
      </c>
      <c r="B1242" s="2" t="s">
        <v>6051</v>
      </c>
      <c r="C1242" s="2"/>
      <c r="D1242" s="2" t="s">
        <v>6052</v>
      </c>
      <c r="E1242" s="2" t="s">
        <v>39</v>
      </c>
      <c r="F1242" s="2"/>
      <c r="G1242" s="2"/>
      <c r="H1242" s="2"/>
      <c r="I1242" s="3">
        <f t="shared" si="19"/>
        <v>194</v>
      </c>
    </row>
    <row r="1243" spans="1:9" ht="24" x14ac:dyDescent="0.3">
      <c r="A1243" s="2" t="s">
        <v>146</v>
      </c>
      <c r="B1243" s="2" t="s">
        <v>6054</v>
      </c>
      <c r="C1243" s="2"/>
      <c r="D1243" s="2" t="s">
        <v>6055</v>
      </c>
      <c r="E1243" s="2"/>
      <c r="F1243" s="2"/>
      <c r="G1243" s="2"/>
      <c r="H1243" s="2"/>
      <c r="I1243" s="3">
        <f t="shared" si="19"/>
        <v>194</v>
      </c>
    </row>
    <row r="1244" spans="1:9" ht="24" x14ac:dyDescent="0.3">
      <c r="A1244" s="2" t="s">
        <v>146</v>
      </c>
      <c r="B1244" s="2" t="s">
        <v>6056</v>
      </c>
      <c r="C1244" s="2"/>
      <c r="D1244" s="2" t="s">
        <v>6057</v>
      </c>
      <c r="E1244" s="2"/>
      <c r="F1244" s="2"/>
      <c r="G1244" s="2"/>
      <c r="H1244" s="2"/>
      <c r="I1244" s="3">
        <f t="shared" si="19"/>
        <v>194</v>
      </c>
    </row>
    <row r="1245" spans="1:9" ht="24" x14ac:dyDescent="0.3">
      <c r="A1245" s="2" t="s">
        <v>146</v>
      </c>
      <c r="B1245" s="2" t="s">
        <v>2637</v>
      </c>
      <c r="C1245" s="2" t="s">
        <v>64</v>
      </c>
      <c r="D1245" s="2" t="s">
        <v>8813</v>
      </c>
      <c r="E1245" s="2" t="s">
        <v>5938</v>
      </c>
      <c r="F1245" s="2" t="s">
        <v>1778</v>
      </c>
      <c r="G1245" s="2" t="s">
        <v>1717</v>
      </c>
      <c r="H1245" s="2"/>
      <c r="I1245" s="3">
        <f t="shared" si="19"/>
        <v>192</v>
      </c>
    </row>
    <row r="1246" spans="1:9" ht="24" x14ac:dyDescent="0.3">
      <c r="A1246" s="2" t="s">
        <v>146</v>
      </c>
      <c r="B1246" s="2" t="s">
        <v>3890</v>
      </c>
      <c r="C1246" s="3" t="s">
        <v>911</v>
      </c>
      <c r="D1246" s="2" t="s">
        <v>8814</v>
      </c>
      <c r="E1246" s="2" t="s">
        <v>1188</v>
      </c>
      <c r="F1246" s="2" t="s">
        <v>4117</v>
      </c>
      <c r="G1246" s="2" t="s">
        <v>1717</v>
      </c>
      <c r="H1246" s="2"/>
      <c r="I1246" s="3">
        <f t="shared" si="19"/>
        <v>193</v>
      </c>
    </row>
    <row r="1247" spans="1:9" ht="24" x14ac:dyDescent="0.3">
      <c r="A1247" s="2" t="s">
        <v>146</v>
      </c>
      <c r="B1247" s="2" t="s">
        <v>3865</v>
      </c>
      <c r="C1247" s="2" t="s">
        <v>4797</v>
      </c>
      <c r="D1247" s="2" t="s">
        <v>8815</v>
      </c>
      <c r="E1247" s="2" t="s">
        <v>39</v>
      </c>
      <c r="F1247" s="2" t="s">
        <v>1778</v>
      </c>
      <c r="G1247" s="2" t="s">
        <v>1717</v>
      </c>
      <c r="H1247" s="2"/>
      <c r="I1247" s="3">
        <f t="shared" si="19"/>
        <v>193</v>
      </c>
    </row>
    <row r="1248" spans="1:9" ht="24" x14ac:dyDescent="0.3">
      <c r="A1248" s="2" t="s">
        <v>146</v>
      </c>
      <c r="B1248" s="2" t="s">
        <v>6069</v>
      </c>
      <c r="C1248" s="2" t="s">
        <v>535</v>
      </c>
      <c r="D1248" s="2" t="s">
        <v>6070</v>
      </c>
      <c r="E1248" s="2" t="s">
        <v>39</v>
      </c>
      <c r="F1248" s="2"/>
      <c r="G1248" s="2"/>
      <c r="H1248" s="2" t="s">
        <v>537</v>
      </c>
      <c r="I1248" s="3">
        <f t="shared" si="19"/>
        <v>195</v>
      </c>
    </row>
    <row r="1249" spans="1:9" ht="24" x14ac:dyDescent="0.3">
      <c r="A1249" s="2" t="s">
        <v>146</v>
      </c>
      <c r="B1249" s="2" t="s">
        <v>3890</v>
      </c>
      <c r="C1249" s="3" t="s">
        <v>911</v>
      </c>
      <c r="D1249" s="2" t="s">
        <v>6072</v>
      </c>
      <c r="E1249" s="2" t="s">
        <v>6073</v>
      </c>
      <c r="F1249" s="2"/>
      <c r="G1249" s="2"/>
      <c r="H1249" s="2"/>
      <c r="I1249" s="3">
        <f t="shared" si="19"/>
        <v>196</v>
      </c>
    </row>
    <row r="1250" spans="1:9" ht="24" x14ac:dyDescent="0.3">
      <c r="A1250" s="2" t="s">
        <v>146</v>
      </c>
      <c r="B1250" s="2" t="s">
        <v>6074</v>
      </c>
      <c r="C1250" s="2" t="s">
        <v>1326</v>
      </c>
      <c r="D1250" s="2" t="s">
        <v>6075</v>
      </c>
      <c r="E1250" s="2" t="s">
        <v>39</v>
      </c>
      <c r="F1250" s="2"/>
      <c r="G1250" s="2"/>
      <c r="H1250" s="2"/>
      <c r="I1250" s="3">
        <f t="shared" si="19"/>
        <v>196</v>
      </c>
    </row>
    <row r="1251" spans="1:9" ht="36" x14ac:dyDescent="0.3">
      <c r="A1251" s="2" t="s">
        <v>146</v>
      </c>
      <c r="B1251" s="2" t="s">
        <v>6088</v>
      </c>
      <c r="C1251" s="2"/>
      <c r="D1251" s="2" t="s">
        <v>8816</v>
      </c>
      <c r="E1251" s="2" t="s">
        <v>6089</v>
      </c>
      <c r="F1251" s="2" t="s">
        <v>4117</v>
      </c>
      <c r="G1251" s="2" t="s">
        <v>1717</v>
      </c>
      <c r="H1251" s="2"/>
      <c r="I1251" s="3">
        <f t="shared" si="19"/>
        <v>194</v>
      </c>
    </row>
    <row r="1252" spans="1:9" ht="24" x14ac:dyDescent="0.3">
      <c r="A1252" s="2" t="s">
        <v>146</v>
      </c>
      <c r="B1252" s="2" t="s">
        <v>6091</v>
      </c>
      <c r="C1252" s="2" t="s">
        <v>389</v>
      </c>
      <c r="D1252" s="2" t="s">
        <v>6092</v>
      </c>
      <c r="E1252" s="2" t="s">
        <v>39</v>
      </c>
      <c r="F1252" s="2"/>
      <c r="G1252" s="2"/>
      <c r="H1252" s="2"/>
      <c r="I1252" s="3">
        <f t="shared" si="19"/>
        <v>197</v>
      </c>
    </row>
    <row r="1253" spans="1:9" ht="24" x14ac:dyDescent="0.3">
      <c r="A1253" s="2" t="s">
        <v>146</v>
      </c>
      <c r="B1253" s="2" t="s">
        <v>6093</v>
      </c>
      <c r="C1253" s="2"/>
      <c r="D1253" s="2" t="s">
        <v>6094</v>
      </c>
      <c r="E1253" s="2" t="s">
        <v>39</v>
      </c>
      <c r="F1253" s="2"/>
      <c r="G1253" s="2"/>
      <c r="H1253" s="2"/>
      <c r="I1253" s="3">
        <f t="shared" si="19"/>
        <v>197</v>
      </c>
    </row>
    <row r="1254" spans="1:9" ht="24" x14ac:dyDescent="0.3">
      <c r="A1254" s="2" t="s">
        <v>146</v>
      </c>
      <c r="B1254" s="2" t="s">
        <v>6097</v>
      </c>
      <c r="C1254" s="2" t="s">
        <v>201</v>
      </c>
      <c r="D1254" s="2" t="s">
        <v>8817</v>
      </c>
      <c r="E1254" s="2" t="s">
        <v>39</v>
      </c>
      <c r="F1254" s="2" t="s">
        <v>1778</v>
      </c>
      <c r="G1254" s="2" t="s">
        <v>1717</v>
      </c>
      <c r="H1254" s="2"/>
      <c r="I1254" s="3">
        <f t="shared" si="19"/>
        <v>195</v>
      </c>
    </row>
    <row r="1255" spans="1:9" ht="24" x14ac:dyDescent="0.3">
      <c r="A1255" s="2" t="s">
        <v>146</v>
      </c>
      <c r="B1255" s="2" t="s">
        <v>2637</v>
      </c>
      <c r="C1255" s="2"/>
      <c r="D1255" s="2" t="s">
        <v>8818</v>
      </c>
      <c r="E1255" s="2" t="s">
        <v>1188</v>
      </c>
      <c r="F1255" s="2" t="s">
        <v>4117</v>
      </c>
      <c r="G1255" s="2" t="s">
        <v>1717</v>
      </c>
      <c r="H1255" s="2"/>
      <c r="I1255" s="3">
        <f t="shared" si="19"/>
        <v>196</v>
      </c>
    </row>
    <row r="1256" spans="1:9" ht="24" x14ac:dyDescent="0.3">
      <c r="A1256" s="2" t="s">
        <v>146</v>
      </c>
      <c r="B1256" s="2" t="s">
        <v>1820</v>
      </c>
      <c r="C1256" s="2"/>
      <c r="D1256" s="2" t="s">
        <v>6113</v>
      </c>
      <c r="E1256" s="2" t="s">
        <v>39</v>
      </c>
      <c r="F1256" s="2"/>
      <c r="G1256" s="2"/>
      <c r="H1256" s="2"/>
      <c r="I1256" s="3">
        <f t="shared" si="19"/>
        <v>198</v>
      </c>
    </row>
    <row r="1257" spans="1:9" ht="24" x14ac:dyDescent="0.3">
      <c r="A1257" s="2" t="s">
        <v>146</v>
      </c>
      <c r="B1257" s="2" t="s">
        <v>6114</v>
      </c>
      <c r="C1257" s="2"/>
      <c r="D1257" s="2" t="s">
        <v>6115</v>
      </c>
      <c r="E1257" s="2" t="s">
        <v>39</v>
      </c>
      <c r="F1257" s="2"/>
      <c r="G1257" s="2"/>
      <c r="H1257" s="2"/>
      <c r="I1257" s="3">
        <f t="shared" si="19"/>
        <v>198</v>
      </c>
    </row>
    <row r="1258" spans="1:9" ht="24" x14ac:dyDescent="0.3">
      <c r="A1258" s="2" t="s">
        <v>146</v>
      </c>
      <c r="B1258" s="2" t="s">
        <v>6116</v>
      </c>
      <c r="C1258" s="2" t="s">
        <v>2531</v>
      </c>
      <c r="D1258" s="2" t="s">
        <v>6117</v>
      </c>
      <c r="E1258" s="2" t="s">
        <v>39</v>
      </c>
      <c r="F1258" s="2"/>
      <c r="G1258" s="2"/>
      <c r="H1258" s="2"/>
      <c r="I1258" s="3">
        <f t="shared" si="19"/>
        <v>198</v>
      </c>
    </row>
    <row r="1259" spans="1:9" ht="24" x14ac:dyDescent="0.3">
      <c r="A1259" s="2" t="s">
        <v>146</v>
      </c>
      <c r="B1259" s="2" t="s">
        <v>5079</v>
      </c>
      <c r="C1259" s="2" t="s">
        <v>1553</v>
      </c>
      <c r="D1259" s="2" t="s">
        <v>6121</v>
      </c>
      <c r="E1259" s="2" t="s">
        <v>5605</v>
      </c>
      <c r="F1259" s="2"/>
      <c r="G1259" s="2"/>
      <c r="H1259" s="2"/>
      <c r="I1259" s="3">
        <f t="shared" si="19"/>
        <v>199</v>
      </c>
    </row>
    <row r="1260" spans="1:9" ht="24" x14ac:dyDescent="0.3">
      <c r="A1260" s="2" t="s">
        <v>146</v>
      </c>
      <c r="B1260" s="2" t="s">
        <v>6127</v>
      </c>
      <c r="C1260" s="2" t="s">
        <v>389</v>
      </c>
      <c r="D1260" s="2" t="s">
        <v>6128</v>
      </c>
      <c r="E1260" s="2" t="s">
        <v>39</v>
      </c>
      <c r="F1260" s="2"/>
      <c r="G1260" s="2"/>
      <c r="H1260" s="2"/>
      <c r="I1260" s="3">
        <f t="shared" si="19"/>
        <v>199</v>
      </c>
    </row>
    <row r="1261" spans="1:9" ht="24" x14ac:dyDescent="0.3">
      <c r="A1261" s="2" t="s">
        <v>146</v>
      </c>
      <c r="B1261" s="2" t="s">
        <v>6129</v>
      </c>
      <c r="C1261" s="2"/>
      <c r="D1261" s="2" t="s">
        <v>6130</v>
      </c>
      <c r="E1261" s="2" t="s">
        <v>39</v>
      </c>
      <c r="F1261" s="2"/>
      <c r="G1261" s="2"/>
      <c r="H1261" s="2"/>
      <c r="I1261" s="3">
        <f t="shared" si="19"/>
        <v>199</v>
      </c>
    </row>
    <row r="1262" spans="1:9" ht="24" x14ac:dyDescent="0.3">
      <c r="A1262" s="2" t="s">
        <v>146</v>
      </c>
      <c r="B1262" s="2" t="s">
        <v>2892</v>
      </c>
      <c r="C1262" s="2" t="s">
        <v>214</v>
      </c>
      <c r="D1262" s="2" t="s">
        <v>6131</v>
      </c>
      <c r="E1262" s="2" t="s">
        <v>39</v>
      </c>
      <c r="F1262" s="2"/>
      <c r="G1262" s="2" t="s">
        <v>3082</v>
      </c>
      <c r="H1262" s="2"/>
      <c r="I1262" s="3">
        <f t="shared" si="19"/>
        <v>199</v>
      </c>
    </row>
    <row r="1263" spans="1:9" ht="24" x14ac:dyDescent="0.3">
      <c r="A1263" s="2" t="s">
        <v>146</v>
      </c>
      <c r="B1263" s="2" t="s">
        <v>6132</v>
      </c>
      <c r="C1263" s="2"/>
      <c r="D1263" s="2" t="s">
        <v>6133</v>
      </c>
      <c r="E1263" s="2" t="s">
        <v>39</v>
      </c>
      <c r="F1263" s="2"/>
      <c r="G1263" s="2"/>
      <c r="H1263" s="2"/>
      <c r="I1263" s="3">
        <f t="shared" si="19"/>
        <v>199</v>
      </c>
    </row>
    <row r="1264" spans="1:9" ht="24" x14ac:dyDescent="0.3">
      <c r="A1264" s="2" t="s">
        <v>146</v>
      </c>
      <c r="B1264" s="2" t="s">
        <v>6134</v>
      </c>
      <c r="C1264" s="2" t="s">
        <v>1507</v>
      </c>
      <c r="D1264" s="2" t="s">
        <v>6135</v>
      </c>
      <c r="E1264" s="2" t="s">
        <v>3936</v>
      </c>
      <c r="F1264" s="2"/>
      <c r="G1264" s="2"/>
      <c r="H1264" s="2"/>
      <c r="I1264" s="3">
        <f t="shared" si="19"/>
        <v>199</v>
      </c>
    </row>
    <row r="1265" spans="1:9" ht="24" x14ac:dyDescent="0.3">
      <c r="A1265" s="2" t="s">
        <v>146</v>
      </c>
      <c r="B1265" s="2" t="s">
        <v>6136</v>
      </c>
      <c r="C1265" s="2" t="s">
        <v>2531</v>
      </c>
      <c r="D1265" s="2" t="s">
        <v>6137</v>
      </c>
      <c r="E1265" s="2" t="s">
        <v>39</v>
      </c>
      <c r="F1265" s="2"/>
      <c r="G1265" s="2"/>
      <c r="H1265" s="2"/>
      <c r="I1265" s="3">
        <f t="shared" si="19"/>
        <v>199</v>
      </c>
    </row>
    <row r="1266" spans="1:9" ht="24" x14ac:dyDescent="0.3">
      <c r="A1266" s="2" t="s">
        <v>146</v>
      </c>
      <c r="B1266" s="2" t="s">
        <v>6142</v>
      </c>
      <c r="C1266" s="2"/>
      <c r="D1266" s="2" t="s">
        <v>6143</v>
      </c>
      <c r="E1266" s="2" t="s">
        <v>1776</v>
      </c>
      <c r="F1266" s="2"/>
      <c r="G1266" s="2"/>
      <c r="H1266" s="2"/>
      <c r="I1266" s="3">
        <f t="shared" si="19"/>
        <v>200</v>
      </c>
    </row>
    <row r="1267" spans="1:9" ht="24" x14ac:dyDescent="0.3">
      <c r="A1267" s="2" t="s">
        <v>146</v>
      </c>
      <c r="B1267" s="2" t="s">
        <v>6149</v>
      </c>
      <c r="C1267" s="2" t="s">
        <v>1255</v>
      </c>
      <c r="D1267" s="2" t="s">
        <v>6150</v>
      </c>
      <c r="E1267" s="2" t="s">
        <v>39</v>
      </c>
      <c r="F1267" s="2"/>
      <c r="G1267" s="2"/>
      <c r="H1267" s="2"/>
      <c r="I1267" s="3">
        <f t="shared" si="19"/>
        <v>200</v>
      </c>
    </row>
    <row r="1268" spans="1:9" ht="24" x14ac:dyDescent="0.3">
      <c r="A1268" s="2" t="s">
        <v>146</v>
      </c>
      <c r="B1268" s="2" t="s">
        <v>6153</v>
      </c>
      <c r="C1268" s="2"/>
      <c r="D1268" s="2" t="s">
        <v>6154</v>
      </c>
      <c r="E1268" s="2" t="s">
        <v>39</v>
      </c>
      <c r="F1268" s="2"/>
      <c r="G1268" s="2"/>
      <c r="H1268" s="2" t="s">
        <v>646</v>
      </c>
      <c r="I1268" s="3">
        <f t="shared" si="19"/>
        <v>201</v>
      </c>
    </row>
    <row r="1269" spans="1:9" ht="24" x14ac:dyDescent="0.3">
      <c r="A1269" s="2" t="s">
        <v>146</v>
      </c>
      <c r="B1269" s="2" t="s">
        <v>6004</v>
      </c>
      <c r="C1269" s="2" t="s">
        <v>332</v>
      </c>
      <c r="D1269" s="2" t="s">
        <v>6155</v>
      </c>
      <c r="E1269" s="2" t="s">
        <v>1188</v>
      </c>
      <c r="F1269" s="2"/>
      <c r="G1269" s="2"/>
      <c r="H1269" s="2"/>
      <c r="I1269" s="3">
        <f t="shared" si="19"/>
        <v>201</v>
      </c>
    </row>
    <row r="1270" spans="1:9" ht="24" x14ac:dyDescent="0.3">
      <c r="A1270" s="2" t="s">
        <v>146</v>
      </c>
      <c r="B1270" s="2" t="s">
        <v>6159</v>
      </c>
      <c r="C1270" s="2"/>
      <c r="D1270" s="2" t="s">
        <v>8819</v>
      </c>
      <c r="E1270" s="2" t="s">
        <v>2709</v>
      </c>
      <c r="F1270" s="2" t="s">
        <v>4117</v>
      </c>
      <c r="G1270" s="2" t="s">
        <v>1717</v>
      </c>
      <c r="H1270" s="2"/>
      <c r="I1270" s="3">
        <f t="shared" si="19"/>
        <v>199</v>
      </c>
    </row>
    <row r="1271" spans="1:9" ht="24" x14ac:dyDescent="0.3">
      <c r="A1271" s="2" t="s">
        <v>146</v>
      </c>
      <c r="B1271" s="2" t="s">
        <v>6160</v>
      </c>
      <c r="C1271" s="2" t="s">
        <v>6161</v>
      </c>
      <c r="D1271" s="2" t="s">
        <v>8820</v>
      </c>
      <c r="E1271" s="2" t="s">
        <v>39</v>
      </c>
      <c r="F1271" s="2" t="s">
        <v>1778</v>
      </c>
      <c r="G1271" s="2" t="s">
        <v>1717</v>
      </c>
      <c r="H1271" s="2"/>
      <c r="I1271" s="3">
        <f t="shared" si="19"/>
        <v>200</v>
      </c>
    </row>
    <row r="1272" spans="1:9" ht="36" x14ac:dyDescent="0.3">
      <c r="A1272" s="2" t="s">
        <v>146</v>
      </c>
      <c r="B1272" s="2" t="s">
        <v>6164</v>
      </c>
      <c r="C1272" s="2" t="s">
        <v>788</v>
      </c>
      <c r="D1272" s="2" t="s">
        <v>6165</v>
      </c>
      <c r="E1272" s="2" t="s">
        <v>39</v>
      </c>
      <c r="F1272" s="2"/>
      <c r="G1272" s="2"/>
      <c r="H1272" s="2"/>
      <c r="I1272" s="3">
        <f t="shared" si="19"/>
        <v>202</v>
      </c>
    </row>
    <row r="1273" spans="1:9" ht="24" x14ac:dyDescent="0.3">
      <c r="A1273" s="2" t="s">
        <v>146</v>
      </c>
      <c r="B1273" s="2" t="s">
        <v>5616</v>
      </c>
      <c r="C1273" s="2" t="s">
        <v>500</v>
      </c>
      <c r="D1273" s="2" t="s">
        <v>6166</v>
      </c>
      <c r="E1273" s="2" t="s">
        <v>39</v>
      </c>
      <c r="F1273" s="2"/>
      <c r="G1273" s="2"/>
      <c r="H1273" s="2" t="s">
        <v>402</v>
      </c>
      <c r="I1273" s="3">
        <f t="shared" si="19"/>
        <v>202</v>
      </c>
    </row>
    <row r="1274" spans="1:9" ht="24" x14ac:dyDescent="0.3">
      <c r="A1274" s="2" t="s">
        <v>146</v>
      </c>
      <c r="B1274" s="2" t="s">
        <v>6170</v>
      </c>
      <c r="C1274" s="2" t="s">
        <v>788</v>
      </c>
      <c r="D1274" s="2" t="s">
        <v>6171</v>
      </c>
      <c r="E1274" s="2" t="s">
        <v>39</v>
      </c>
      <c r="F1274" s="2"/>
      <c r="G1274" s="2"/>
      <c r="H1274" s="2"/>
      <c r="I1274" s="3">
        <f t="shared" si="19"/>
        <v>203</v>
      </c>
    </row>
    <row r="1275" spans="1:9" ht="36" x14ac:dyDescent="0.3">
      <c r="A1275" s="2" t="s">
        <v>146</v>
      </c>
      <c r="B1275" s="2" t="s">
        <v>3363</v>
      </c>
      <c r="C1275" s="2" t="s">
        <v>389</v>
      </c>
      <c r="D1275" s="2" t="s">
        <v>6172</v>
      </c>
      <c r="E1275" s="2" t="s">
        <v>39</v>
      </c>
      <c r="F1275" s="2"/>
      <c r="G1275" s="2"/>
      <c r="H1275" s="2"/>
      <c r="I1275" s="3">
        <f t="shared" si="19"/>
        <v>203</v>
      </c>
    </row>
    <row r="1276" spans="1:9" ht="24" x14ac:dyDescent="0.3">
      <c r="A1276" s="2" t="s">
        <v>146</v>
      </c>
      <c r="B1276" s="2" t="s">
        <v>4783</v>
      </c>
      <c r="C1276" s="2"/>
      <c r="D1276" s="2" t="s">
        <v>6179</v>
      </c>
      <c r="E1276" s="2" t="s">
        <v>39</v>
      </c>
      <c r="F1276" s="2"/>
      <c r="G1276" s="2"/>
      <c r="H1276" s="2"/>
      <c r="I1276" s="3">
        <f t="shared" si="19"/>
        <v>203</v>
      </c>
    </row>
    <row r="1277" spans="1:9" ht="24" x14ac:dyDescent="0.3">
      <c r="A1277" s="2" t="s">
        <v>146</v>
      </c>
      <c r="B1277" s="2" t="s">
        <v>6187</v>
      </c>
      <c r="C1277" s="2"/>
      <c r="D1277" s="2" t="s">
        <v>6188</v>
      </c>
      <c r="E1277" s="2" t="s">
        <v>39</v>
      </c>
      <c r="F1277" s="2"/>
      <c r="G1277" s="2"/>
      <c r="H1277" s="2" t="s">
        <v>646</v>
      </c>
      <c r="I1277" s="3">
        <f t="shared" si="19"/>
        <v>204</v>
      </c>
    </row>
    <row r="1278" spans="1:9" ht="36" x14ac:dyDescent="0.3">
      <c r="A1278" s="2" t="s">
        <v>146</v>
      </c>
      <c r="B1278" s="2" t="s">
        <v>1961</v>
      </c>
      <c r="C1278" s="2" t="s">
        <v>214</v>
      </c>
      <c r="D1278" s="2" t="s">
        <v>6193</v>
      </c>
      <c r="E1278" s="2" t="s">
        <v>39</v>
      </c>
      <c r="F1278" s="2"/>
      <c r="G1278" s="2"/>
      <c r="H1278" s="2"/>
      <c r="I1278" s="3">
        <f t="shared" si="19"/>
        <v>204</v>
      </c>
    </row>
    <row r="1279" spans="1:9" ht="24" x14ac:dyDescent="0.3">
      <c r="A1279" s="2" t="s">
        <v>146</v>
      </c>
      <c r="B1279" s="2" t="s">
        <v>4857</v>
      </c>
      <c r="C1279" s="2"/>
      <c r="D1279" s="2" t="s">
        <v>8821</v>
      </c>
      <c r="E1279" s="2" t="s">
        <v>4235</v>
      </c>
      <c r="F1279" s="2" t="s">
        <v>4117</v>
      </c>
      <c r="G1279" s="2" t="s">
        <v>1717</v>
      </c>
      <c r="H1279" s="2"/>
      <c r="I1279" s="3">
        <f t="shared" si="19"/>
        <v>202</v>
      </c>
    </row>
    <row r="1280" spans="1:9" ht="36" x14ac:dyDescent="0.3">
      <c r="A1280" s="2" t="s">
        <v>146</v>
      </c>
      <c r="B1280" s="2" t="s">
        <v>6196</v>
      </c>
      <c r="C1280" s="2"/>
      <c r="D1280" s="2" t="s">
        <v>6197</v>
      </c>
      <c r="E1280" s="2" t="s">
        <v>39</v>
      </c>
      <c r="F1280" s="2"/>
      <c r="G1280" s="2"/>
      <c r="H1280" s="2"/>
      <c r="I1280" s="3">
        <f t="shared" si="19"/>
        <v>205</v>
      </c>
    </row>
    <row r="1281" spans="1:9" ht="24" x14ac:dyDescent="0.3">
      <c r="A1281" s="2" t="s">
        <v>146</v>
      </c>
      <c r="B1281" s="2" t="s">
        <v>1101</v>
      </c>
      <c r="C1281" s="2" t="s">
        <v>116</v>
      </c>
      <c r="D1281" s="2" t="s">
        <v>6206</v>
      </c>
      <c r="E1281" s="2" t="s">
        <v>39</v>
      </c>
      <c r="F1281" s="2"/>
      <c r="G1281" s="2" t="s">
        <v>1717</v>
      </c>
      <c r="H1281" s="2"/>
      <c r="I1281" s="3">
        <f t="shared" si="19"/>
        <v>205</v>
      </c>
    </row>
    <row r="1282" spans="1:9" ht="24" x14ac:dyDescent="0.3">
      <c r="A1282" s="2" t="s">
        <v>146</v>
      </c>
      <c r="B1282" s="2" t="s">
        <v>4196</v>
      </c>
      <c r="C1282" s="2" t="s">
        <v>6208</v>
      </c>
      <c r="D1282" s="2" t="s">
        <v>6209</v>
      </c>
      <c r="E1282" s="2" t="s">
        <v>39</v>
      </c>
      <c r="F1282" s="2"/>
      <c r="G1282" s="2"/>
      <c r="H1282" s="2"/>
      <c r="I1282" s="3">
        <f t="shared" ref="I1282:I1345" si="20">LEN(D1282)</f>
        <v>205</v>
      </c>
    </row>
    <row r="1283" spans="1:9" ht="24" x14ac:dyDescent="0.3">
      <c r="A1283" s="2" t="s">
        <v>146</v>
      </c>
      <c r="B1283" s="2" t="s">
        <v>4056</v>
      </c>
      <c r="C1283" s="2"/>
      <c r="D1283" s="2" t="s">
        <v>6210</v>
      </c>
      <c r="E1283" s="2" t="s">
        <v>39</v>
      </c>
      <c r="F1283" s="2"/>
      <c r="G1283" s="2"/>
      <c r="H1283" s="2"/>
      <c r="I1283" s="3">
        <f t="shared" si="20"/>
        <v>205</v>
      </c>
    </row>
    <row r="1284" spans="1:9" ht="24" x14ac:dyDescent="0.3">
      <c r="A1284" s="2" t="s">
        <v>146</v>
      </c>
      <c r="B1284" s="2" t="s">
        <v>2778</v>
      </c>
      <c r="C1284" s="3" t="s">
        <v>911</v>
      </c>
      <c r="D1284" s="2" t="s">
        <v>8822</v>
      </c>
      <c r="E1284" s="2" t="s">
        <v>242</v>
      </c>
      <c r="F1284" s="2" t="s">
        <v>4117</v>
      </c>
      <c r="G1284" s="2" t="s">
        <v>1717</v>
      </c>
      <c r="H1284" s="2"/>
      <c r="I1284" s="3">
        <f t="shared" si="20"/>
        <v>203</v>
      </c>
    </row>
    <row r="1285" spans="1:9" ht="36" x14ac:dyDescent="0.3">
      <c r="A1285" s="2" t="s">
        <v>146</v>
      </c>
      <c r="B1285" s="2" t="s">
        <v>6216</v>
      </c>
      <c r="C1285" s="2" t="s">
        <v>57</v>
      </c>
      <c r="D1285" s="2" t="s">
        <v>8823</v>
      </c>
      <c r="E1285" s="2" t="s">
        <v>39</v>
      </c>
      <c r="F1285" s="2" t="s">
        <v>1778</v>
      </c>
      <c r="G1285" s="2" t="s">
        <v>1717</v>
      </c>
      <c r="H1285" s="2"/>
      <c r="I1285" s="3">
        <f t="shared" si="20"/>
        <v>204</v>
      </c>
    </row>
    <row r="1286" spans="1:9" ht="36" x14ac:dyDescent="0.3">
      <c r="A1286" s="2" t="s">
        <v>146</v>
      </c>
      <c r="B1286" s="2" t="s">
        <v>6217</v>
      </c>
      <c r="C1286" s="2" t="s">
        <v>75</v>
      </c>
      <c r="D1286" s="2" t="s">
        <v>8824</v>
      </c>
      <c r="E1286" s="2" t="s">
        <v>3545</v>
      </c>
      <c r="F1286" s="2" t="s">
        <v>1778</v>
      </c>
      <c r="G1286" s="2" t="s">
        <v>350</v>
      </c>
      <c r="H1286" s="2"/>
      <c r="I1286" s="3">
        <f t="shared" si="20"/>
        <v>204</v>
      </c>
    </row>
    <row r="1287" spans="1:9" ht="24" x14ac:dyDescent="0.3">
      <c r="A1287" s="2" t="s">
        <v>146</v>
      </c>
      <c r="B1287" s="2" t="s">
        <v>6232</v>
      </c>
      <c r="C1287" s="2" t="s">
        <v>559</v>
      </c>
      <c r="D1287" s="2" t="s">
        <v>6233</v>
      </c>
      <c r="E1287" s="2" t="s">
        <v>39</v>
      </c>
      <c r="F1287" s="2"/>
      <c r="G1287" s="2"/>
      <c r="H1287" s="2"/>
      <c r="I1287" s="3">
        <f t="shared" si="20"/>
        <v>207</v>
      </c>
    </row>
    <row r="1288" spans="1:9" ht="36" x14ac:dyDescent="0.3">
      <c r="A1288" s="2" t="s">
        <v>146</v>
      </c>
      <c r="B1288" s="2" t="s">
        <v>6234</v>
      </c>
      <c r="C1288" s="2" t="s">
        <v>1255</v>
      </c>
      <c r="D1288" s="2" t="s">
        <v>6235</v>
      </c>
      <c r="E1288" s="2" t="s">
        <v>39</v>
      </c>
      <c r="F1288" s="2"/>
      <c r="G1288" s="2"/>
      <c r="H1288" s="2"/>
      <c r="I1288" s="3">
        <f t="shared" si="20"/>
        <v>207</v>
      </c>
    </row>
    <row r="1289" spans="1:9" ht="24" x14ac:dyDescent="0.3">
      <c r="A1289" s="2" t="s">
        <v>146</v>
      </c>
      <c r="B1289" s="2" t="s">
        <v>2012</v>
      </c>
      <c r="C1289" s="2"/>
      <c r="D1289" s="2" t="s">
        <v>6238</v>
      </c>
      <c r="E1289" s="2" t="s">
        <v>39</v>
      </c>
      <c r="F1289" s="2"/>
      <c r="G1289" s="2"/>
      <c r="H1289" s="2"/>
      <c r="I1289" s="3">
        <f t="shared" si="20"/>
        <v>207</v>
      </c>
    </row>
    <row r="1290" spans="1:9" ht="36" x14ac:dyDescent="0.3">
      <c r="A1290" s="2" t="s">
        <v>146</v>
      </c>
      <c r="B1290" s="2" t="s">
        <v>6242</v>
      </c>
      <c r="C1290" s="2" t="s">
        <v>491</v>
      </c>
      <c r="D1290" s="2" t="s">
        <v>6243</v>
      </c>
      <c r="E1290" s="2" t="s">
        <v>39</v>
      </c>
      <c r="F1290" s="2"/>
      <c r="G1290" s="2"/>
      <c r="H1290" s="2"/>
      <c r="I1290" s="3">
        <f t="shared" si="20"/>
        <v>207</v>
      </c>
    </row>
    <row r="1291" spans="1:9" ht="24" x14ac:dyDescent="0.3">
      <c r="A1291" s="2" t="s">
        <v>146</v>
      </c>
      <c r="B1291" s="2" t="s">
        <v>6244</v>
      </c>
      <c r="C1291" s="2"/>
      <c r="D1291" s="2" t="s">
        <v>6245</v>
      </c>
      <c r="E1291" s="2" t="s">
        <v>39</v>
      </c>
      <c r="F1291" s="2"/>
      <c r="G1291" s="2"/>
      <c r="H1291" s="2"/>
      <c r="I1291" s="3">
        <f t="shared" si="20"/>
        <v>207</v>
      </c>
    </row>
    <row r="1292" spans="1:9" ht="36" x14ac:dyDescent="0.3">
      <c r="A1292" s="2" t="s">
        <v>146</v>
      </c>
      <c r="B1292" s="2" t="s">
        <v>1200</v>
      </c>
      <c r="C1292" s="3" t="s">
        <v>911</v>
      </c>
      <c r="D1292" s="2" t="s">
        <v>8825</v>
      </c>
      <c r="E1292" s="2" t="s">
        <v>5335</v>
      </c>
      <c r="F1292" s="2" t="s">
        <v>1778</v>
      </c>
      <c r="G1292" s="2" t="s">
        <v>1717</v>
      </c>
      <c r="H1292" s="2"/>
      <c r="I1292" s="3">
        <f t="shared" si="20"/>
        <v>205</v>
      </c>
    </row>
    <row r="1293" spans="1:9" ht="24" x14ac:dyDescent="0.3">
      <c r="A1293" s="2" t="s">
        <v>146</v>
      </c>
      <c r="B1293" s="2" t="s">
        <v>6246</v>
      </c>
      <c r="C1293" s="2" t="s">
        <v>437</v>
      </c>
      <c r="D1293" s="2" t="s">
        <v>6247</v>
      </c>
      <c r="E1293" s="2" t="s">
        <v>39</v>
      </c>
      <c r="F1293" s="2"/>
      <c r="G1293" s="2"/>
      <c r="H1293" s="2"/>
      <c r="I1293" s="3">
        <f t="shared" si="20"/>
        <v>207</v>
      </c>
    </row>
    <row r="1294" spans="1:9" ht="36" x14ac:dyDescent="0.3">
      <c r="A1294" s="2" t="s">
        <v>146</v>
      </c>
      <c r="B1294" s="2" t="s">
        <v>6248</v>
      </c>
      <c r="C1294" s="2" t="s">
        <v>911</v>
      </c>
      <c r="D1294" s="2" t="s">
        <v>8826</v>
      </c>
      <c r="E1294" s="2" t="s">
        <v>6249</v>
      </c>
      <c r="F1294" s="2" t="s">
        <v>4117</v>
      </c>
      <c r="G1294" s="2" t="s">
        <v>350</v>
      </c>
      <c r="H1294" s="2"/>
      <c r="I1294" s="3">
        <f t="shared" si="20"/>
        <v>206</v>
      </c>
    </row>
    <row r="1295" spans="1:9" ht="36" x14ac:dyDescent="0.3">
      <c r="A1295" s="2" t="s">
        <v>146</v>
      </c>
      <c r="B1295" s="2" t="s">
        <v>6250</v>
      </c>
      <c r="C1295" s="2" t="s">
        <v>2531</v>
      </c>
      <c r="D1295" s="2" t="s">
        <v>8827</v>
      </c>
      <c r="E1295" s="2" t="s">
        <v>39</v>
      </c>
      <c r="F1295" s="2" t="s">
        <v>1778</v>
      </c>
      <c r="G1295" s="2" t="s">
        <v>1717</v>
      </c>
      <c r="H1295" s="2"/>
      <c r="I1295" s="3">
        <f t="shared" si="20"/>
        <v>206</v>
      </c>
    </row>
    <row r="1296" spans="1:9" ht="36" x14ac:dyDescent="0.3">
      <c r="A1296" s="2" t="s">
        <v>146</v>
      </c>
      <c r="B1296" s="2" t="s">
        <v>6263</v>
      </c>
      <c r="C1296" s="2" t="s">
        <v>2730</v>
      </c>
      <c r="D1296" s="2" t="s">
        <v>8828</v>
      </c>
      <c r="E1296" s="2" t="s">
        <v>3671</v>
      </c>
      <c r="F1296" s="2" t="s">
        <v>4117</v>
      </c>
      <c r="G1296" s="2" t="s">
        <v>1717</v>
      </c>
      <c r="H1296" s="2"/>
      <c r="I1296" s="3">
        <f t="shared" si="20"/>
        <v>206</v>
      </c>
    </row>
    <row r="1297" spans="1:9" ht="24" x14ac:dyDescent="0.3">
      <c r="A1297" s="2" t="s">
        <v>146</v>
      </c>
      <c r="B1297" s="2" t="s">
        <v>4703</v>
      </c>
      <c r="C1297" s="2" t="s">
        <v>3656</v>
      </c>
      <c r="D1297" s="2" t="s">
        <v>8829</v>
      </c>
      <c r="E1297" s="2" t="s">
        <v>39</v>
      </c>
      <c r="F1297" s="2" t="s">
        <v>350</v>
      </c>
      <c r="G1297" s="2" t="s">
        <v>1717</v>
      </c>
      <c r="H1297" s="2"/>
      <c r="I1297" s="3">
        <f t="shared" si="20"/>
        <v>207</v>
      </c>
    </row>
    <row r="1298" spans="1:9" ht="36" x14ac:dyDescent="0.3">
      <c r="A1298" s="2" t="s">
        <v>146</v>
      </c>
      <c r="B1298" s="2" t="s">
        <v>6271</v>
      </c>
      <c r="C1298" s="2" t="s">
        <v>1772</v>
      </c>
      <c r="D1298" s="2" t="s">
        <v>6272</v>
      </c>
      <c r="E1298" s="2" t="s">
        <v>39</v>
      </c>
      <c r="F1298" s="2"/>
      <c r="G1298" s="2"/>
      <c r="H1298" s="2"/>
      <c r="I1298" s="3">
        <f t="shared" si="20"/>
        <v>209</v>
      </c>
    </row>
    <row r="1299" spans="1:9" ht="36" x14ac:dyDescent="0.3">
      <c r="A1299" s="2" t="s">
        <v>146</v>
      </c>
      <c r="B1299" s="2" t="s">
        <v>6277</v>
      </c>
      <c r="C1299" s="2" t="s">
        <v>6278</v>
      </c>
      <c r="D1299" s="2" t="s">
        <v>8830</v>
      </c>
      <c r="E1299" s="2" t="s">
        <v>39</v>
      </c>
      <c r="F1299" s="2" t="s">
        <v>1778</v>
      </c>
      <c r="G1299" s="2" t="s">
        <v>1717</v>
      </c>
      <c r="H1299" s="2" t="s">
        <v>646</v>
      </c>
      <c r="I1299" s="3">
        <f t="shared" si="20"/>
        <v>207</v>
      </c>
    </row>
    <row r="1300" spans="1:9" ht="24" x14ac:dyDescent="0.3">
      <c r="A1300" s="2" t="s">
        <v>146</v>
      </c>
      <c r="B1300" s="2" t="s">
        <v>6279</v>
      </c>
      <c r="C1300" s="2" t="s">
        <v>35</v>
      </c>
      <c r="D1300" s="2" t="s">
        <v>6280</v>
      </c>
      <c r="E1300" s="2" t="s">
        <v>39</v>
      </c>
      <c r="F1300" s="2"/>
      <c r="G1300" s="2"/>
      <c r="H1300" s="2"/>
      <c r="I1300" s="3">
        <f t="shared" si="20"/>
        <v>209</v>
      </c>
    </row>
    <row r="1301" spans="1:9" ht="24" x14ac:dyDescent="0.3">
      <c r="A1301" s="2" t="s">
        <v>146</v>
      </c>
      <c r="B1301" s="2" t="s">
        <v>6281</v>
      </c>
      <c r="C1301" s="2"/>
      <c r="D1301" s="2" t="s">
        <v>6282</v>
      </c>
      <c r="E1301" s="2" t="s">
        <v>39</v>
      </c>
      <c r="F1301" s="2"/>
      <c r="G1301" s="2"/>
      <c r="H1301" s="2" t="s">
        <v>194</v>
      </c>
      <c r="I1301" s="3">
        <f t="shared" si="20"/>
        <v>209</v>
      </c>
    </row>
    <row r="1302" spans="1:9" ht="36" x14ac:dyDescent="0.3">
      <c r="A1302" s="2" t="s">
        <v>146</v>
      </c>
      <c r="B1302" s="2" t="s">
        <v>6283</v>
      </c>
      <c r="C1302" s="2" t="s">
        <v>1201</v>
      </c>
      <c r="D1302" s="2" t="s">
        <v>8831</v>
      </c>
      <c r="E1302" s="2" t="s">
        <v>39</v>
      </c>
      <c r="F1302" s="2" t="s">
        <v>1778</v>
      </c>
      <c r="G1302" s="2" t="s">
        <v>1717</v>
      </c>
      <c r="H1302" s="2"/>
      <c r="I1302" s="3">
        <f t="shared" si="20"/>
        <v>208</v>
      </c>
    </row>
    <row r="1303" spans="1:9" ht="36" x14ac:dyDescent="0.3">
      <c r="A1303" s="2" t="s">
        <v>146</v>
      </c>
      <c r="B1303" s="2" t="s">
        <v>6290</v>
      </c>
      <c r="C1303" s="2"/>
      <c r="D1303" s="2" t="s">
        <v>6291</v>
      </c>
      <c r="E1303" s="2" t="s">
        <v>39</v>
      </c>
      <c r="F1303" s="2"/>
      <c r="G1303" s="2"/>
      <c r="H1303" s="2" t="s">
        <v>646</v>
      </c>
      <c r="I1303" s="3">
        <f t="shared" si="20"/>
        <v>210</v>
      </c>
    </row>
    <row r="1304" spans="1:9" ht="36" x14ac:dyDescent="0.3">
      <c r="A1304" s="2" t="s">
        <v>146</v>
      </c>
      <c r="B1304" s="2" t="s">
        <v>6293</v>
      </c>
      <c r="C1304" s="2" t="s">
        <v>130</v>
      </c>
      <c r="D1304" s="2" t="s">
        <v>8832</v>
      </c>
      <c r="E1304" s="2" t="s">
        <v>3980</v>
      </c>
      <c r="F1304" s="2" t="s">
        <v>1778</v>
      </c>
      <c r="G1304" s="2" t="s">
        <v>1717</v>
      </c>
      <c r="H1304" s="2"/>
      <c r="I1304" s="3">
        <f t="shared" si="20"/>
        <v>209</v>
      </c>
    </row>
    <row r="1305" spans="1:9" ht="36" x14ac:dyDescent="0.3">
      <c r="A1305" s="2" t="s">
        <v>146</v>
      </c>
      <c r="B1305" s="2" t="s">
        <v>3110</v>
      </c>
      <c r="C1305" s="2" t="s">
        <v>6300</v>
      </c>
      <c r="D1305" s="2" t="s">
        <v>8833</v>
      </c>
      <c r="E1305" s="2" t="s">
        <v>39</v>
      </c>
      <c r="F1305" s="2" t="s">
        <v>350</v>
      </c>
      <c r="G1305" s="2" t="s">
        <v>1717</v>
      </c>
      <c r="H1305" s="2"/>
      <c r="I1305" s="3">
        <f t="shared" si="20"/>
        <v>209</v>
      </c>
    </row>
    <row r="1306" spans="1:9" ht="36" x14ac:dyDescent="0.3">
      <c r="A1306" s="2" t="s">
        <v>146</v>
      </c>
      <c r="B1306" s="2" t="s">
        <v>6301</v>
      </c>
      <c r="C1306" s="2"/>
      <c r="D1306" s="2" t="s">
        <v>8834</v>
      </c>
      <c r="E1306" s="2" t="s">
        <v>39</v>
      </c>
      <c r="F1306" s="2" t="s">
        <v>1778</v>
      </c>
      <c r="G1306" s="2" t="s">
        <v>1717</v>
      </c>
      <c r="H1306" s="2" t="s">
        <v>1176</v>
      </c>
      <c r="I1306" s="3">
        <f t="shared" si="20"/>
        <v>209</v>
      </c>
    </row>
    <row r="1307" spans="1:9" ht="36" x14ac:dyDescent="0.3">
      <c r="A1307" s="2" t="s">
        <v>146</v>
      </c>
      <c r="B1307" s="2" t="s">
        <v>6309</v>
      </c>
      <c r="C1307" s="2" t="s">
        <v>5393</v>
      </c>
      <c r="D1307" s="2" t="s">
        <v>8835</v>
      </c>
      <c r="E1307" s="2" t="s">
        <v>39</v>
      </c>
      <c r="F1307" s="2" t="s">
        <v>1778</v>
      </c>
      <c r="G1307" s="2" t="s">
        <v>1717</v>
      </c>
      <c r="H1307" s="2"/>
      <c r="I1307" s="3">
        <f t="shared" si="20"/>
        <v>209</v>
      </c>
    </row>
    <row r="1308" spans="1:9" ht="36" x14ac:dyDescent="0.3">
      <c r="A1308" s="2" t="s">
        <v>146</v>
      </c>
      <c r="B1308" s="2" t="s">
        <v>6310</v>
      </c>
      <c r="C1308" s="2" t="s">
        <v>57</v>
      </c>
      <c r="D1308" s="2" t="s">
        <v>8836</v>
      </c>
      <c r="E1308" s="2" t="s">
        <v>5017</v>
      </c>
      <c r="F1308" s="2" t="s">
        <v>1778</v>
      </c>
      <c r="G1308" s="2" t="s">
        <v>1717</v>
      </c>
      <c r="H1308" s="2"/>
      <c r="I1308" s="3">
        <f t="shared" si="20"/>
        <v>209</v>
      </c>
    </row>
    <row r="1309" spans="1:9" ht="36" x14ac:dyDescent="0.3">
      <c r="A1309" s="2" t="s">
        <v>146</v>
      </c>
      <c r="B1309" s="2" t="s">
        <v>6321</v>
      </c>
      <c r="C1309" s="2" t="s">
        <v>45</v>
      </c>
      <c r="D1309" s="2" t="s">
        <v>8837</v>
      </c>
      <c r="E1309" s="2" t="s">
        <v>39</v>
      </c>
      <c r="F1309" s="2" t="s">
        <v>4117</v>
      </c>
      <c r="G1309" s="2" t="s">
        <v>1717</v>
      </c>
      <c r="H1309" s="2"/>
      <c r="I1309" s="3">
        <f t="shared" si="20"/>
        <v>210</v>
      </c>
    </row>
    <row r="1310" spans="1:9" ht="36" x14ac:dyDescent="0.3">
      <c r="A1310" s="2" t="s">
        <v>146</v>
      </c>
      <c r="B1310" s="2" t="s">
        <v>6030</v>
      </c>
      <c r="C1310" s="2" t="s">
        <v>491</v>
      </c>
      <c r="D1310" s="2" t="s">
        <v>6322</v>
      </c>
      <c r="E1310" s="2" t="s">
        <v>39</v>
      </c>
      <c r="F1310" s="2"/>
      <c r="G1310" s="2"/>
      <c r="H1310" s="2"/>
      <c r="I1310" s="3">
        <f t="shared" si="20"/>
        <v>212</v>
      </c>
    </row>
    <row r="1311" spans="1:9" ht="36" x14ac:dyDescent="0.3">
      <c r="A1311" s="2" t="s">
        <v>146</v>
      </c>
      <c r="B1311" s="2" t="s">
        <v>3890</v>
      </c>
      <c r="C1311" s="3" t="s">
        <v>911</v>
      </c>
      <c r="D1311" s="2" t="s">
        <v>8838</v>
      </c>
      <c r="E1311" s="2" t="s">
        <v>5017</v>
      </c>
      <c r="F1311" s="2" t="s">
        <v>1778</v>
      </c>
      <c r="G1311" s="2" t="s">
        <v>1717</v>
      </c>
      <c r="H1311" s="2"/>
      <c r="I1311" s="3">
        <f t="shared" si="20"/>
        <v>211</v>
      </c>
    </row>
    <row r="1312" spans="1:9" ht="36" x14ac:dyDescent="0.3">
      <c r="A1312" s="2" t="s">
        <v>146</v>
      </c>
      <c r="B1312" s="2" t="s">
        <v>5464</v>
      </c>
      <c r="C1312" s="2" t="s">
        <v>2531</v>
      </c>
      <c r="D1312" s="2" t="s">
        <v>6323</v>
      </c>
      <c r="E1312" s="2" t="s">
        <v>39</v>
      </c>
      <c r="F1312" s="2"/>
      <c r="G1312" s="2"/>
      <c r="H1312" s="2"/>
      <c r="I1312" s="3">
        <f t="shared" si="20"/>
        <v>213</v>
      </c>
    </row>
    <row r="1313" spans="1:9" ht="36" x14ac:dyDescent="0.3">
      <c r="A1313" s="2" t="s">
        <v>146</v>
      </c>
      <c r="B1313" s="2" t="s">
        <v>1759</v>
      </c>
      <c r="C1313" s="2" t="s">
        <v>911</v>
      </c>
      <c r="D1313" s="2" t="s">
        <v>8839</v>
      </c>
      <c r="E1313" s="2" t="s">
        <v>39</v>
      </c>
      <c r="F1313" s="2" t="s">
        <v>2281</v>
      </c>
      <c r="G1313" s="2" t="s">
        <v>1717</v>
      </c>
      <c r="H1313" s="2"/>
      <c r="I1313" s="3">
        <f t="shared" si="20"/>
        <v>211</v>
      </c>
    </row>
    <row r="1314" spans="1:9" ht="36" x14ac:dyDescent="0.3">
      <c r="A1314" s="2" t="s">
        <v>146</v>
      </c>
      <c r="B1314" s="2" t="s">
        <v>6330</v>
      </c>
      <c r="C1314" s="2" t="s">
        <v>446</v>
      </c>
      <c r="D1314" s="2" t="s">
        <v>6331</v>
      </c>
      <c r="E1314" s="2" t="s">
        <v>393</v>
      </c>
      <c r="F1314" s="2"/>
      <c r="G1314" s="2"/>
      <c r="H1314" s="2"/>
      <c r="I1314" s="3">
        <f t="shared" si="20"/>
        <v>213</v>
      </c>
    </row>
    <row r="1315" spans="1:9" ht="36" x14ac:dyDescent="0.3">
      <c r="A1315" s="2" t="s">
        <v>146</v>
      </c>
      <c r="B1315" s="2" t="s">
        <v>6336</v>
      </c>
      <c r="C1315" s="2"/>
      <c r="D1315" s="2" t="s">
        <v>6337</v>
      </c>
      <c r="E1315" s="2" t="s">
        <v>39</v>
      </c>
      <c r="F1315" s="2"/>
      <c r="G1315" s="2"/>
      <c r="H1315" s="2"/>
      <c r="I1315" s="3">
        <f t="shared" si="20"/>
        <v>214</v>
      </c>
    </row>
    <row r="1316" spans="1:9" ht="36" x14ac:dyDescent="0.3">
      <c r="A1316" s="2" t="s">
        <v>146</v>
      </c>
      <c r="B1316" s="2" t="s">
        <v>6338</v>
      </c>
      <c r="C1316" s="2" t="s">
        <v>275</v>
      </c>
      <c r="D1316" s="2" t="s">
        <v>8840</v>
      </c>
      <c r="E1316" s="2" t="s">
        <v>616</v>
      </c>
      <c r="F1316" s="2" t="s">
        <v>4117</v>
      </c>
      <c r="G1316" s="2" t="s">
        <v>1717</v>
      </c>
      <c r="H1316" s="2"/>
      <c r="I1316" s="3">
        <f t="shared" si="20"/>
        <v>212</v>
      </c>
    </row>
    <row r="1317" spans="1:9" ht="36" x14ac:dyDescent="0.3">
      <c r="A1317" s="2" t="s">
        <v>146</v>
      </c>
      <c r="B1317" s="2" t="s">
        <v>147</v>
      </c>
      <c r="C1317" s="2" t="s">
        <v>113</v>
      </c>
      <c r="D1317" s="2" t="s">
        <v>6339</v>
      </c>
      <c r="E1317" s="2" t="s">
        <v>39</v>
      </c>
      <c r="F1317" s="2"/>
      <c r="G1317" s="2" t="s">
        <v>1717</v>
      </c>
      <c r="H1317" s="2"/>
      <c r="I1317" s="3">
        <f t="shared" si="20"/>
        <v>215</v>
      </c>
    </row>
    <row r="1318" spans="1:9" ht="36" x14ac:dyDescent="0.3">
      <c r="A1318" s="2" t="s">
        <v>146</v>
      </c>
      <c r="B1318" s="2" t="s">
        <v>6342</v>
      </c>
      <c r="C1318" s="2"/>
      <c r="D1318" s="2" t="s">
        <v>6343</v>
      </c>
      <c r="E1318" s="2" t="s">
        <v>3936</v>
      </c>
      <c r="F1318" s="2"/>
      <c r="G1318" s="2"/>
      <c r="H1318" s="2" t="s">
        <v>646</v>
      </c>
      <c r="I1318" s="3">
        <f t="shared" si="20"/>
        <v>215</v>
      </c>
    </row>
    <row r="1319" spans="1:9" ht="36" x14ac:dyDescent="0.3">
      <c r="A1319" s="2" t="s">
        <v>146</v>
      </c>
      <c r="B1319" s="2" t="s">
        <v>2230</v>
      </c>
      <c r="C1319" s="2" t="s">
        <v>515</v>
      </c>
      <c r="D1319" s="2" t="s">
        <v>6344</v>
      </c>
      <c r="E1319" s="2" t="s">
        <v>39</v>
      </c>
      <c r="F1319" s="2"/>
      <c r="G1319" s="2"/>
      <c r="H1319" s="2"/>
      <c r="I1319" s="3">
        <f t="shared" si="20"/>
        <v>215</v>
      </c>
    </row>
    <row r="1320" spans="1:9" ht="36" x14ac:dyDescent="0.3">
      <c r="A1320" s="2" t="s">
        <v>146</v>
      </c>
      <c r="B1320" s="2" t="s">
        <v>5214</v>
      </c>
      <c r="C1320" s="2" t="s">
        <v>515</v>
      </c>
      <c r="D1320" s="2" t="s">
        <v>6345</v>
      </c>
      <c r="E1320" s="2" t="s">
        <v>39</v>
      </c>
      <c r="F1320" s="2"/>
      <c r="G1320" s="2"/>
      <c r="H1320" s="2"/>
      <c r="I1320" s="3">
        <f t="shared" si="20"/>
        <v>215</v>
      </c>
    </row>
    <row r="1321" spans="1:9" ht="36" x14ac:dyDescent="0.3">
      <c r="A1321" s="2" t="s">
        <v>146</v>
      </c>
      <c r="B1321" s="2" t="s">
        <v>5569</v>
      </c>
      <c r="C1321" s="2" t="s">
        <v>1201</v>
      </c>
      <c r="D1321" s="2" t="s">
        <v>8841</v>
      </c>
      <c r="E1321" s="2" t="s">
        <v>39</v>
      </c>
      <c r="F1321" s="2" t="s">
        <v>1778</v>
      </c>
      <c r="G1321" s="2" t="s">
        <v>1717</v>
      </c>
      <c r="H1321" s="2"/>
      <c r="I1321" s="3">
        <f t="shared" si="20"/>
        <v>214</v>
      </c>
    </row>
    <row r="1322" spans="1:9" ht="36" x14ac:dyDescent="0.3">
      <c r="A1322" s="2" t="s">
        <v>146</v>
      </c>
      <c r="B1322" s="2" t="s">
        <v>6353</v>
      </c>
      <c r="C1322" s="2" t="s">
        <v>515</v>
      </c>
      <c r="D1322" s="2" t="s">
        <v>6354</v>
      </c>
      <c r="E1322" s="2" t="s">
        <v>39</v>
      </c>
      <c r="F1322" s="2"/>
      <c r="G1322" s="2"/>
      <c r="H1322" s="2"/>
      <c r="I1322" s="3">
        <f t="shared" si="20"/>
        <v>216</v>
      </c>
    </row>
    <row r="1323" spans="1:9" ht="36" x14ac:dyDescent="0.3">
      <c r="A1323" s="2" t="s">
        <v>146</v>
      </c>
      <c r="B1323" s="2" t="s">
        <v>6355</v>
      </c>
      <c r="C1323" s="2" t="s">
        <v>559</v>
      </c>
      <c r="D1323" s="2" t="s">
        <v>6356</v>
      </c>
      <c r="E1323" s="2" t="s">
        <v>39</v>
      </c>
      <c r="F1323" s="2"/>
      <c r="G1323" s="2"/>
      <c r="H1323" s="2"/>
      <c r="I1323" s="3">
        <f t="shared" si="20"/>
        <v>216</v>
      </c>
    </row>
    <row r="1324" spans="1:9" ht="36" x14ac:dyDescent="0.3">
      <c r="A1324" s="2" t="s">
        <v>146</v>
      </c>
      <c r="B1324" s="2" t="s">
        <v>6357</v>
      </c>
      <c r="C1324" s="2" t="s">
        <v>544</v>
      </c>
      <c r="D1324" s="2" t="s">
        <v>6358</v>
      </c>
      <c r="E1324" s="2" t="s">
        <v>39</v>
      </c>
      <c r="F1324" s="2"/>
      <c r="G1324" s="2"/>
      <c r="H1324" s="2"/>
      <c r="I1324" s="3">
        <f t="shared" si="20"/>
        <v>216</v>
      </c>
    </row>
    <row r="1325" spans="1:9" ht="36" x14ac:dyDescent="0.3">
      <c r="A1325" s="2" t="s">
        <v>146</v>
      </c>
      <c r="B1325" s="2" t="s">
        <v>2253</v>
      </c>
      <c r="C1325" s="2" t="s">
        <v>446</v>
      </c>
      <c r="D1325" s="2" t="s">
        <v>6359</v>
      </c>
      <c r="E1325" s="2" t="s">
        <v>39</v>
      </c>
      <c r="F1325" s="2"/>
      <c r="G1325" s="2"/>
      <c r="H1325" s="2"/>
      <c r="I1325" s="3">
        <f t="shared" si="20"/>
        <v>216</v>
      </c>
    </row>
    <row r="1326" spans="1:9" ht="36" x14ac:dyDescent="0.3">
      <c r="A1326" s="2" t="s">
        <v>146</v>
      </c>
      <c r="B1326" s="2" t="s">
        <v>6362</v>
      </c>
      <c r="C1326" s="2" t="s">
        <v>2060</v>
      </c>
      <c r="D1326" s="2" t="s">
        <v>6363</v>
      </c>
      <c r="E1326" s="2" t="s">
        <v>39</v>
      </c>
      <c r="F1326" s="2"/>
      <c r="G1326" s="2"/>
      <c r="H1326" s="2"/>
      <c r="I1326" s="3">
        <f t="shared" si="20"/>
        <v>217</v>
      </c>
    </row>
    <row r="1327" spans="1:9" ht="36" x14ac:dyDescent="0.3">
      <c r="A1327" s="2" t="s">
        <v>146</v>
      </c>
      <c r="B1327" s="2" t="s">
        <v>6364</v>
      </c>
      <c r="C1327" s="2"/>
      <c r="D1327" s="2" t="s">
        <v>8842</v>
      </c>
      <c r="E1327" s="2" t="s">
        <v>3545</v>
      </c>
      <c r="F1327" s="2" t="s">
        <v>4117</v>
      </c>
      <c r="G1327" s="2" t="s">
        <v>1717</v>
      </c>
      <c r="H1327" s="2"/>
      <c r="I1327" s="3">
        <f t="shared" si="20"/>
        <v>215</v>
      </c>
    </row>
    <row r="1328" spans="1:9" ht="36" x14ac:dyDescent="0.3">
      <c r="A1328" s="2" t="s">
        <v>146</v>
      </c>
      <c r="B1328" s="2" t="s">
        <v>6366</v>
      </c>
      <c r="C1328" s="2" t="s">
        <v>515</v>
      </c>
      <c r="D1328" s="2" t="s">
        <v>6367</v>
      </c>
      <c r="E1328" s="2" t="s">
        <v>39</v>
      </c>
      <c r="F1328" s="2"/>
      <c r="G1328" s="2"/>
      <c r="H1328" s="2"/>
      <c r="I1328" s="3">
        <f t="shared" si="20"/>
        <v>217</v>
      </c>
    </row>
    <row r="1329" spans="1:9" ht="36" x14ac:dyDescent="0.3">
      <c r="A1329" s="2" t="s">
        <v>146</v>
      </c>
      <c r="B1329" s="2" t="s">
        <v>6368</v>
      </c>
      <c r="C1329" s="2" t="s">
        <v>6369</v>
      </c>
      <c r="D1329" s="2" t="s">
        <v>8843</v>
      </c>
      <c r="E1329" s="2" t="s">
        <v>39</v>
      </c>
      <c r="F1329" s="2" t="s">
        <v>1778</v>
      </c>
      <c r="G1329" s="2" t="s">
        <v>1717</v>
      </c>
      <c r="H1329" s="2"/>
      <c r="I1329" s="3">
        <f t="shared" si="20"/>
        <v>215</v>
      </c>
    </row>
    <row r="1330" spans="1:9" ht="36" x14ac:dyDescent="0.3">
      <c r="A1330" s="2" t="s">
        <v>146</v>
      </c>
      <c r="B1330" s="2" t="s">
        <v>6376</v>
      </c>
      <c r="C1330" s="2"/>
      <c r="D1330" s="2" t="s">
        <v>6377</v>
      </c>
      <c r="E1330" s="2" t="s">
        <v>39</v>
      </c>
      <c r="F1330" s="2"/>
      <c r="G1330" s="2"/>
      <c r="H1330" s="2" t="s">
        <v>194</v>
      </c>
      <c r="I1330" s="3">
        <f t="shared" si="20"/>
        <v>217</v>
      </c>
    </row>
    <row r="1331" spans="1:9" ht="36" x14ac:dyDescent="0.3">
      <c r="A1331" s="2" t="s">
        <v>146</v>
      </c>
      <c r="B1331" s="2" t="s">
        <v>6378</v>
      </c>
      <c r="C1331" s="2" t="s">
        <v>116</v>
      </c>
      <c r="D1331" s="2" t="s">
        <v>8844</v>
      </c>
      <c r="E1331" s="2" t="s">
        <v>39</v>
      </c>
      <c r="F1331" s="2" t="s">
        <v>1778</v>
      </c>
      <c r="G1331" s="2" t="s">
        <v>1717</v>
      </c>
      <c r="H1331" s="2"/>
      <c r="I1331" s="3">
        <f t="shared" si="20"/>
        <v>215</v>
      </c>
    </row>
    <row r="1332" spans="1:9" ht="36" x14ac:dyDescent="0.3">
      <c r="A1332" s="2" t="s">
        <v>146</v>
      </c>
      <c r="B1332" s="2" t="s">
        <v>5073</v>
      </c>
      <c r="C1332" s="2" t="s">
        <v>64</v>
      </c>
      <c r="D1332" s="2" t="s">
        <v>6379</v>
      </c>
      <c r="E1332" s="2" t="s">
        <v>39</v>
      </c>
      <c r="F1332" s="2"/>
      <c r="G1332" s="2"/>
      <c r="H1332" s="2"/>
      <c r="I1332" s="3">
        <f t="shared" si="20"/>
        <v>218</v>
      </c>
    </row>
    <row r="1333" spans="1:9" ht="36" x14ac:dyDescent="0.3">
      <c r="A1333" s="2" t="s">
        <v>146</v>
      </c>
      <c r="B1333" s="2" t="s">
        <v>6382</v>
      </c>
      <c r="C1333" s="2" t="s">
        <v>2531</v>
      </c>
      <c r="D1333" s="2" t="s">
        <v>8845</v>
      </c>
      <c r="E1333" s="2" t="s">
        <v>3980</v>
      </c>
      <c r="F1333" s="2" t="s">
        <v>1778</v>
      </c>
      <c r="G1333" s="2" t="s">
        <v>1717</v>
      </c>
      <c r="H1333" s="2"/>
      <c r="I1333" s="3">
        <f t="shared" si="20"/>
        <v>216</v>
      </c>
    </row>
    <row r="1334" spans="1:9" ht="36" x14ac:dyDescent="0.3">
      <c r="A1334" s="2" t="s">
        <v>146</v>
      </c>
      <c r="B1334" s="2" t="s">
        <v>1487</v>
      </c>
      <c r="C1334" s="2" t="s">
        <v>1647</v>
      </c>
      <c r="D1334" s="2" t="s">
        <v>6383</v>
      </c>
      <c r="E1334" s="2" t="s">
        <v>39</v>
      </c>
      <c r="F1334" s="2"/>
      <c r="G1334" s="2"/>
      <c r="H1334" s="2"/>
      <c r="I1334" s="3">
        <f t="shared" si="20"/>
        <v>218</v>
      </c>
    </row>
    <row r="1335" spans="1:9" ht="36" x14ac:dyDescent="0.3">
      <c r="A1335" s="2" t="s">
        <v>146</v>
      </c>
      <c r="B1335" s="2" t="s">
        <v>6386</v>
      </c>
      <c r="C1335" s="2" t="s">
        <v>437</v>
      </c>
      <c r="D1335" s="2" t="s">
        <v>6387</v>
      </c>
      <c r="E1335" s="2" t="s">
        <v>39</v>
      </c>
      <c r="F1335" s="2"/>
      <c r="G1335" s="2"/>
      <c r="H1335" s="2"/>
      <c r="I1335" s="3">
        <f t="shared" si="20"/>
        <v>218</v>
      </c>
    </row>
    <row r="1336" spans="1:9" ht="36" x14ac:dyDescent="0.3">
      <c r="A1336" s="2" t="s">
        <v>146</v>
      </c>
      <c r="B1336" s="2" t="s">
        <v>6389</v>
      </c>
      <c r="C1336" s="2" t="s">
        <v>590</v>
      </c>
      <c r="D1336" s="2" t="s">
        <v>6390</v>
      </c>
      <c r="E1336" s="2" t="s">
        <v>3671</v>
      </c>
      <c r="F1336" s="2"/>
      <c r="G1336" s="2"/>
      <c r="H1336" s="2"/>
      <c r="I1336" s="3">
        <f t="shared" si="20"/>
        <v>218</v>
      </c>
    </row>
    <row r="1337" spans="1:9" ht="36" x14ac:dyDescent="0.3">
      <c r="A1337" s="2" t="s">
        <v>146</v>
      </c>
      <c r="B1337" s="2" t="s">
        <v>3395</v>
      </c>
      <c r="C1337" s="2" t="s">
        <v>590</v>
      </c>
      <c r="D1337" s="2" t="s">
        <v>6395</v>
      </c>
      <c r="E1337" s="2" t="s">
        <v>3773</v>
      </c>
      <c r="F1337" s="2"/>
      <c r="G1337" s="2"/>
      <c r="H1337" s="2"/>
      <c r="I1337" s="3">
        <f t="shared" si="20"/>
        <v>219</v>
      </c>
    </row>
    <row r="1338" spans="1:9" ht="36" x14ac:dyDescent="0.3">
      <c r="A1338" s="2" t="s">
        <v>146</v>
      </c>
      <c r="B1338" s="2" t="s">
        <v>6406</v>
      </c>
      <c r="C1338" s="2" t="s">
        <v>491</v>
      </c>
      <c r="D1338" s="2" t="s">
        <v>6407</v>
      </c>
      <c r="E1338" s="2" t="s">
        <v>39</v>
      </c>
      <c r="F1338" s="2"/>
      <c r="G1338" s="2"/>
      <c r="H1338" s="2"/>
      <c r="I1338" s="3">
        <f t="shared" si="20"/>
        <v>219</v>
      </c>
    </row>
    <row r="1339" spans="1:9" ht="36" x14ac:dyDescent="0.3">
      <c r="A1339" s="2" t="s">
        <v>146</v>
      </c>
      <c r="B1339" s="2" t="s">
        <v>945</v>
      </c>
      <c r="C1339" s="2" t="s">
        <v>4753</v>
      </c>
      <c r="D1339" s="2" t="s">
        <v>8846</v>
      </c>
      <c r="E1339" s="2" t="s">
        <v>6415</v>
      </c>
      <c r="F1339" s="2" t="s">
        <v>350</v>
      </c>
      <c r="G1339" s="2" t="s">
        <v>350</v>
      </c>
      <c r="H1339" s="2"/>
      <c r="I1339" s="3">
        <f t="shared" si="20"/>
        <v>218</v>
      </c>
    </row>
    <row r="1340" spans="1:9" ht="36" x14ac:dyDescent="0.3">
      <c r="A1340" s="2" t="s">
        <v>146</v>
      </c>
      <c r="B1340" s="2" t="s">
        <v>6418</v>
      </c>
      <c r="C1340" s="2" t="s">
        <v>95</v>
      </c>
      <c r="D1340" s="2" t="s">
        <v>6419</v>
      </c>
      <c r="E1340" s="2" t="s">
        <v>39</v>
      </c>
      <c r="F1340" s="2"/>
      <c r="G1340" s="2"/>
      <c r="H1340" s="2"/>
      <c r="I1340" s="3">
        <f t="shared" si="20"/>
        <v>220</v>
      </c>
    </row>
    <row r="1341" spans="1:9" ht="36" x14ac:dyDescent="0.3">
      <c r="A1341" s="2" t="s">
        <v>146</v>
      </c>
      <c r="B1341" s="2" t="s">
        <v>4685</v>
      </c>
      <c r="C1341" s="2" t="s">
        <v>491</v>
      </c>
      <c r="D1341" s="2" t="s">
        <v>6420</v>
      </c>
      <c r="E1341" s="2" t="s">
        <v>39</v>
      </c>
      <c r="F1341" s="2"/>
      <c r="G1341" s="2"/>
      <c r="H1341" s="2"/>
      <c r="I1341" s="3">
        <f t="shared" si="20"/>
        <v>220</v>
      </c>
    </row>
    <row r="1342" spans="1:9" ht="36" x14ac:dyDescent="0.3">
      <c r="A1342" s="2" t="s">
        <v>146</v>
      </c>
      <c r="B1342" s="2" t="s">
        <v>6421</v>
      </c>
      <c r="C1342" s="2" t="s">
        <v>6422</v>
      </c>
      <c r="D1342" s="2" t="s">
        <v>6423</v>
      </c>
      <c r="E1342" s="2" t="s">
        <v>39</v>
      </c>
      <c r="F1342" s="2"/>
      <c r="G1342" s="2"/>
      <c r="H1342" s="2" t="s">
        <v>194</v>
      </c>
      <c r="I1342" s="3">
        <f t="shared" si="20"/>
        <v>220</v>
      </c>
    </row>
    <row r="1343" spans="1:9" ht="36" x14ac:dyDescent="0.3">
      <c r="A1343" s="2" t="s">
        <v>146</v>
      </c>
      <c r="B1343" s="2" t="s">
        <v>787</v>
      </c>
      <c r="C1343" s="2" t="s">
        <v>788</v>
      </c>
      <c r="D1343" s="2" t="s">
        <v>6434</v>
      </c>
      <c r="E1343" s="2" t="s">
        <v>39</v>
      </c>
      <c r="F1343" s="2"/>
      <c r="G1343" s="2"/>
      <c r="H1343" s="2"/>
      <c r="I1343" s="3">
        <f t="shared" si="20"/>
        <v>221</v>
      </c>
    </row>
    <row r="1344" spans="1:9" ht="36" x14ac:dyDescent="0.3">
      <c r="A1344" s="2" t="s">
        <v>146</v>
      </c>
      <c r="B1344" s="2" t="s">
        <v>1810</v>
      </c>
      <c r="C1344" s="2" t="s">
        <v>691</v>
      </c>
      <c r="D1344" s="2" t="s">
        <v>6435</v>
      </c>
      <c r="E1344" s="2" t="s">
        <v>39</v>
      </c>
      <c r="F1344" s="2"/>
      <c r="G1344" s="2"/>
      <c r="H1344" s="2"/>
      <c r="I1344" s="3">
        <f t="shared" si="20"/>
        <v>221</v>
      </c>
    </row>
    <row r="1345" spans="1:9" ht="36" x14ac:dyDescent="0.3">
      <c r="A1345" s="2" t="s">
        <v>146</v>
      </c>
      <c r="B1345" s="2" t="s">
        <v>6436</v>
      </c>
      <c r="C1345" s="2" t="s">
        <v>1255</v>
      </c>
      <c r="D1345" s="2" t="s">
        <v>6437</v>
      </c>
      <c r="E1345" s="2" t="s">
        <v>39</v>
      </c>
      <c r="F1345" s="2"/>
      <c r="G1345" s="2"/>
      <c r="H1345" s="2"/>
      <c r="I1345" s="3">
        <f t="shared" si="20"/>
        <v>221</v>
      </c>
    </row>
    <row r="1346" spans="1:9" ht="36" x14ac:dyDescent="0.3">
      <c r="A1346" s="2" t="s">
        <v>146</v>
      </c>
      <c r="B1346" s="2" t="s">
        <v>6438</v>
      </c>
      <c r="C1346" s="2" t="s">
        <v>515</v>
      </c>
      <c r="D1346" s="2" t="s">
        <v>6439</v>
      </c>
      <c r="E1346" s="2" t="s">
        <v>39</v>
      </c>
      <c r="F1346" s="2"/>
      <c r="G1346" s="2"/>
      <c r="H1346" s="2"/>
      <c r="I1346" s="3">
        <f t="shared" ref="I1346:I1409" si="21">LEN(D1346)</f>
        <v>221</v>
      </c>
    </row>
    <row r="1347" spans="1:9" ht="36" x14ac:dyDescent="0.3">
      <c r="A1347" s="2" t="s">
        <v>146</v>
      </c>
      <c r="B1347" s="2" t="s">
        <v>6440</v>
      </c>
      <c r="C1347" s="2" t="s">
        <v>1507</v>
      </c>
      <c r="D1347" s="2" t="s">
        <v>6441</v>
      </c>
      <c r="E1347" s="2" t="s">
        <v>39</v>
      </c>
      <c r="F1347" s="2"/>
      <c r="G1347" s="2"/>
      <c r="H1347" s="2"/>
      <c r="I1347" s="3">
        <f t="shared" si="21"/>
        <v>221</v>
      </c>
    </row>
    <row r="1348" spans="1:9" ht="36" x14ac:dyDescent="0.3">
      <c r="A1348" s="2" t="s">
        <v>146</v>
      </c>
      <c r="B1348" s="2" t="s">
        <v>6442</v>
      </c>
      <c r="C1348" s="2"/>
      <c r="D1348" s="2" t="s">
        <v>6443</v>
      </c>
      <c r="E1348" s="2" t="s">
        <v>39</v>
      </c>
      <c r="F1348" s="2"/>
      <c r="G1348" s="2"/>
      <c r="H1348" s="2"/>
      <c r="I1348" s="3">
        <f t="shared" si="21"/>
        <v>221</v>
      </c>
    </row>
    <row r="1349" spans="1:9" ht="36" x14ac:dyDescent="0.3">
      <c r="A1349" s="2" t="s">
        <v>146</v>
      </c>
      <c r="B1349" s="2" t="s">
        <v>6447</v>
      </c>
      <c r="C1349" s="2" t="s">
        <v>788</v>
      </c>
      <c r="D1349" s="2" t="s">
        <v>6448</v>
      </c>
      <c r="E1349" s="2" t="s">
        <v>39</v>
      </c>
      <c r="F1349" s="2"/>
      <c r="G1349" s="2"/>
      <c r="H1349" s="2"/>
      <c r="I1349" s="3">
        <f t="shared" si="21"/>
        <v>222</v>
      </c>
    </row>
    <row r="1350" spans="1:9" ht="36" x14ac:dyDescent="0.3">
      <c r="A1350" s="2" t="s">
        <v>146</v>
      </c>
      <c r="B1350" s="2" t="s">
        <v>6449</v>
      </c>
      <c r="C1350" s="2" t="s">
        <v>3504</v>
      </c>
      <c r="D1350" s="2" t="s">
        <v>6450</v>
      </c>
      <c r="E1350" s="2" t="s">
        <v>1510</v>
      </c>
      <c r="F1350" s="2"/>
      <c r="G1350" s="2"/>
      <c r="H1350" s="2"/>
      <c r="I1350" s="3">
        <f t="shared" si="21"/>
        <v>222</v>
      </c>
    </row>
    <row r="1351" spans="1:9" ht="36" x14ac:dyDescent="0.3">
      <c r="A1351" s="2" t="s">
        <v>146</v>
      </c>
      <c r="B1351" s="2" t="s">
        <v>2518</v>
      </c>
      <c r="C1351" s="2" t="s">
        <v>130</v>
      </c>
      <c r="D1351" s="2" t="s">
        <v>8847</v>
      </c>
      <c r="E1351" s="2" t="s">
        <v>39</v>
      </c>
      <c r="F1351" s="2" t="s">
        <v>1778</v>
      </c>
      <c r="G1351" s="2" t="s">
        <v>1717</v>
      </c>
      <c r="H1351" s="2"/>
      <c r="I1351" s="3">
        <f t="shared" si="21"/>
        <v>221</v>
      </c>
    </row>
    <row r="1352" spans="1:9" ht="36" x14ac:dyDescent="0.3">
      <c r="A1352" s="2" t="s">
        <v>146</v>
      </c>
      <c r="B1352" s="2" t="s">
        <v>6460</v>
      </c>
      <c r="C1352" s="2" t="s">
        <v>6278</v>
      </c>
      <c r="D1352" s="2" t="s">
        <v>8848</v>
      </c>
      <c r="E1352" s="2" t="s">
        <v>39</v>
      </c>
      <c r="F1352" s="2" t="s">
        <v>2281</v>
      </c>
      <c r="G1352" s="2" t="s">
        <v>1717</v>
      </c>
      <c r="H1352" s="2"/>
      <c r="I1352" s="3">
        <f t="shared" si="21"/>
        <v>221</v>
      </c>
    </row>
    <row r="1353" spans="1:9" ht="36" x14ac:dyDescent="0.3">
      <c r="A1353" s="2" t="s">
        <v>146</v>
      </c>
      <c r="B1353" s="2" t="s">
        <v>6461</v>
      </c>
      <c r="C1353" s="2"/>
      <c r="D1353" s="2" t="s">
        <v>8849</v>
      </c>
      <c r="E1353" s="2" t="s">
        <v>2136</v>
      </c>
      <c r="F1353" s="2" t="s">
        <v>4117</v>
      </c>
      <c r="G1353" s="2" t="s">
        <v>1717</v>
      </c>
      <c r="H1353" s="2"/>
      <c r="I1353" s="3">
        <f t="shared" si="21"/>
        <v>221</v>
      </c>
    </row>
    <row r="1354" spans="1:9" ht="36" x14ac:dyDescent="0.3">
      <c r="A1354" s="2" t="s">
        <v>146</v>
      </c>
      <c r="B1354" s="2" t="s">
        <v>5796</v>
      </c>
      <c r="C1354" s="2"/>
      <c r="D1354" s="2" t="s">
        <v>6462</v>
      </c>
      <c r="E1354" s="2" t="s">
        <v>39</v>
      </c>
      <c r="F1354" s="2"/>
      <c r="G1354" s="2"/>
      <c r="H1354" s="2"/>
      <c r="I1354" s="3">
        <f t="shared" si="21"/>
        <v>223</v>
      </c>
    </row>
    <row r="1355" spans="1:9" ht="36" x14ac:dyDescent="0.3">
      <c r="A1355" s="2" t="s">
        <v>146</v>
      </c>
      <c r="B1355" s="2" t="s">
        <v>6466</v>
      </c>
      <c r="C1355" s="2" t="s">
        <v>2063</v>
      </c>
      <c r="D1355" s="2" t="s">
        <v>8850</v>
      </c>
      <c r="E1355" s="2" t="s">
        <v>3980</v>
      </c>
      <c r="F1355" s="2" t="s">
        <v>1778</v>
      </c>
      <c r="G1355" s="2" t="s">
        <v>1717</v>
      </c>
      <c r="H1355" s="2"/>
      <c r="I1355" s="3">
        <f t="shared" si="21"/>
        <v>222</v>
      </c>
    </row>
    <row r="1356" spans="1:9" ht="36" x14ac:dyDescent="0.3">
      <c r="A1356" s="2" t="s">
        <v>146</v>
      </c>
      <c r="B1356" s="2" t="s">
        <v>1825</v>
      </c>
      <c r="C1356" s="2" t="s">
        <v>6467</v>
      </c>
      <c r="D1356" s="2" t="s">
        <v>8851</v>
      </c>
      <c r="E1356" s="2" t="s">
        <v>39</v>
      </c>
      <c r="F1356" s="2" t="s">
        <v>1778</v>
      </c>
      <c r="G1356" s="2" t="s">
        <v>1717</v>
      </c>
      <c r="H1356" s="2"/>
      <c r="I1356" s="3">
        <f t="shared" si="21"/>
        <v>222</v>
      </c>
    </row>
    <row r="1357" spans="1:9" ht="36" x14ac:dyDescent="0.3">
      <c r="A1357" s="2" t="s">
        <v>146</v>
      </c>
      <c r="B1357" s="2" t="s">
        <v>5383</v>
      </c>
      <c r="C1357" s="2"/>
      <c r="D1357" s="2" t="s">
        <v>6468</v>
      </c>
      <c r="E1357" s="2" t="s">
        <v>39</v>
      </c>
      <c r="F1357" s="2"/>
      <c r="G1357" s="2"/>
      <c r="H1357" s="2"/>
      <c r="I1357" s="3">
        <f t="shared" si="21"/>
        <v>224</v>
      </c>
    </row>
    <row r="1358" spans="1:9" ht="36" x14ac:dyDescent="0.3">
      <c r="A1358" s="2" t="s">
        <v>146</v>
      </c>
      <c r="B1358" s="2" t="s">
        <v>6469</v>
      </c>
      <c r="C1358" s="2" t="s">
        <v>5635</v>
      </c>
      <c r="D1358" s="2" t="s">
        <v>8852</v>
      </c>
      <c r="E1358" s="2" t="s">
        <v>39</v>
      </c>
      <c r="F1358" s="2" t="s">
        <v>4841</v>
      </c>
      <c r="G1358" s="2" t="s">
        <v>1717</v>
      </c>
      <c r="H1358" s="2"/>
      <c r="I1358" s="3">
        <f t="shared" si="21"/>
        <v>222</v>
      </c>
    </row>
    <row r="1359" spans="1:9" ht="36" x14ac:dyDescent="0.3">
      <c r="A1359" s="2" t="s">
        <v>146</v>
      </c>
      <c r="B1359" s="2" t="s">
        <v>6470</v>
      </c>
      <c r="C1359" s="2" t="s">
        <v>1354</v>
      </c>
      <c r="D1359" s="2" t="s">
        <v>6471</v>
      </c>
      <c r="E1359" s="2" t="s">
        <v>39</v>
      </c>
      <c r="F1359" s="2"/>
      <c r="G1359" s="2"/>
      <c r="H1359" s="2" t="s">
        <v>194</v>
      </c>
      <c r="I1359" s="3">
        <f t="shared" si="21"/>
        <v>224</v>
      </c>
    </row>
    <row r="1360" spans="1:9" ht="36" x14ac:dyDescent="0.3">
      <c r="A1360" s="2" t="s">
        <v>146</v>
      </c>
      <c r="B1360" s="2" t="s">
        <v>6472</v>
      </c>
      <c r="C1360" s="2" t="s">
        <v>6473</v>
      </c>
      <c r="D1360" s="2" t="s">
        <v>8853</v>
      </c>
      <c r="E1360" s="2" t="s">
        <v>39</v>
      </c>
      <c r="F1360" s="2" t="s">
        <v>3082</v>
      </c>
      <c r="G1360" s="2" t="s">
        <v>1717</v>
      </c>
      <c r="H1360" s="2"/>
      <c r="I1360" s="3">
        <f t="shared" si="21"/>
        <v>222</v>
      </c>
    </row>
    <row r="1361" spans="1:9" ht="36" x14ac:dyDescent="0.3">
      <c r="A1361" s="2" t="s">
        <v>146</v>
      </c>
      <c r="B1361" s="2" t="s">
        <v>6479</v>
      </c>
      <c r="C1361" s="2"/>
      <c r="D1361" s="2" t="s">
        <v>6480</v>
      </c>
      <c r="E1361" s="2" t="s">
        <v>39</v>
      </c>
      <c r="F1361" s="2"/>
      <c r="G1361" s="2"/>
      <c r="H1361" s="2"/>
      <c r="I1361" s="3">
        <f t="shared" si="21"/>
        <v>225</v>
      </c>
    </row>
    <row r="1362" spans="1:9" ht="36" x14ac:dyDescent="0.3">
      <c r="A1362" s="2" t="s">
        <v>146</v>
      </c>
      <c r="B1362" s="2" t="s">
        <v>6481</v>
      </c>
      <c r="C1362" s="2" t="s">
        <v>214</v>
      </c>
      <c r="D1362" s="2" t="s">
        <v>6482</v>
      </c>
      <c r="E1362" s="2" t="s">
        <v>39</v>
      </c>
      <c r="F1362" s="2"/>
      <c r="G1362" s="2"/>
      <c r="H1362" s="2"/>
      <c r="I1362" s="3">
        <f t="shared" si="21"/>
        <v>225</v>
      </c>
    </row>
    <row r="1363" spans="1:9" ht="36" x14ac:dyDescent="0.3">
      <c r="A1363" s="2" t="s">
        <v>146</v>
      </c>
      <c r="B1363" s="2" t="s">
        <v>6483</v>
      </c>
      <c r="C1363" s="2"/>
      <c r="D1363" s="2" t="s">
        <v>8854</v>
      </c>
      <c r="E1363" s="2" t="s">
        <v>1188</v>
      </c>
      <c r="F1363" s="2" t="s">
        <v>4117</v>
      </c>
      <c r="G1363" s="2" t="s">
        <v>1717</v>
      </c>
      <c r="H1363" s="2"/>
      <c r="I1363" s="3">
        <f t="shared" si="21"/>
        <v>223</v>
      </c>
    </row>
    <row r="1364" spans="1:9" ht="36" x14ac:dyDescent="0.3">
      <c r="A1364" s="2" t="s">
        <v>146</v>
      </c>
      <c r="B1364" s="2" t="s">
        <v>522</v>
      </c>
      <c r="C1364" s="2" t="s">
        <v>348</v>
      </c>
      <c r="D1364" s="2" t="s">
        <v>6484</v>
      </c>
      <c r="E1364" s="2" t="s">
        <v>39</v>
      </c>
      <c r="F1364" s="2"/>
      <c r="G1364" s="2" t="s">
        <v>1717</v>
      </c>
      <c r="H1364" s="2"/>
      <c r="I1364" s="3">
        <f t="shared" si="21"/>
        <v>226</v>
      </c>
    </row>
    <row r="1365" spans="1:9" ht="36" x14ac:dyDescent="0.3">
      <c r="A1365" s="2" t="s">
        <v>146</v>
      </c>
      <c r="B1365" s="2" t="s">
        <v>6489</v>
      </c>
      <c r="C1365" s="2" t="s">
        <v>896</v>
      </c>
      <c r="D1365" s="2" t="s">
        <v>6490</v>
      </c>
      <c r="E1365" s="2" t="s">
        <v>1188</v>
      </c>
      <c r="F1365" s="2"/>
      <c r="G1365" s="2" t="s">
        <v>1717</v>
      </c>
      <c r="H1365" s="2" t="s">
        <v>898</v>
      </c>
      <c r="I1365" s="3">
        <f t="shared" si="21"/>
        <v>226</v>
      </c>
    </row>
    <row r="1366" spans="1:9" ht="36" x14ac:dyDescent="0.3">
      <c r="A1366" s="2" t="s">
        <v>146</v>
      </c>
      <c r="B1366" s="2" t="s">
        <v>6493</v>
      </c>
      <c r="C1366" s="2" t="s">
        <v>214</v>
      </c>
      <c r="D1366" s="2" t="s">
        <v>6494</v>
      </c>
      <c r="E1366" s="2" t="s">
        <v>39</v>
      </c>
      <c r="F1366" s="2"/>
      <c r="G1366" s="2"/>
      <c r="H1366" s="2"/>
      <c r="I1366" s="3">
        <f t="shared" si="21"/>
        <v>226</v>
      </c>
    </row>
    <row r="1367" spans="1:9" ht="36" x14ac:dyDescent="0.3">
      <c r="A1367" s="2" t="s">
        <v>146</v>
      </c>
      <c r="B1367" s="2" t="s">
        <v>6497</v>
      </c>
      <c r="C1367" s="2" t="s">
        <v>500</v>
      </c>
      <c r="D1367" s="2" t="s">
        <v>6498</v>
      </c>
      <c r="E1367" s="2" t="s">
        <v>39</v>
      </c>
      <c r="F1367" s="2"/>
      <c r="G1367" s="2"/>
      <c r="H1367" s="2" t="s">
        <v>194</v>
      </c>
      <c r="I1367" s="3">
        <f t="shared" si="21"/>
        <v>227</v>
      </c>
    </row>
    <row r="1368" spans="1:9" ht="36" x14ac:dyDescent="0.3">
      <c r="A1368" s="2" t="s">
        <v>146</v>
      </c>
      <c r="B1368" s="2" t="s">
        <v>6499</v>
      </c>
      <c r="C1368" s="2" t="s">
        <v>500</v>
      </c>
      <c r="D1368" s="2" t="s">
        <v>6500</v>
      </c>
      <c r="E1368" s="2" t="s">
        <v>39</v>
      </c>
      <c r="F1368" s="2"/>
      <c r="G1368" s="2"/>
      <c r="H1368" s="2" t="s">
        <v>402</v>
      </c>
      <c r="I1368" s="3">
        <f t="shared" si="21"/>
        <v>227</v>
      </c>
    </row>
    <row r="1369" spans="1:9" ht="36" x14ac:dyDescent="0.3">
      <c r="A1369" s="2" t="s">
        <v>146</v>
      </c>
      <c r="B1369" s="2" t="s">
        <v>6501</v>
      </c>
      <c r="C1369" s="2" t="s">
        <v>4007</v>
      </c>
      <c r="D1369" s="2" t="s">
        <v>6502</v>
      </c>
      <c r="E1369" s="2"/>
      <c r="F1369" s="2"/>
      <c r="G1369" s="2"/>
      <c r="H1369" s="2"/>
      <c r="I1369" s="3">
        <f t="shared" si="21"/>
        <v>227</v>
      </c>
    </row>
    <row r="1370" spans="1:9" ht="36" x14ac:dyDescent="0.3">
      <c r="A1370" s="2" t="s">
        <v>146</v>
      </c>
      <c r="B1370" s="2" t="s">
        <v>2780</v>
      </c>
      <c r="C1370" s="2" t="s">
        <v>515</v>
      </c>
      <c r="D1370" s="2" t="s">
        <v>6503</v>
      </c>
      <c r="E1370" s="2" t="s">
        <v>39</v>
      </c>
      <c r="F1370" s="2"/>
      <c r="G1370" s="2"/>
      <c r="H1370" s="2"/>
      <c r="I1370" s="3">
        <f t="shared" si="21"/>
        <v>227</v>
      </c>
    </row>
    <row r="1371" spans="1:9" ht="36" x14ac:dyDescent="0.3">
      <c r="A1371" s="2" t="s">
        <v>146</v>
      </c>
      <c r="B1371" s="2" t="s">
        <v>6149</v>
      </c>
      <c r="C1371" s="2" t="s">
        <v>1255</v>
      </c>
      <c r="D1371" s="2" t="s">
        <v>6506</v>
      </c>
      <c r="E1371" s="2" t="s">
        <v>39</v>
      </c>
      <c r="F1371" s="2"/>
      <c r="G1371" s="2"/>
      <c r="H1371" s="2"/>
      <c r="I1371" s="3">
        <f t="shared" si="21"/>
        <v>227</v>
      </c>
    </row>
    <row r="1372" spans="1:9" ht="36" x14ac:dyDescent="0.3">
      <c r="A1372" s="2" t="s">
        <v>146</v>
      </c>
      <c r="B1372" s="2" t="s">
        <v>6508</v>
      </c>
      <c r="C1372" s="2"/>
      <c r="D1372" s="2" t="s">
        <v>8855</v>
      </c>
      <c r="E1372" s="2" t="s">
        <v>3360</v>
      </c>
      <c r="F1372" s="2" t="s">
        <v>4117</v>
      </c>
      <c r="G1372" s="2" t="s">
        <v>1717</v>
      </c>
      <c r="H1372" s="2" t="s">
        <v>6509</v>
      </c>
      <c r="I1372" s="3">
        <f t="shared" si="21"/>
        <v>225</v>
      </c>
    </row>
    <row r="1373" spans="1:9" ht="36" x14ac:dyDescent="0.3">
      <c r="A1373" s="2" t="s">
        <v>146</v>
      </c>
      <c r="B1373" s="2" t="s">
        <v>6510</v>
      </c>
      <c r="C1373" s="2"/>
      <c r="D1373" s="2" t="s">
        <v>6511</v>
      </c>
      <c r="E1373" s="2" t="s">
        <v>39</v>
      </c>
      <c r="F1373" s="2"/>
      <c r="G1373" s="2"/>
      <c r="H1373" s="2"/>
      <c r="I1373" s="3">
        <f t="shared" si="21"/>
        <v>228</v>
      </c>
    </row>
    <row r="1374" spans="1:9" ht="36" x14ac:dyDescent="0.3">
      <c r="A1374" s="2" t="s">
        <v>146</v>
      </c>
      <c r="B1374" s="2" t="s">
        <v>4167</v>
      </c>
      <c r="C1374" s="2" t="s">
        <v>437</v>
      </c>
      <c r="D1374" s="2" t="s">
        <v>6512</v>
      </c>
      <c r="E1374" s="2"/>
      <c r="F1374" s="2"/>
      <c r="G1374" s="2"/>
      <c r="H1374" s="2" t="s">
        <v>1176</v>
      </c>
      <c r="I1374" s="3">
        <f t="shared" si="21"/>
        <v>228</v>
      </c>
    </row>
    <row r="1375" spans="1:9" ht="36" x14ac:dyDescent="0.3">
      <c r="A1375" s="2" t="s">
        <v>146</v>
      </c>
      <c r="B1375" s="2" t="s">
        <v>6515</v>
      </c>
      <c r="C1375" s="2"/>
      <c r="D1375" s="2" t="s">
        <v>8856</v>
      </c>
      <c r="E1375" s="2" t="s">
        <v>39</v>
      </c>
      <c r="F1375" s="2" t="s">
        <v>2281</v>
      </c>
      <c r="G1375" s="2" t="s">
        <v>1717</v>
      </c>
      <c r="H1375" s="2"/>
      <c r="I1375" s="3">
        <f t="shared" si="21"/>
        <v>226</v>
      </c>
    </row>
    <row r="1376" spans="1:9" ht="36" x14ac:dyDescent="0.3">
      <c r="A1376" s="2" t="s">
        <v>146</v>
      </c>
      <c r="B1376" s="2" t="s">
        <v>4887</v>
      </c>
      <c r="C1376" s="2" t="s">
        <v>437</v>
      </c>
      <c r="D1376" s="2" t="s">
        <v>6519</v>
      </c>
      <c r="E1376" s="2" t="s">
        <v>39</v>
      </c>
      <c r="F1376" s="2"/>
      <c r="G1376" s="2" t="s">
        <v>1717</v>
      </c>
      <c r="H1376" s="2"/>
      <c r="I1376" s="3">
        <f t="shared" si="21"/>
        <v>229</v>
      </c>
    </row>
    <row r="1377" spans="1:9" ht="36" x14ac:dyDescent="0.3">
      <c r="A1377" s="2" t="s">
        <v>146</v>
      </c>
      <c r="B1377" s="2" t="s">
        <v>6523</v>
      </c>
      <c r="C1377" s="2" t="s">
        <v>214</v>
      </c>
      <c r="D1377" s="2" t="s">
        <v>6524</v>
      </c>
      <c r="E1377" s="2" t="s">
        <v>39</v>
      </c>
      <c r="F1377" s="2"/>
      <c r="G1377" s="2"/>
      <c r="H1377" s="2"/>
      <c r="I1377" s="3">
        <f t="shared" si="21"/>
        <v>229</v>
      </c>
    </row>
    <row r="1378" spans="1:9" ht="36" x14ac:dyDescent="0.3">
      <c r="A1378" s="2" t="s">
        <v>146</v>
      </c>
      <c r="B1378" s="2" t="s">
        <v>6530</v>
      </c>
      <c r="C1378" s="2"/>
      <c r="D1378" s="2" t="s">
        <v>8857</v>
      </c>
      <c r="E1378" s="2" t="s">
        <v>6531</v>
      </c>
      <c r="F1378" s="2" t="s">
        <v>4117</v>
      </c>
      <c r="G1378" s="2" t="s">
        <v>1717</v>
      </c>
      <c r="H1378" s="2"/>
      <c r="I1378" s="3">
        <f t="shared" si="21"/>
        <v>227</v>
      </c>
    </row>
    <row r="1379" spans="1:9" ht="36" x14ac:dyDescent="0.3">
      <c r="A1379" s="2" t="s">
        <v>146</v>
      </c>
      <c r="B1379" s="2" t="s">
        <v>6538</v>
      </c>
      <c r="C1379" s="2" t="s">
        <v>788</v>
      </c>
      <c r="D1379" s="2" t="s">
        <v>6539</v>
      </c>
      <c r="E1379" s="2" t="s">
        <v>39</v>
      </c>
      <c r="F1379" s="2"/>
      <c r="G1379" s="2"/>
      <c r="H1379" s="2"/>
      <c r="I1379" s="3">
        <f t="shared" si="21"/>
        <v>230</v>
      </c>
    </row>
    <row r="1380" spans="1:9" ht="36" x14ac:dyDescent="0.3">
      <c r="A1380" s="2" t="s">
        <v>146</v>
      </c>
      <c r="B1380" s="2" t="s">
        <v>6545</v>
      </c>
      <c r="C1380" s="2" t="s">
        <v>389</v>
      </c>
      <c r="D1380" s="2" t="s">
        <v>6546</v>
      </c>
      <c r="E1380" s="2" t="s">
        <v>39</v>
      </c>
      <c r="F1380" s="2"/>
      <c r="G1380" s="2"/>
      <c r="H1380" s="2"/>
      <c r="I1380" s="3">
        <f t="shared" si="21"/>
        <v>231</v>
      </c>
    </row>
    <row r="1381" spans="1:9" ht="36" x14ac:dyDescent="0.3">
      <c r="A1381" s="2" t="s">
        <v>146</v>
      </c>
      <c r="B1381" s="2" t="s">
        <v>6547</v>
      </c>
      <c r="C1381" s="2" t="s">
        <v>6548</v>
      </c>
      <c r="D1381" s="2" t="s">
        <v>6549</v>
      </c>
      <c r="E1381" s="2" t="s">
        <v>39</v>
      </c>
      <c r="F1381" s="2"/>
      <c r="G1381" s="2"/>
      <c r="H1381" s="2" t="s">
        <v>194</v>
      </c>
      <c r="I1381" s="3">
        <f t="shared" si="21"/>
        <v>231</v>
      </c>
    </row>
    <row r="1382" spans="1:9" ht="36" x14ac:dyDescent="0.3">
      <c r="A1382" s="2" t="s">
        <v>146</v>
      </c>
      <c r="B1382" s="2" t="s">
        <v>6552</v>
      </c>
      <c r="C1382" s="2"/>
      <c r="D1382" s="2" t="s">
        <v>8858</v>
      </c>
      <c r="E1382" s="2" t="s">
        <v>39</v>
      </c>
      <c r="F1382" s="2" t="s">
        <v>1778</v>
      </c>
      <c r="G1382" s="2"/>
      <c r="H1382" s="2"/>
      <c r="I1382" s="3">
        <f t="shared" si="21"/>
        <v>230</v>
      </c>
    </row>
    <row r="1383" spans="1:9" ht="36" x14ac:dyDescent="0.3">
      <c r="A1383" s="2" t="s">
        <v>146</v>
      </c>
      <c r="B1383" s="2" t="s">
        <v>6557</v>
      </c>
      <c r="C1383" s="2" t="s">
        <v>896</v>
      </c>
      <c r="D1383" s="2" t="s">
        <v>8701</v>
      </c>
      <c r="E1383" s="2" t="s">
        <v>1692</v>
      </c>
      <c r="F1383" s="2"/>
      <c r="G1383" s="2" t="s">
        <v>1717</v>
      </c>
      <c r="H1383" s="2" t="s">
        <v>898</v>
      </c>
      <c r="I1383" s="3">
        <f t="shared" si="21"/>
        <v>232</v>
      </c>
    </row>
    <row r="1384" spans="1:9" ht="36" x14ac:dyDescent="0.3">
      <c r="A1384" s="2" t="s">
        <v>146</v>
      </c>
      <c r="B1384" s="2" t="s">
        <v>787</v>
      </c>
      <c r="C1384" s="2" t="s">
        <v>788</v>
      </c>
      <c r="D1384" s="2" t="s">
        <v>6563</v>
      </c>
      <c r="E1384" s="2" t="s">
        <v>39</v>
      </c>
      <c r="F1384" s="2"/>
      <c r="G1384" s="2"/>
      <c r="H1384" s="2"/>
      <c r="I1384" s="3">
        <f t="shared" si="21"/>
        <v>233</v>
      </c>
    </row>
    <row r="1385" spans="1:9" ht="36" x14ac:dyDescent="0.3">
      <c r="A1385" s="2" t="s">
        <v>146</v>
      </c>
      <c r="B1385" s="2" t="s">
        <v>6164</v>
      </c>
      <c r="C1385" s="2" t="s">
        <v>788</v>
      </c>
      <c r="D1385" s="2" t="s">
        <v>6564</v>
      </c>
      <c r="E1385" s="2" t="s">
        <v>39</v>
      </c>
      <c r="F1385" s="2"/>
      <c r="G1385" s="2"/>
      <c r="H1385" s="2"/>
      <c r="I1385" s="3">
        <f t="shared" si="21"/>
        <v>233</v>
      </c>
    </row>
    <row r="1386" spans="1:9" ht="36" x14ac:dyDescent="0.3">
      <c r="A1386" s="2" t="s">
        <v>146</v>
      </c>
      <c r="B1386" s="2" t="s">
        <v>6565</v>
      </c>
      <c r="C1386" s="2" t="s">
        <v>437</v>
      </c>
      <c r="D1386" s="2" t="s">
        <v>8859</v>
      </c>
      <c r="E1386" s="2" t="s">
        <v>39</v>
      </c>
      <c r="F1386" s="2" t="s">
        <v>4117</v>
      </c>
      <c r="G1386" s="2" t="s">
        <v>4507</v>
      </c>
      <c r="H1386" s="2"/>
      <c r="I1386" s="3">
        <f t="shared" si="21"/>
        <v>231</v>
      </c>
    </row>
    <row r="1387" spans="1:9" ht="36" x14ac:dyDescent="0.3">
      <c r="A1387" s="2" t="s">
        <v>146</v>
      </c>
      <c r="B1387" s="2" t="s">
        <v>6566</v>
      </c>
      <c r="C1387" s="2" t="s">
        <v>491</v>
      </c>
      <c r="D1387" s="2" t="s">
        <v>6567</v>
      </c>
      <c r="E1387" s="2" t="s">
        <v>39</v>
      </c>
      <c r="F1387" s="2"/>
      <c r="G1387" s="2"/>
      <c r="H1387" s="2"/>
      <c r="I1387" s="3">
        <f t="shared" si="21"/>
        <v>233</v>
      </c>
    </row>
    <row r="1388" spans="1:9" ht="36" x14ac:dyDescent="0.3">
      <c r="A1388" s="2" t="s">
        <v>146</v>
      </c>
      <c r="B1388" s="2" t="s">
        <v>6568</v>
      </c>
      <c r="C1388" s="2" t="s">
        <v>389</v>
      </c>
      <c r="D1388" s="2" t="s">
        <v>6569</v>
      </c>
      <c r="E1388" s="2" t="s">
        <v>39</v>
      </c>
      <c r="F1388" s="2"/>
      <c r="G1388" s="2"/>
      <c r="H1388" s="2"/>
      <c r="I1388" s="3">
        <f t="shared" si="21"/>
        <v>233</v>
      </c>
    </row>
    <row r="1389" spans="1:9" ht="36" x14ac:dyDescent="0.3">
      <c r="A1389" s="2" t="s">
        <v>146</v>
      </c>
      <c r="B1389" s="2" t="s">
        <v>6572</v>
      </c>
      <c r="C1389" s="2" t="s">
        <v>6573</v>
      </c>
      <c r="D1389" s="2" t="s">
        <v>8860</v>
      </c>
      <c r="E1389" s="2" t="s">
        <v>39</v>
      </c>
      <c r="F1389" s="2" t="s">
        <v>2281</v>
      </c>
      <c r="G1389" s="2" t="s">
        <v>1717</v>
      </c>
      <c r="H1389" s="2"/>
      <c r="I1389" s="3">
        <f t="shared" si="21"/>
        <v>232</v>
      </c>
    </row>
    <row r="1390" spans="1:9" ht="36" x14ac:dyDescent="0.3">
      <c r="A1390" s="2" t="s">
        <v>146</v>
      </c>
      <c r="B1390" s="2" t="s">
        <v>6575</v>
      </c>
      <c r="C1390" s="2" t="s">
        <v>535</v>
      </c>
      <c r="D1390" s="2" t="s">
        <v>6576</v>
      </c>
      <c r="E1390" s="2"/>
      <c r="F1390" s="2"/>
      <c r="G1390" s="2"/>
      <c r="H1390" s="2" t="s">
        <v>537</v>
      </c>
      <c r="I1390" s="3">
        <f t="shared" si="21"/>
        <v>234</v>
      </c>
    </row>
    <row r="1391" spans="1:9" ht="36" x14ac:dyDescent="0.3">
      <c r="A1391" s="2" t="s">
        <v>146</v>
      </c>
      <c r="B1391" s="2" t="s">
        <v>765</v>
      </c>
      <c r="C1391" s="2" t="s">
        <v>389</v>
      </c>
      <c r="D1391" s="2" t="s">
        <v>6577</v>
      </c>
      <c r="E1391" s="2" t="s">
        <v>39</v>
      </c>
      <c r="F1391" s="2"/>
      <c r="G1391" s="2"/>
      <c r="H1391" s="2"/>
      <c r="I1391" s="3">
        <f t="shared" si="21"/>
        <v>234</v>
      </c>
    </row>
    <row r="1392" spans="1:9" ht="36" x14ac:dyDescent="0.3">
      <c r="A1392" s="2" t="s">
        <v>146</v>
      </c>
      <c r="B1392" s="2" t="s">
        <v>6582</v>
      </c>
      <c r="C1392" s="2"/>
      <c r="D1392" s="2" t="s">
        <v>6583</v>
      </c>
      <c r="E1392" s="2" t="s">
        <v>39</v>
      </c>
      <c r="F1392" s="2"/>
      <c r="G1392" s="2"/>
      <c r="H1392" s="2"/>
      <c r="I1392" s="3">
        <f t="shared" si="21"/>
        <v>234</v>
      </c>
    </row>
    <row r="1393" spans="1:9" ht="36" x14ac:dyDescent="0.3">
      <c r="A1393" s="2" t="s">
        <v>146</v>
      </c>
      <c r="B1393" s="2" t="s">
        <v>6586</v>
      </c>
      <c r="C1393" s="2" t="s">
        <v>691</v>
      </c>
      <c r="D1393" s="2" t="s">
        <v>6587</v>
      </c>
      <c r="E1393" s="2" t="s">
        <v>39</v>
      </c>
      <c r="F1393" s="2"/>
      <c r="G1393" s="2"/>
      <c r="H1393" s="2"/>
      <c r="I1393" s="3">
        <f t="shared" si="21"/>
        <v>235</v>
      </c>
    </row>
    <row r="1394" spans="1:9" ht="36" x14ac:dyDescent="0.3">
      <c r="A1394" s="2" t="s">
        <v>146</v>
      </c>
      <c r="B1394" s="2" t="s">
        <v>6590</v>
      </c>
      <c r="C1394" s="2" t="s">
        <v>57</v>
      </c>
      <c r="D1394" s="2" t="s">
        <v>8861</v>
      </c>
      <c r="E1394" s="2" t="s">
        <v>39</v>
      </c>
      <c r="F1394" s="2" t="s">
        <v>1778</v>
      </c>
      <c r="G1394" s="2" t="s">
        <v>1717</v>
      </c>
      <c r="H1394" s="2"/>
      <c r="I1394" s="3">
        <f t="shared" si="21"/>
        <v>233</v>
      </c>
    </row>
    <row r="1395" spans="1:9" ht="36" x14ac:dyDescent="0.3">
      <c r="A1395" s="2" t="s">
        <v>146</v>
      </c>
      <c r="B1395" s="2" t="s">
        <v>6591</v>
      </c>
      <c r="C1395" s="2"/>
      <c r="D1395" s="2" t="s">
        <v>6592</v>
      </c>
      <c r="E1395" s="2" t="s">
        <v>39</v>
      </c>
      <c r="F1395" s="2"/>
      <c r="G1395" s="2"/>
      <c r="H1395" s="2"/>
      <c r="I1395" s="3">
        <f t="shared" si="21"/>
        <v>235</v>
      </c>
    </row>
    <row r="1396" spans="1:9" ht="36" x14ac:dyDescent="0.3">
      <c r="A1396" s="2" t="s">
        <v>146</v>
      </c>
      <c r="B1396" s="2" t="s">
        <v>6595</v>
      </c>
      <c r="C1396" s="2" t="s">
        <v>6596</v>
      </c>
      <c r="D1396" s="2" t="s">
        <v>6597</v>
      </c>
      <c r="E1396" s="2" t="s">
        <v>39</v>
      </c>
      <c r="F1396" s="2"/>
      <c r="G1396" s="2"/>
      <c r="H1396" s="2" t="s">
        <v>194</v>
      </c>
      <c r="I1396" s="3">
        <f t="shared" si="21"/>
        <v>236</v>
      </c>
    </row>
    <row r="1397" spans="1:9" ht="36" x14ac:dyDescent="0.3">
      <c r="A1397" s="2" t="s">
        <v>146</v>
      </c>
      <c r="B1397" s="2" t="s">
        <v>6598</v>
      </c>
      <c r="C1397" s="2" t="s">
        <v>14</v>
      </c>
      <c r="D1397" s="2" t="s">
        <v>6599</v>
      </c>
      <c r="E1397" s="2" t="s">
        <v>39</v>
      </c>
      <c r="F1397" s="2"/>
      <c r="G1397" s="2"/>
      <c r="H1397" s="2"/>
      <c r="I1397" s="3">
        <f t="shared" si="21"/>
        <v>236</v>
      </c>
    </row>
    <row r="1398" spans="1:9" ht="36" x14ac:dyDescent="0.3">
      <c r="A1398" s="2" t="s">
        <v>146</v>
      </c>
      <c r="B1398" s="2" t="s">
        <v>317</v>
      </c>
      <c r="C1398" s="2"/>
      <c r="D1398" s="2" t="s">
        <v>6601</v>
      </c>
      <c r="E1398" s="2" t="s">
        <v>39</v>
      </c>
      <c r="F1398" s="2"/>
      <c r="G1398" s="2"/>
      <c r="H1398" s="2"/>
      <c r="I1398" s="3">
        <f t="shared" si="21"/>
        <v>236</v>
      </c>
    </row>
    <row r="1399" spans="1:9" ht="36" x14ac:dyDescent="0.3">
      <c r="A1399" s="2" t="s">
        <v>146</v>
      </c>
      <c r="B1399" s="2" t="s">
        <v>6602</v>
      </c>
      <c r="C1399" s="2" t="s">
        <v>206</v>
      </c>
      <c r="D1399" s="2" t="s">
        <v>6603</v>
      </c>
      <c r="E1399" s="2" t="s">
        <v>39</v>
      </c>
      <c r="F1399" s="2"/>
      <c r="G1399" s="2"/>
      <c r="H1399" s="2"/>
      <c r="I1399" s="3">
        <f t="shared" si="21"/>
        <v>236</v>
      </c>
    </row>
    <row r="1400" spans="1:9" ht="36" x14ac:dyDescent="0.3">
      <c r="A1400" s="2" t="s">
        <v>146</v>
      </c>
      <c r="B1400" s="2" t="s">
        <v>6607</v>
      </c>
      <c r="C1400" s="2"/>
      <c r="D1400" s="2" t="s">
        <v>6608</v>
      </c>
      <c r="E1400" s="2" t="s">
        <v>39</v>
      </c>
      <c r="F1400" s="2"/>
      <c r="G1400" s="2"/>
      <c r="H1400" s="2"/>
      <c r="I1400" s="3">
        <f t="shared" si="21"/>
        <v>236</v>
      </c>
    </row>
    <row r="1401" spans="1:9" ht="36" x14ac:dyDescent="0.3">
      <c r="A1401" s="2" t="s">
        <v>146</v>
      </c>
      <c r="B1401" s="2" t="s">
        <v>787</v>
      </c>
      <c r="C1401" s="2" t="s">
        <v>788</v>
      </c>
      <c r="D1401" s="2" t="s">
        <v>6615</v>
      </c>
      <c r="E1401" s="2" t="s">
        <v>39</v>
      </c>
      <c r="F1401" s="2"/>
      <c r="G1401" s="2"/>
      <c r="H1401" s="2"/>
      <c r="I1401" s="3">
        <f t="shared" si="21"/>
        <v>237</v>
      </c>
    </row>
    <row r="1402" spans="1:9" ht="36" x14ac:dyDescent="0.3">
      <c r="A1402" s="2" t="s">
        <v>146</v>
      </c>
      <c r="B1402" s="2" t="s">
        <v>6618</v>
      </c>
      <c r="C1402" s="2" t="s">
        <v>6619</v>
      </c>
      <c r="D1402" s="2" t="s">
        <v>6620</v>
      </c>
      <c r="E1402" s="2" t="s">
        <v>6621</v>
      </c>
      <c r="F1402" s="2"/>
      <c r="G1402" s="2"/>
      <c r="H1402" s="2" t="s">
        <v>3494</v>
      </c>
      <c r="I1402" s="3">
        <f t="shared" si="21"/>
        <v>237</v>
      </c>
    </row>
    <row r="1403" spans="1:9" ht="36" x14ac:dyDescent="0.3">
      <c r="A1403" s="2" t="s">
        <v>146</v>
      </c>
      <c r="B1403" s="2" t="s">
        <v>6627</v>
      </c>
      <c r="C1403" s="2" t="s">
        <v>4007</v>
      </c>
      <c r="D1403" s="2" t="s">
        <v>6628</v>
      </c>
      <c r="E1403" s="2" t="s">
        <v>242</v>
      </c>
      <c r="F1403" s="2"/>
      <c r="G1403" s="2"/>
      <c r="H1403" s="2"/>
      <c r="I1403" s="3">
        <f t="shared" si="21"/>
        <v>238</v>
      </c>
    </row>
    <row r="1404" spans="1:9" ht="36" x14ac:dyDescent="0.3">
      <c r="A1404" s="2" t="s">
        <v>146</v>
      </c>
      <c r="B1404" s="2" t="s">
        <v>6633</v>
      </c>
      <c r="C1404" s="2" t="s">
        <v>95</v>
      </c>
      <c r="D1404" s="2" t="s">
        <v>6634</v>
      </c>
      <c r="E1404" s="2" t="s">
        <v>1494</v>
      </c>
      <c r="F1404" s="2"/>
      <c r="G1404" s="2"/>
      <c r="H1404" s="2"/>
      <c r="I1404" s="3">
        <f t="shared" si="21"/>
        <v>238</v>
      </c>
    </row>
    <row r="1405" spans="1:9" ht="36" x14ac:dyDescent="0.3">
      <c r="A1405" s="2" t="s">
        <v>146</v>
      </c>
      <c r="B1405" s="2" t="s">
        <v>6217</v>
      </c>
      <c r="C1405" s="2" t="s">
        <v>130</v>
      </c>
      <c r="D1405" s="2" t="s">
        <v>8862</v>
      </c>
      <c r="E1405" s="2" t="s">
        <v>3545</v>
      </c>
      <c r="F1405" s="2" t="s">
        <v>1778</v>
      </c>
      <c r="G1405" s="2" t="s">
        <v>1717</v>
      </c>
      <c r="H1405" s="2" t="s">
        <v>646</v>
      </c>
      <c r="I1405" s="3">
        <f t="shared" si="21"/>
        <v>237</v>
      </c>
    </row>
    <row r="1406" spans="1:9" ht="36" x14ac:dyDescent="0.3">
      <c r="A1406" s="2" t="s">
        <v>146</v>
      </c>
      <c r="B1406" s="2" t="s">
        <v>6638</v>
      </c>
      <c r="C1406" s="2" t="s">
        <v>500</v>
      </c>
      <c r="D1406" s="2" t="s">
        <v>6639</v>
      </c>
      <c r="E1406" s="2" t="s">
        <v>39</v>
      </c>
      <c r="F1406" s="2"/>
      <c r="G1406" s="2"/>
      <c r="H1406" s="2"/>
      <c r="I1406" s="3">
        <f t="shared" si="21"/>
        <v>239</v>
      </c>
    </row>
    <row r="1407" spans="1:9" ht="36" x14ac:dyDescent="0.3">
      <c r="A1407" s="2" t="s">
        <v>146</v>
      </c>
      <c r="B1407" s="2" t="s">
        <v>4783</v>
      </c>
      <c r="C1407" s="2" t="s">
        <v>214</v>
      </c>
      <c r="D1407" s="2" t="s">
        <v>6643</v>
      </c>
      <c r="E1407" s="2" t="s">
        <v>39</v>
      </c>
      <c r="F1407" s="2"/>
      <c r="G1407" s="2"/>
      <c r="H1407" s="2"/>
      <c r="I1407" s="3">
        <f t="shared" si="21"/>
        <v>239</v>
      </c>
    </row>
    <row r="1408" spans="1:9" ht="36" x14ac:dyDescent="0.3">
      <c r="A1408" s="2" t="s">
        <v>146</v>
      </c>
      <c r="B1408" s="2" t="s">
        <v>6648</v>
      </c>
      <c r="C1408" s="2"/>
      <c r="D1408" s="2" t="s">
        <v>6649</v>
      </c>
      <c r="E1408" s="2" t="s">
        <v>39</v>
      </c>
      <c r="F1408" s="2"/>
      <c r="G1408" s="2"/>
      <c r="H1408" s="2"/>
      <c r="I1408" s="3">
        <f t="shared" si="21"/>
        <v>240</v>
      </c>
    </row>
    <row r="1409" spans="1:9" ht="36" x14ac:dyDescent="0.3">
      <c r="A1409" s="2" t="s">
        <v>146</v>
      </c>
      <c r="B1409" s="2" t="s">
        <v>6650</v>
      </c>
      <c r="C1409" s="2" t="s">
        <v>515</v>
      </c>
      <c r="D1409" s="2" t="s">
        <v>6651</v>
      </c>
      <c r="E1409" s="2" t="s">
        <v>39</v>
      </c>
      <c r="F1409" s="2"/>
      <c r="G1409" s="2"/>
      <c r="H1409" s="2"/>
      <c r="I1409" s="3">
        <f t="shared" si="21"/>
        <v>240</v>
      </c>
    </row>
    <row r="1410" spans="1:9" ht="36" x14ac:dyDescent="0.3">
      <c r="A1410" s="2" t="s">
        <v>146</v>
      </c>
      <c r="B1410" s="2" t="s">
        <v>6652</v>
      </c>
      <c r="C1410" s="2" t="s">
        <v>5363</v>
      </c>
      <c r="D1410" s="2" t="s">
        <v>6653</v>
      </c>
      <c r="E1410" s="2" t="s">
        <v>39</v>
      </c>
      <c r="F1410" s="2"/>
      <c r="G1410" s="2"/>
      <c r="H1410" s="2" t="s">
        <v>194</v>
      </c>
      <c r="I1410" s="3">
        <f t="shared" ref="I1410:I1473" si="22">LEN(D1410)</f>
        <v>240</v>
      </c>
    </row>
    <row r="1411" spans="1:9" ht="36" x14ac:dyDescent="0.3">
      <c r="A1411" s="2" t="s">
        <v>146</v>
      </c>
      <c r="B1411" s="2" t="s">
        <v>1759</v>
      </c>
      <c r="C1411" s="2" t="s">
        <v>911</v>
      </c>
      <c r="D1411" s="2" t="s">
        <v>6665</v>
      </c>
      <c r="E1411" s="2" t="s">
        <v>39</v>
      </c>
      <c r="F1411" s="2"/>
      <c r="G1411" s="2"/>
      <c r="H1411" s="2"/>
      <c r="I1411" s="3">
        <f t="shared" si="22"/>
        <v>241</v>
      </c>
    </row>
    <row r="1412" spans="1:9" ht="36" x14ac:dyDescent="0.3">
      <c r="A1412" s="2" t="s">
        <v>146</v>
      </c>
      <c r="B1412" s="2" t="s">
        <v>6666</v>
      </c>
      <c r="C1412" s="2" t="s">
        <v>57</v>
      </c>
      <c r="D1412" s="2" t="s">
        <v>8863</v>
      </c>
      <c r="E1412" s="2" t="s">
        <v>39</v>
      </c>
      <c r="F1412" s="2" t="s">
        <v>1778</v>
      </c>
      <c r="G1412" s="2" t="s">
        <v>1717</v>
      </c>
      <c r="H1412" s="2"/>
      <c r="I1412" s="3">
        <f t="shared" si="22"/>
        <v>239</v>
      </c>
    </row>
    <row r="1413" spans="1:9" ht="36" x14ac:dyDescent="0.3">
      <c r="A1413" s="2" t="s">
        <v>146</v>
      </c>
      <c r="B1413" s="2" t="s">
        <v>6671</v>
      </c>
      <c r="C1413" s="2" t="s">
        <v>5416</v>
      </c>
      <c r="D1413" s="2" t="s">
        <v>8864</v>
      </c>
      <c r="E1413" s="2" t="s">
        <v>39</v>
      </c>
      <c r="F1413" s="2" t="s">
        <v>1778</v>
      </c>
      <c r="G1413" s="2" t="s">
        <v>1717</v>
      </c>
      <c r="H1413" s="2"/>
      <c r="I1413" s="3">
        <f t="shared" si="22"/>
        <v>240</v>
      </c>
    </row>
    <row r="1414" spans="1:9" ht="36" x14ac:dyDescent="0.3">
      <c r="A1414" s="2" t="s">
        <v>146</v>
      </c>
      <c r="B1414" s="2" t="s">
        <v>6673</v>
      </c>
      <c r="C1414" s="2" t="s">
        <v>81</v>
      </c>
      <c r="D1414" s="2" t="s">
        <v>8865</v>
      </c>
      <c r="E1414" s="2" t="s">
        <v>39</v>
      </c>
      <c r="F1414" s="2" t="s">
        <v>4117</v>
      </c>
      <c r="G1414" s="2" t="s">
        <v>1717</v>
      </c>
      <c r="H1414" s="2"/>
      <c r="I1414" s="3">
        <f t="shared" si="22"/>
        <v>241</v>
      </c>
    </row>
    <row r="1415" spans="1:9" ht="36" x14ac:dyDescent="0.3">
      <c r="A1415" s="2" t="s">
        <v>146</v>
      </c>
      <c r="B1415" s="2" t="s">
        <v>6679</v>
      </c>
      <c r="C1415" s="2" t="s">
        <v>130</v>
      </c>
      <c r="D1415" s="2" t="s">
        <v>8866</v>
      </c>
      <c r="E1415" s="2" t="s">
        <v>39</v>
      </c>
      <c r="F1415" s="2" t="s">
        <v>2281</v>
      </c>
      <c r="G1415" s="2" t="s">
        <v>1717</v>
      </c>
      <c r="H1415" s="2" t="s">
        <v>646</v>
      </c>
      <c r="I1415" s="3">
        <f t="shared" si="22"/>
        <v>242</v>
      </c>
    </row>
    <row r="1416" spans="1:9" ht="36" x14ac:dyDescent="0.3">
      <c r="A1416" s="2" t="s">
        <v>146</v>
      </c>
      <c r="B1416" s="2" t="s">
        <v>6684</v>
      </c>
      <c r="C1416" s="2" t="s">
        <v>57</v>
      </c>
      <c r="D1416" s="2" t="s">
        <v>8867</v>
      </c>
      <c r="E1416" s="2" t="s">
        <v>2709</v>
      </c>
      <c r="F1416" s="2" t="s">
        <v>1778</v>
      </c>
      <c r="G1416" s="2" t="s">
        <v>1717</v>
      </c>
      <c r="H1416" s="2"/>
      <c r="I1416" s="3">
        <f t="shared" si="22"/>
        <v>242</v>
      </c>
    </row>
    <row r="1417" spans="1:9" ht="36" x14ac:dyDescent="0.3">
      <c r="A1417" s="2" t="s">
        <v>146</v>
      </c>
      <c r="B1417" s="2" t="s">
        <v>6685</v>
      </c>
      <c r="C1417" s="2" t="s">
        <v>389</v>
      </c>
      <c r="D1417" s="2" t="s">
        <v>8868</v>
      </c>
      <c r="E1417" s="2" t="s">
        <v>2693</v>
      </c>
      <c r="F1417" s="2" t="s">
        <v>1778</v>
      </c>
      <c r="G1417" s="2" t="s">
        <v>1717</v>
      </c>
      <c r="H1417" s="2"/>
      <c r="I1417" s="3">
        <f t="shared" si="22"/>
        <v>242</v>
      </c>
    </row>
    <row r="1418" spans="1:9" ht="36" x14ac:dyDescent="0.3">
      <c r="A1418" s="2" t="s">
        <v>146</v>
      </c>
      <c r="B1418" s="2" t="s">
        <v>6686</v>
      </c>
      <c r="C1418" s="2" t="s">
        <v>332</v>
      </c>
      <c r="D1418" s="2" t="s">
        <v>6687</v>
      </c>
      <c r="E1418" s="2" t="s">
        <v>39</v>
      </c>
      <c r="F1418" s="2"/>
      <c r="G1418" s="2"/>
      <c r="H1418" s="2"/>
      <c r="I1418" s="3">
        <f t="shared" si="22"/>
        <v>244</v>
      </c>
    </row>
    <row r="1419" spans="1:9" ht="36" x14ac:dyDescent="0.3">
      <c r="A1419" s="2" t="s">
        <v>146</v>
      </c>
      <c r="B1419" s="2" t="s">
        <v>6689</v>
      </c>
      <c r="C1419" s="2" t="s">
        <v>590</v>
      </c>
      <c r="D1419" s="2" t="s">
        <v>6690</v>
      </c>
      <c r="E1419" s="2" t="s">
        <v>39</v>
      </c>
      <c r="F1419" s="2"/>
      <c r="G1419" s="2"/>
      <c r="H1419" s="2" t="s">
        <v>194</v>
      </c>
      <c r="I1419" s="3">
        <f t="shared" si="22"/>
        <v>245</v>
      </c>
    </row>
    <row r="1420" spans="1:9" ht="36" x14ac:dyDescent="0.3">
      <c r="A1420" s="2" t="s">
        <v>146</v>
      </c>
      <c r="B1420" s="2" t="s">
        <v>6697</v>
      </c>
      <c r="C1420" s="2" t="s">
        <v>6698</v>
      </c>
      <c r="D1420" s="2" t="s">
        <v>6699</v>
      </c>
      <c r="E1420" s="2" t="s">
        <v>1188</v>
      </c>
      <c r="F1420" s="2"/>
      <c r="G1420" s="2"/>
      <c r="H1420" s="2" t="s">
        <v>194</v>
      </c>
      <c r="I1420" s="3">
        <f t="shared" si="22"/>
        <v>246</v>
      </c>
    </row>
    <row r="1421" spans="1:9" ht="36" x14ac:dyDescent="0.3">
      <c r="A1421" s="2" t="s">
        <v>146</v>
      </c>
      <c r="B1421" s="2" t="s">
        <v>6701</v>
      </c>
      <c r="C1421" s="2" t="s">
        <v>332</v>
      </c>
      <c r="D1421" s="2" t="s">
        <v>6702</v>
      </c>
      <c r="E1421" s="2" t="s">
        <v>39</v>
      </c>
      <c r="F1421" s="2"/>
      <c r="G1421" s="2"/>
      <c r="H1421" s="2" t="s">
        <v>194</v>
      </c>
      <c r="I1421" s="3">
        <f t="shared" si="22"/>
        <v>247</v>
      </c>
    </row>
    <row r="1422" spans="1:9" ht="36" x14ac:dyDescent="0.3">
      <c r="A1422" s="2" t="s">
        <v>146</v>
      </c>
      <c r="B1422" s="2" t="s">
        <v>6703</v>
      </c>
      <c r="C1422" s="2"/>
      <c r="D1422" s="2" t="s">
        <v>6704</v>
      </c>
      <c r="E1422" s="2" t="s">
        <v>39</v>
      </c>
      <c r="F1422" s="2"/>
      <c r="G1422" s="2" t="s">
        <v>1717</v>
      </c>
      <c r="H1422" s="2" t="s">
        <v>1176</v>
      </c>
      <c r="I1422" s="3">
        <f t="shared" si="22"/>
        <v>247</v>
      </c>
    </row>
    <row r="1423" spans="1:9" ht="36" x14ac:dyDescent="0.3">
      <c r="A1423" s="2" t="s">
        <v>146</v>
      </c>
      <c r="B1423" s="2" t="s">
        <v>6709</v>
      </c>
      <c r="C1423" s="2" t="s">
        <v>6605</v>
      </c>
      <c r="D1423" s="2" t="s">
        <v>6710</v>
      </c>
      <c r="E1423" s="2" t="s">
        <v>39</v>
      </c>
      <c r="F1423" s="2"/>
      <c r="G1423" s="2" t="s">
        <v>1717</v>
      </c>
      <c r="H1423" s="2"/>
      <c r="I1423" s="3">
        <f t="shared" si="22"/>
        <v>247</v>
      </c>
    </row>
    <row r="1424" spans="1:9" ht="36" x14ac:dyDescent="0.3">
      <c r="A1424" s="2" t="s">
        <v>146</v>
      </c>
      <c r="B1424" s="2" t="s">
        <v>6714</v>
      </c>
      <c r="C1424" s="2"/>
      <c r="D1424" s="2" t="s">
        <v>6715</v>
      </c>
      <c r="E1424" s="2" t="s">
        <v>39</v>
      </c>
      <c r="F1424" s="2"/>
      <c r="G1424" s="2" t="s">
        <v>1717</v>
      </c>
      <c r="H1424" s="2" t="s">
        <v>646</v>
      </c>
      <c r="I1424" s="3">
        <f t="shared" si="22"/>
        <v>248</v>
      </c>
    </row>
    <row r="1425" spans="1:9" ht="36" x14ac:dyDescent="0.3">
      <c r="A1425" s="2" t="s">
        <v>146</v>
      </c>
      <c r="B1425" s="2" t="s">
        <v>1961</v>
      </c>
      <c r="C1425" s="2" t="s">
        <v>214</v>
      </c>
      <c r="D1425" s="2" t="s">
        <v>6726</v>
      </c>
      <c r="E1425" s="2" t="s">
        <v>39</v>
      </c>
      <c r="F1425" s="2"/>
      <c r="G1425" s="2"/>
      <c r="H1425" s="2"/>
      <c r="I1425" s="3">
        <f t="shared" si="22"/>
        <v>249</v>
      </c>
    </row>
    <row r="1426" spans="1:9" ht="36" x14ac:dyDescent="0.3">
      <c r="A1426" s="2" t="s">
        <v>146</v>
      </c>
      <c r="B1426" s="2" t="s">
        <v>6727</v>
      </c>
      <c r="C1426" s="2" t="s">
        <v>57</v>
      </c>
      <c r="D1426" s="2" t="s">
        <v>8869</v>
      </c>
      <c r="E1426" s="2" t="s">
        <v>2709</v>
      </c>
      <c r="F1426" s="2" t="s">
        <v>1778</v>
      </c>
      <c r="G1426" s="2" t="s">
        <v>1717</v>
      </c>
      <c r="H1426" s="2" t="s">
        <v>646</v>
      </c>
      <c r="I1426" s="3">
        <f t="shared" si="22"/>
        <v>247</v>
      </c>
    </row>
    <row r="1427" spans="1:9" ht="36" x14ac:dyDescent="0.3">
      <c r="A1427" s="2" t="s">
        <v>146</v>
      </c>
      <c r="B1427" s="2" t="s">
        <v>3769</v>
      </c>
      <c r="C1427" s="2" t="s">
        <v>130</v>
      </c>
      <c r="D1427" s="2" t="s">
        <v>8870</v>
      </c>
      <c r="E1427" s="2" t="s">
        <v>39</v>
      </c>
      <c r="F1427" s="2" t="s">
        <v>1778</v>
      </c>
      <c r="G1427" s="2" t="s">
        <v>1717</v>
      </c>
      <c r="H1427" s="2" t="s">
        <v>646</v>
      </c>
      <c r="I1427" s="3">
        <f t="shared" si="22"/>
        <v>247</v>
      </c>
    </row>
    <row r="1428" spans="1:9" ht="36" x14ac:dyDescent="0.3">
      <c r="A1428" s="2" t="s">
        <v>146</v>
      </c>
      <c r="B1428" s="2" t="s">
        <v>6734</v>
      </c>
      <c r="C1428" s="2" t="s">
        <v>896</v>
      </c>
      <c r="D1428" s="2" t="s">
        <v>6735</v>
      </c>
      <c r="E1428" s="2" t="s">
        <v>1494</v>
      </c>
      <c r="F1428" s="2"/>
      <c r="G1428" s="2"/>
      <c r="H1428" s="2" t="s">
        <v>898</v>
      </c>
      <c r="I1428" s="3">
        <f t="shared" si="22"/>
        <v>250</v>
      </c>
    </row>
    <row r="1429" spans="1:9" ht="36" x14ac:dyDescent="0.3">
      <c r="A1429" s="2" t="s">
        <v>146</v>
      </c>
      <c r="B1429" s="2" t="s">
        <v>6751</v>
      </c>
      <c r="C1429" s="2" t="s">
        <v>6752</v>
      </c>
      <c r="D1429" s="2" t="s">
        <v>6753</v>
      </c>
      <c r="E1429" s="2" t="s">
        <v>39</v>
      </c>
      <c r="F1429" s="2"/>
      <c r="G1429" s="2"/>
      <c r="H1429" s="2" t="s">
        <v>194</v>
      </c>
      <c r="I1429" s="3">
        <f t="shared" si="22"/>
        <v>251</v>
      </c>
    </row>
    <row r="1430" spans="1:9" ht="36" x14ac:dyDescent="0.3">
      <c r="A1430" s="2" t="s">
        <v>146</v>
      </c>
      <c r="B1430" s="2" t="s">
        <v>6755</v>
      </c>
      <c r="C1430" s="2" t="s">
        <v>896</v>
      </c>
      <c r="D1430" s="2" t="s">
        <v>6756</v>
      </c>
      <c r="E1430" s="2" t="s">
        <v>1494</v>
      </c>
      <c r="F1430" s="2"/>
      <c r="G1430" s="2"/>
      <c r="H1430" s="2" t="s">
        <v>898</v>
      </c>
      <c r="I1430" s="3">
        <f t="shared" si="22"/>
        <v>251</v>
      </c>
    </row>
    <row r="1431" spans="1:9" ht="36" x14ac:dyDescent="0.3">
      <c r="A1431" s="2" t="s">
        <v>146</v>
      </c>
      <c r="B1431" s="2" t="s">
        <v>6767</v>
      </c>
      <c r="C1431" s="2" t="s">
        <v>6768</v>
      </c>
      <c r="D1431" s="2" t="s">
        <v>8871</v>
      </c>
      <c r="E1431" s="2" t="s">
        <v>39</v>
      </c>
      <c r="F1431" s="2" t="s">
        <v>1778</v>
      </c>
      <c r="G1431" s="2" t="s">
        <v>1717</v>
      </c>
      <c r="H1431" s="2"/>
      <c r="I1431" s="3">
        <f t="shared" si="22"/>
        <v>251</v>
      </c>
    </row>
    <row r="1432" spans="1:9" ht="36" x14ac:dyDescent="0.3">
      <c r="A1432" s="2" t="s">
        <v>146</v>
      </c>
      <c r="B1432" s="2" t="s">
        <v>6789</v>
      </c>
      <c r="C1432" s="2" t="s">
        <v>6790</v>
      </c>
      <c r="D1432" s="2" t="s">
        <v>6791</v>
      </c>
      <c r="E1432" s="2" t="s">
        <v>383</v>
      </c>
      <c r="F1432" s="2"/>
      <c r="G1432" s="2"/>
      <c r="H1432" s="2"/>
      <c r="I1432" s="3">
        <f t="shared" si="22"/>
        <v>254</v>
      </c>
    </row>
    <row r="1433" spans="1:9" ht="36" x14ac:dyDescent="0.3">
      <c r="A1433" s="2" t="s">
        <v>146</v>
      </c>
      <c r="B1433" s="2" t="s">
        <v>6793</v>
      </c>
      <c r="C1433" s="2" t="s">
        <v>389</v>
      </c>
      <c r="D1433" s="2" t="s">
        <v>6794</v>
      </c>
      <c r="E1433" s="2" t="s">
        <v>39</v>
      </c>
      <c r="F1433" s="2"/>
      <c r="G1433" s="2"/>
      <c r="H1433" s="2"/>
      <c r="I1433" s="3">
        <f t="shared" si="22"/>
        <v>254</v>
      </c>
    </row>
    <row r="1434" spans="1:9" ht="36" x14ac:dyDescent="0.3">
      <c r="A1434" s="2" t="s">
        <v>146</v>
      </c>
      <c r="B1434" s="2" t="s">
        <v>6795</v>
      </c>
      <c r="C1434" s="2" t="s">
        <v>95</v>
      </c>
      <c r="D1434" s="2" t="s">
        <v>6796</v>
      </c>
      <c r="E1434" s="2" t="s">
        <v>1188</v>
      </c>
      <c r="F1434" s="2"/>
      <c r="G1434" s="2"/>
      <c r="H1434" s="2"/>
      <c r="I1434" s="3">
        <f t="shared" si="22"/>
        <v>254</v>
      </c>
    </row>
    <row r="1435" spans="1:9" ht="36" x14ac:dyDescent="0.3">
      <c r="A1435" s="2" t="s">
        <v>146</v>
      </c>
      <c r="B1435" s="2" t="s">
        <v>6797</v>
      </c>
      <c r="C1435" s="2" t="s">
        <v>1507</v>
      </c>
      <c r="D1435" s="2" t="s">
        <v>8872</v>
      </c>
      <c r="E1435" s="2" t="s">
        <v>3773</v>
      </c>
      <c r="F1435" s="2" t="s">
        <v>1778</v>
      </c>
      <c r="G1435" s="2" t="s">
        <v>4507</v>
      </c>
      <c r="H1435" s="2"/>
      <c r="I1435" s="3">
        <f t="shared" si="22"/>
        <v>252</v>
      </c>
    </row>
    <row r="1436" spans="1:9" ht="36" x14ac:dyDescent="0.3">
      <c r="A1436" s="2" t="s">
        <v>146</v>
      </c>
      <c r="B1436" s="2" t="s">
        <v>6800</v>
      </c>
      <c r="C1436" s="2" t="s">
        <v>2057</v>
      </c>
      <c r="D1436" s="2" t="s">
        <v>6801</v>
      </c>
      <c r="E1436" s="2" t="s">
        <v>39</v>
      </c>
      <c r="F1436" s="2"/>
      <c r="G1436" s="2"/>
      <c r="H1436" s="2"/>
      <c r="I1436" s="3">
        <f t="shared" si="22"/>
        <v>255</v>
      </c>
    </row>
    <row r="1437" spans="1:9" ht="36" x14ac:dyDescent="0.3">
      <c r="A1437" s="2" t="s">
        <v>146</v>
      </c>
      <c r="B1437" s="2" t="s">
        <v>2787</v>
      </c>
      <c r="C1437" s="2"/>
      <c r="D1437" s="2" t="s">
        <v>6810</v>
      </c>
      <c r="E1437" s="2" t="s">
        <v>39</v>
      </c>
      <c r="F1437" s="2"/>
      <c r="G1437" s="2" t="s">
        <v>1717</v>
      </c>
      <c r="H1437" s="2"/>
      <c r="I1437" s="3">
        <f t="shared" si="22"/>
        <v>255</v>
      </c>
    </row>
    <row r="1438" spans="1:9" ht="36" x14ac:dyDescent="0.3">
      <c r="A1438" s="2" t="s">
        <v>146</v>
      </c>
      <c r="B1438" s="2" t="s">
        <v>6817</v>
      </c>
      <c r="C1438" s="2" t="s">
        <v>6818</v>
      </c>
      <c r="D1438" s="2" t="s">
        <v>8873</v>
      </c>
      <c r="E1438" s="2" t="s">
        <v>39</v>
      </c>
      <c r="F1438" s="2" t="s">
        <v>4117</v>
      </c>
      <c r="G1438" s="2" t="s">
        <v>1717</v>
      </c>
      <c r="H1438" s="2"/>
      <c r="I1438" s="3">
        <f t="shared" si="22"/>
        <v>254</v>
      </c>
    </row>
    <row r="1439" spans="1:9" ht="36" x14ac:dyDescent="0.3">
      <c r="A1439" s="2" t="s">
        <v>146</v>
      </c>
      <c r="B1439" s="2" t="s">
        <v>2675</v>
      </c>
      <c r="C1439" s="2" t="s">
        <v>1507</v>
      </c>
      <c r="D1439" s="2" t="s">
        <v>6820</v>
      </c>
      <c r="E1439" s="2"/>
      <c r="F1439" s="2"/>
      <c r="G1439" s="2"/>
      <c r="H1439" s="2" t="s">
        <v>646</v>
      </c>
      <c r="I1439" s="3">
        <f t="shared" si="22"/>
        <v>256</v>
      </c>
    </row>
    <row r="1440" spans="1:9" ht="36" x14ac:dyDescent="0.3">
      <c r="A1440" s="2" t="s">
        <v>146</v>
      </c>
      <c r="B1440" s="2" t="s">
        <v>6821</v>
      </c>
      <c r="C1440" s="2"/>
      <c r="D1440" s="2" t="s">
        <v>6822</v>
      </c>
      <c r="E1440" s="2" t="s">
        <v>39</v>
      </c>
      <c r="F1440" s="2"/>
      <c r="G1440" s="2"/>
      <c r="H1440" s="2" t="s">
        <v>402</v>
      </c>
      <c r="I1440" s="3">
        <f t="shared" si="22"/>
        <v>256</v>
      </c>
    </row>
    <row r="1441" spans="1:9" ht="36" x14ac:dyDescent="0.3">
      <c r="A1441" s="2" t="s">
        <v>146</v>
      </c>
      <c r="B1441" s="2" t="s">
        <v>6823</v>
      </c>
      <c r="C1441" s="2"/>
      <c r="D1441" s="2" t="s">
        <v>6824</v>
      </c>
      <c r="E1441" s="2" t="s">
        <v>3671</v>
      </c>
      <c r="F1441" s="2"/>
      <c r="G1441" s="2"/>
      <c r="H1441" s="2" t="s">
        <v>646</v>
      </c>
      <c r="I1441" s="3">
        <f t="shared" si="22"/>
        <v>256</v>
      </c>
    </row>
    <row r="1442" spans="1:9" ht="36" x14ac:dyDescent="0.3">
      <c r="A1442" s="2" t="s">
        <v>146</v>
      </c>
      <c r="B1442" s="2" t="s">
        <v>6827</v>
      </c>
      <c r="C1442" s="2" t="s">
        <v>437</v>
      </c>
      <c r="D1442" s="2" t="s">
        <v>8874</v>
      </c>
      <c r="E1442" s="2" t="s">
        <v>39</v>
      </c>
      <c r="F1442" s="2" t="s">
        <v>1778</v>
      </c>
      <c r="G1442" s="2" t="s">
        <v>4507</v>
      </c>
      <c r="H1442" s="2"/>
      <c r="I1442" s="3">
        <f t="shared" si="22"/>
        <v>255</v>
      </c>
    </row>
    <row r="1443" spans="1:9" ht="36" x14ac:dyDescent="0.3">
      <c r="A1443" s="2" t="s">
        <v>146</v>
      </c>
      <c r="B1443" s="2" t="s">
        <v>6828</v>
      </c>
      <c r="C1443" s="2"/>
      <c r="D1443" s="2" t="s">
        <v>6829</v>
      </c>
      <c r="E1443" s="2" t="s">
        <v>39</v>
      </c>
      <c r="F1443" s="2"/>
      <c r="G1443" s="2"/>
      <c r="H1443" s="2"/>
      <c r="I1443" s="3">
        <f t="shared" si="22"/>
        <v>257</v>
      </c>
    </row>
    <row r="1444" spans="1:9" ht="36" x14ac:dyDescent="0.3">
      <c r="A1444" s="2" t="s">
        <v>146</v>
      </c>
      <c r="B1444" s="2" t="s">
        <v>6834</v>
      </c>
      <c r="C1444" s="2" t="s">
        <v>729</v>
      </c>
      <c r="D1444" s="2" t="s">
        <v>8875</v>
      </c>
      <c r="E1444" s="2" t="s">
        <v>6835</v>
      </c>
      <c r="F1444" s="2" t="s">
        <v>1778</v>
      </c>
      <c r="G1444" s="2" t="s">
        <v>1717</v>
      </c>
      <c r="H1444" s="2" t="s">
        <v>1176</v>
      </c>
      <c r="I1444" s="3">
        <f t="shared" si="22"/>
        <v>255</v>
      </c>
    </row>
    <row r="1445" spans="1:9" ht="36" x14ac:dyDescent="0.3">
      <c r="A1445" s="2" t="s">
        <v>146</v>
      </c>
      <c r="B1445" s="2" t="s">
        <v>6843</v>
      </c>
      <c r="C1445" s="2"/>
      <c r="D1445" s="2" t="s">
        <v>6844</v>
      </c>
      <c r="E1445" s="2" t="s">
        <v>39</v>
      </c>
      <c r="F1445" s="2"/>
      <c r="G1445" s="2"/>
      <c r="H1445" s="2"/>
      <c r="I1445" s="3">
        <f t="shared" si="22"/>
        <v>257</v>
      </c>
    </row>
    <row r="1446" spans="1:9" ht="36" x14ac:dyDescent="0.3">
      <c r="A1446" s="2" t="s">
        <v>146</v>
      </c>
      <c r="B1446" s="2" t="s">
        <v>6849</v>
      </c>
      <c r="C1446" s="2" t="s">
        <v>535</v>
      </c>
      <c r="D1446" s="2" t="s">
        <v>6850</v>
      </c>
      <c r="E1446" s="2" t="s">
        <v>39</v>
      </c>
      <c r="F1446" s="2"/>
      <c r="G1446" s="2"/>
      <c r="H1446" s="2" t="s">
        <v>537</v>
      </c>
      <c r="I1446" s="3">
        <f t="shared" si="22"/>
        <v>258</v>
      </c>
    </row>
    <row r="1447" spans="1:9" ht="36" x14ac:dyDescent="0.3">
      <c r="A1447" s="2" t="s">
        <v>146</v>
      </c>
      <c r="B1447" s="2" t="s">
        <v>6851</v>
      </c>
      <c r="C1447" s="2" t="s">
        <v>45</v>
      </c>
      <c r="D1447" s="2" t="s">
        <v>8876</v>
      </c>
      <c r="E1447" s="2" t="s">
        <v>39</v>
      </c>
      <c r="F1447" s="2" t="s">
        <v>3082</v>
      </c>
      <c r="G1447" s="2" t="s">
        <v>1717</v>
      </c>
      <c r="H1447" s="2"/>
      <c r="I1447" s="3">
        <f t="shared" si="22"/>
        <v>256</v>
      </c>
    </row>
    <row r="1448" spans="1:9" ht="36" x14ac:dyDescent="0.3">
      <c r="A1448" s="2" t="s">
        <v>146</v>
      </c>
      <c r="B1448" s="2" t="s">
        <v>6855</v>
      </c>
      <c r="C1448" s="2"/>
      <c r="D1448" s="2" t="s">
        <v>6856</v>
      </c>
      <c r="E1448" s="2" t="s">
        <v>39</v>
      </c>
      <c r="F1448" s="2"/>
      <c r="G1448" s="2"/>
      <c r="H1448" s="2"/>
      <c r="I1448" s="3">
        <f t="shared" si="22"/>
        <v>259</v>
      </c>
    </row>
    <row r="1449" spans="1:9" ht="36" x14ac:dyDescent="0.3">
      <c r="A1449" s="2" t="s">
        <v>146</v>
      </c>
      <c r="B1449" s="2" t="s">
        <v>6861</v>
      </c>
      <c r="C1449" s="2" t="s">
        <v>1236</v>
      </c>
      <c r="D1449" s="2" t="s">
        <v>6862</v>
      </c>
      <c r="E1449" s="2" t="s">
        <v>39</v>
      </c>
      <c r="F1449" s="2"/>
      <c r="G1449" s="2"/>
      <c r="H1449" s="2" t="s">
        <v>1176</v>
      </c>
      <c r="I1449" s="3">
        <f t="shared" si="22"/>
        <v>259</v>
      </c>
    </row>
    <row r="1450" spans="1:9" ht="36" x14ac:dyDescent="0.3">
      <c r="A1450" s="2" t="s">
        <v>146</v>
      </c>
      <c r="B1450" s="2" t="s">
        <v>6876</v>
      </c>
      <c r="C1450" s="2" t="s">
        <v>446</v>
      </c>
      <c r="D1450" s="2" t="s">
        <v>6877</v>
      </c>
      <c r="E1450" s="2" t="s">
        <v>39</v>
      </c>
      <c r="F1450" s="2"/>
      <c r="G1450" s="2"/>
      <c r="H1450" s="2"/>
      <c r="I1450" s="3">
        <f t="shared" si="22"/>
        <v>261</v>
      </c>
    </row>
    <row r="1451" spans="1:9" ht="36" x14ac:dyDescent="0.3">
      <c r="A1451" s="2" t="s">
        <v>146</v>
      </c>
      <c r="B1451" s="2" t="s">
        <v>6880</v>
      </c>
      <c r="C1451" s="2" t="s">
        <v>6881</v>
      </c>
      <c r="D1451" s="2" t="s">
        <v>6882</v>
      </c>
      <c r="E1451" s="2" t="s">
        <v>39</v>
      </c>
      <c r="F1451" s="2"/>
      <c r="G1451" s="2"/>
      <c r="H1451" s="2" t="s">
        <v>194</v>
      </c>
      <c r="I1451" s="3">
        <f t="shared" si="22"/>
        <v>261</v>
      </c>
    </row>
    <row r="1452" spans="1:9" ht="36" x14ac:dyDescent="0.3">
      <c r="A1452" s="2" t="s">
        <v>146</v>
      </c>
      <c r="B1452" s="2" t="s">
        <v>6883</v>
      </c>
      <c r="C1452" s="2"/>
      <c r="D1452" s="2" t="s">
        <v>8877</v>
      </c>
      <c r="E1452" s="2" t="s">
        <v>1188</v>
      </c>
      <c r="F1452" s="2" t="s">
        <v>4117</v>
      </c>
      <c r="G1452" s="2" t="s">
        <v>350</v>
      </c>
      <c r="H1452" s="2"/>
      <c r="I1452" s="3">
        <f t="shared" si="22"/>
        <v>259</v>
      </c>
    </row>
    <row r="1453" spans="1:9" ht="36" x14ac:dyDescent="0.3">
      <c r="A1453" s="2" t="s">
        <v>146</v>
      </c>
      <c r="B1453" s="2" t="s">
        <v>6889</v>
      </c>
      <c r="C1453" s="2"/>
      <c r="D1453" s="2" t="s">
        <v>6890</v>
      </c>
      <c r="E1453" s="2" t="s">
        <v>39</v>
      </c>
      <c r="F1453" s="2"/>
      <c r="G1453" s="2"/>
      <c r="H1453" s="2" t="s">
        <v>1176</v>
      </c>
      <c r="I1453" s="3">
        <f t="shared" si="22"/>
        <v>262</v>
      </c>
    </row>
    <row r="1454" spans="1:9" ht="36" x14ac:dyDescent="0.3">
      <c r="A1454" s="2" t="s">
        <v>146</v>
      </c>
      <c r="B1454" s="2" t="s">
        <v>6902</v>
      </c>
      <c r="C1454" s="2" t="s">
        <v>148</v>
      </c>
      <c r="D1454" s="2" t="s">
        <v>6903</v>
      </c>
      <c r="E1454" s="2" t="s">
        <v>39</v>
      </c>
      <c r="F1454" s="2"/>
      <c r="G1454" s="2"/>
      <c r="H1454" s="2"/>
      <c r="I1454" s="3">
        <f t="shared" si="22"/>
        <v>263</v>
      </c>
    </row>
    <row r="1455" spans="1:9" ht="36" x14ac:dyDescent="0.3">
      <c r="A1455" s="2" t="s">
        <v>146</v>
      </c>
      <c r="B1455" s="2" t="s">
        <v>3673</v>
      </c>
      <c r="C1455" s="2"/>
      <c r="D1455" s="2" t="s">
        <v>6907</v>
      </c>
      <c r="E1455" s="2" t="s">
        <v>39</v>
      </c>
      <c r="F1455" s="2"/>
      <c r="G1455" s="2"/>
      <c r="H1455" s="2"/>
      <c r="I1455" s="3">
        <f t="shared" si="22"/>
        <v>263</v>
      </c>
    </row>
    <row r="1456" spans="1:9" ht="36" x14ac:dyDescent="0.3">
      <c r="A1456" s="2" t="s">
        <v>146</v>
      </c>
      <c r="B1456" s="2" t="s">
        <v>6909</v>
      </c>
      <c r="C1456" s="2" t="s">
        <v>45</v>
      </c>
      <c r="D1456" s="2" t="s">
        <v>8878</v>
      </c>
      <c r="E1456" s="2" t="s">
        <v>39</v>
      </c>
      <c r="F1456" s="2" t="s">
        <v>1778</v>
      </c>
      <c r="G1456" s="2" t="s">
        <v>1717</v>
      </c>
      <c r="H1456" s="2" t="s">
        <v>646</v>
      </c>
      <c r="I1456" s="3">
        <f t="shared" si="22"/>
        <v>261</v>
      </c>
    </row>
    <row r="1457" spans="1:9" ht="36" x14ac:dyDescent="0.3">
      <c r="A1457" s="2" t="s">
        <v>146</v>
      </c>
      <c r="B1457" s="2" t="s">
        <v>6910</v>
      </c>
      <c r="C1457" s="2" t="s">
        <v>515</v>
      </c>
      <c r="D1457" s="2" t="s">
        <v>6911</v>
      </c>
      <c r="E1457" s="2" t="s">
        <v>39</v>
      </c>
      <c r="F1457" s="2"/>
      <c r="G1457" s="2"/>
      <c r="H1457" s="2"/>
      <c r="I1457" s="3">
        <f t="shared" si="22"/>
        <v>263</v>
      </c>
    </row>
    <row r="1458" spans="1:9" ht="36" x14ac:dyDescent="0.3">
      <c r="A1458" s="2" t="s">
        <v>146</v>
      </c>
      <c r="B1458" s="2" t="s">
        <v>6914</v>
      </c>
      <c r="C1458" s="2"/>
      <c r="D1458" s="2" t="s">
        <v>6915</v>
      </c>
      <c r="E1458" s="2" t="s">
        <v>39</v>
      </c>
      <c r="F1458" s="2"/>
      <c r="G1458" s="2"/>
      <c r="H1458" s="2" t="s">
        <v>1176</v>
      </c>
      <c r="I1458" s="3">
        <f t="shared" si="22"/>
        <v>264</v>
      </c>
    </row>
    <row r="1459" spans="1:9" ht="36" x14ac:dyDescent="0.3">
      <c r="A1459" s="2" t="s">
        <v>146</v>
      </c>
      <c r="B1459" s="2" t="s">
        <v>6919</v>
      </c>
      <c r="C1459" s="2" t="s">
        <v>6920</v>
      </c>
      <c r="D1459" s="2" t="s">
        <v>8879</v>
      </c>
      <c r="E1459" s="2" t="s">
        <v>242</v>
      </c>
      <c r="F1459" s="2" t="s">
        <v>350</v>
      </c>
      <c r="G1459" s="2" t="s">
        <v>350</v>
      </c>
      <c r="H1459" s="2"/>
      <c r="I1459" s="3">
        <f t="shared" si="22"/>
        <v>262</v>
      </c>
    </row>
    <row r="1460" spans="1:9" ht="36" x14ac:dyDescent="0.3">
      <c r="A1460" s="2" t="s">
        <v>146</v>
      </c>
      <c r="B1460" s="2" t="s">
        <v>4487</v>
      </c>
      <c r="C1460" s="2" t="s">
        <v>389</v>
      </c>
      <c r="D1460" s="2" t="s">
        <v>6922</v>
      </c>
      <c r="E1460" s="2" t="s">
        <v>2373</v>
      </c>
      <c r="F1460" s="2"/>
      <c r="G1460" s="2"/>
      <c r="H1460" s="2" t="s">
        <v>216</v>
      </c>
      <c r="I1460" s="3">
        <f t="shared" si="22"/>
        <v>265</v>
      </c>
    </row>
    <row r="1461" spans="1:9" ht="36" x14ac:dyDescent="0.3">
      <c r="A1461" s="2" t="s">
        <v>146</v>
      </c>
      <c r="B1461" s="2" t="s">
        <v>6926</v>
      </c>
      <c r="C1461" s="2" t="s">
        <v>437</v>
      </c>
      <c r="D1461" s="2" t="s">
        <v>6927</v>
      </c>
      <c r="E1461" s="2" t="s">
        <v>39</v>
      </c>
      <c r="F1461" s="2"/>
      <c r="G1461" s="2"/>
      <c r="H1461" s="2" t="s">
        <v>1176</v>
      </c>
      <c r="I1461" s="3">
        <f t="shared" si="22"/>
        <v>265</v>
      </c>
    </row>
    <row r="1462" spans="1:9" ht="36" x14ac:dyDescent="0.3">
      <c r="A1462" s="2" t="s">
        <v>146</v>
      </c>
      <c r="B1462" s="2" t="s">
        <v>6932</v>
      </c>
      <c r="C1462" s="2"/>
      <c r="D1462" s="2" t="s">
        <v>6933</v>
      </c>
      <c r="E1462" s="2" t="s">
        <v>39</v>
      </c>
      <c r="F1462" s="2"/>
      <c r="G1462" s="2"/>
      <c r="H1462" s="2" t="s">
        <v>646</v>
      </c>
      <c r="I1462" s="3">
        <f t="shared" si="22"/>
        <v>265</v>
      </c>
    </row>
    <row r="1463" spans="1:9" ht="36" x14ac:dyDescent="0.3">
      <c r="A1463" s="2" t="s">
        <v>146</v>
      </c>
      <c r="B1463" s="2" t="s">
        <v>6934</v>
      </c>
      <c r="C1463" s="2" t="s">
        <v>2531</v>
      </c>
      <c r="D1463" s="2" t="s">
        <v>8880</v>
      </c>
      <c r="E1463" s="2" t="s">
        <v>39</v>
      </c>
      <c r="F1463" s="2" t="s">
        <v>2281</v>
      </c>
      <c r="G1463" s="2" t="s">
        <v>1717</v>
      </c>
      <c r="H1463" s="2"/>
      <c r="I1463" s="3">
        <f t="shared" si="22"/>
        <v>264</v>
      </c>
    </row>
    <row r="1464" spans="1:9" ht="36" x14ac:dyDescent="0.3">
      <c r="A1464" s="2" t="s">
        <v>146</v>
      </c>
      <c r="B1464" s="2" t="s">
        <v>6935</v>
      </c>
      <c r="C1464" s="3" t="s">
        <v>911</v>
      </c>
      <c r="D1464" s="2" t="s">
        <v>8881</v>
      </c>
      <c r="E1464" s="2" t="s">
        <v>3773</v>
      </c>
      <c r="F1464" s="2" t="s">
        <v>1778</v>
      </c>
      <c r="G1464" s="2" t="s">
        <v>1717</v>
      </c>
      <c r="H1464" s="2"/>
      <c r="I1464" s="3">
        <f t="shared" si="22"/>
        <v>264</v>
      </c>
    </row>
    <row r="1465" spans="1:9" ht="36" x14ac:dyDescent="0.3">
      <c r="A1465" s="2" t="s">
        <v>146</v>
      </c>
      <c r="B1465" s="2" t="s">
        <v>6942</v>
      </c>
      <c r="C1465" s="2" t="s">
        <v>590</v>
      </c>
      <c r="D1465" s="2" t="s">
        <v>6943</v>
      </c>
      <c r="E1465" s="2" t="s">
        <v>4224</v>
      </c>
      <c r="F1465" s="2"/>
      <c r="G1465" s="2"/>
      <c r="H1465" s="2"/>
      <c r="I1465" s="3">
        <f t="shared" si="22"/>
        <v>266</v>
      </c>
    </row>
    <row r="1466" spans="1:9" ht="36" x14ac:dyDescent="0.3">
      <c r="A1466" s="2" t="s">
        <v>146</v>
      </c>
      <c r="B1466" s="2" t="s">
        <v>6944</v>
      </c>
      <c r="C1466" s="2" t="s">
        <v>1255</v>
      </c>
      <c r="D1466" s="2" t="s">
        <v>6945</v>
      </c>
      <c r="E1466" s="2" t="s">
        <v>39</v>
      </c>
      <c r="F1466" s="2"/>
      <c r="G1466" s="2"/>
      <c r="H1466" s="2"/>
      <c r="I1466" s="3">
        <f t="shared" si="22"/>
        <v>266</v>
      </c>
    </row>
    <row r="1467" spans="1:9" ht="36" x14ac:dyDescent="0.3">
      <c r="A1467" s="2" t="s">
        <v>146</v>
      </c>
      <c r="B1467" s="2" t="s">
        <v>6946</v>
      </c>
      <c r="C1467" s="2" t="s">
        <v>4930</v>
      </c>
      <c r="D1467" s="2" t="s">
        <v>8882</v>
      </c>
      <c r="E1467" s="2" t="s">
        <v>1140</v>
      </c>
      <c r="F1467" s="2" t="s">
        <v>1778</v>
      </c>
      <c r="G1467" s="2" t="s">
        <v>1717</v>
      </c>
      <c r="H1467" s="2"/>
      <c r="I1467" s="3">
        <f t="shared" si="22"/>
        <v>264</v>
      </c>
    </row>
    <row r="1468" spans="1:9" ht="36" x14ac:dyDescent="0.3">
      <c r="A1468" s="2" t="s">
        <v>146</v>
      </c>
      <c r="B1468" s="2" t="s">
        <v>6953</v>
      </c>
      <c r="C1468" s="2" t="s">
        <v>198</v>
      </c>
      <c r="D1468" s="2" t="s">
        <v>6954</v>
      </c>
      <c r="E1468" s="2" t="s">
        <v>39</v>
      </c>
      <c r="F1468" s="2"/>
      <c r="G1468" s="2"/>
      <c r="H1468" s="2"/>
      <c r="I1468" s="3">
        <f t="shared" si="22"/>
        <v>267</v>
      </c>
    </row>
    <row r="1469" spans="1:9" ht="36" x14ac:dyDescent="0.3">
      <c r="A1469" s="2" t="s">
        <v>146</v>
      </c>
      <c r="B1469" s="2" t="s">
        <v>6955</v>
      </c>
      <c r="C1469" s="2"/>
      <c r="D1469" s="2" t="s">
        <v>8883</v>
      </c>
      <c r="E1469" s="2" t="s">
        <v>2136</v>
      </c>
      <c r="F1469" s="2" t="s">
        <v>4117</v>
      </c>
      <c r="G1469" s="2" t="s">
        <v>1717</v>
      </c>
      <c r="H1469" s="2"/>
      <c r="I1469" s="3">
        <f t="shared" si="22"/>
        <v>265</v>
      </c>
    </row>
    <row r="1470" spans="1:9" ht="36" x14ac:dyDescent="0.3">
      <c r="A1470" s="2" t="s">
        <v>146</v>
      </c>
      <c r="B1470" s="2" t="s">
        <v>6956</v>
      </c>
      <c r="C1470" s="2"/>
      <c r="D1470" s="2" t="s">
        <v>6957</v>
      </c>
      <c r="E1470" s="2" t="s">
        <v>39</v>
      </c>
      <c r="F1470" s="2"/>
      <c r="G1470" s="2"/>
      <c r="H1470" s="2"/>
      <c r="I1470" s="3">
        <f t="shared" si="22"/>
        <v>268</v>
      </c>
    </row>
    <row r="1471" spans="1:9" ht="36" x14ac:dyDescent="0.3">
      <c r="A1471" s="2" t="s">
        <v>146</v>
      </c>
      <c r="B1471" s="2" t="s">
        <v>6959</v>
      </c>
      <c r="C1471" s="2" t="s">
        <v>590</v>
      </c>
      <c r="D1471" s="2" t="s">
        <v>6960</v>
      </c>
      <c r="E1471" s="2" t="s">
        <v>39</v>
      </c>
      <c r="F1471" s="2"/>
      <c r="G1471" s="2"/>
      <c r="H1471" s="2"/>
      <c r="I1471" s="3">
        <f t="shared" si="22"/>
        <v>268</v>
      </c>
    </row>
    <row r="1472" spans="1:9" ht="36" x14ac:dyDescent="0.3">
      <c r="A1472" s="2" t="s">
        <v>146</v>
      </c>
      <c r="B1472" s="2" t="s">
        <v>6961</v>
      </c>
      <c r="C1472" s="2"/>
      <c r="D1472" s="2" t="s">
        <v>6962</v>
      </c>
      <c r="E1472" s="2" t="s">
        <v>39</v>
      </c>
      <c r="F1472" s="2"/>
      <c r="G1472" s="2"/>
      <c r="H1472" s="2"/>
      <c r="I1472" s="3">
        <f t="shared" si="22"/>
        <v>268</v>
      </c>
    </row>
    <row r="1473" spans="1:9" ht="36" x14ac:dyDescent="0.3">
      <c r="A1473" s="2" t="s">
        <v>146</v>
      </c>
      <c r="B1473" s="2" t="s">
        <v>6964</v>
      </c>
      <c r="C1473" s="2" t="s">
        <v>6752</v>
      </c>
      <c r="D1473" s="2" t="s">
        <v>6965</v>
      </c>
      <c r="E1473" s="2" t="s">
        <v>39</v>
      </c>
      <c r="F1473" s="2"/>
      <c r="G1473" s="2"/>
      <c r="H1473" s="2"/>
      <c r="I1473" s="3">
        <f t="shared" si="22"/>
        <v>268</v>
      </c>
    </row>
    <row r="1474" spans="1:9" ht="36" x14ac:dyDescent="0.3">
      <c r="A1474" s="2" t="s">
        <v>146</v>
      </c>
      <c r="B1474" s="2" t="s">
        <v>6966</v>
      </c>
      <c r="C1474" s="2"/>
      <c r="D1474" s="2" t="s">
        <v>6967</v>
      </c>
      <c r="E1474" s="2" t="s">
        <v>6968</v>
      </c>
      <c r="F1474" s="2"/>
      <c r="G1474" s="2"/>
      <c r="H1474" s="2" t="s">
        <v>646</v>
      </c>
      <c r="I1474" s="3">
        <f t="shared" ref="I1474:I1537" si="23">LEN(D1474)</f>
        <v>268</v>
      </c>
    </row>
    <row r="1475" spans="1:9" ht="36" x14ac:dyDescent="0.3">
      <c r="A1475" s="2" t="s">
        <v>146</v>
      </c>
      <c r="B1475" s="2" t="s">
        <v>6969</v>
      </c>
      <c r="C1475" s="2" t="s">
        <v>544</v>
      </c>
      <c r="D1475" s="2" t="s">
        <v>6970</v>
      </c>
      <c r="E1475" s="2" t="s">
        <v>39</v>
      </c>
      <c r="F1475" s="2"/>
      <c r="G1475" s="2"/>
      <c r="H1475" s="2"/>
      <c r="I1475" s="3">
        <f t="shared" si="23"/>
        <v>268</v>
      </c>
    </row>
    <row r="1476" spans="1:9" ht="36" x14ac:dyDescent="0.3">
      <c r="A1476" s="2" t="s">
        <v>146</v>
      </c>
      <c r="B1476" s="2" t="s">
        <v>6972</v>
      </c>
      <c r="C1476" s="2"/>
      <c r="D1476" s="2" t="s">
        <v>6973</v>
      </c>
      <c r="E1476" s="2" t="s">
        <v>39</v>
      </c>
      <c r="F1476" s="2"/>
      <c r="G1476" s="2"/>
      <c r="H1476" s="2" t="s">
        <v>194</v>
      </c>
      <c r="I1476" s="3">
        <f t="shared" si="23"/>
        <v>269</v>
      </c>
    </row>
    <row r="1477" spans="1:9" ht="36" x14ac:dyDescent="0.3">
      <c r="A1477" s="2" t="s">
        <v>146</v>
      </c>
      <c r="B1477" s="2" t="s">
        <v>6974</v>
      </c>
      <c r="C1477" s="2" t="s">
        <v>691</v>
      </c>
      <c r="D1477" s="2" t="s">
        <v>6975</v>
      </c>
      <c r="E1477" s="2" t="s">
        <v>39</v>
      </c>
      <c r="F1477" s="2"/>
      <c r="G1477" s="2"/>
      <c r="H1477" s="2"/>
      <c r="I1477" s="3">
        <f t="shared" si="23"/>
        <v>269</v>
      </c>
    </row>
    <row r="1478" spans="1:9" ht="36" x14ac:dyDescent="0.3">
      <c r="A1478" s="2" t="s">
        <v>146</v>
      </c>
      <c r="B1478" s="2" t="s">
        <v>6976</v>
      </c>
      <c r="C1478" s="2" t="s">
        <v>535</v>
      </c>
      <c r="D1478" s="2" t="s">
        <v>6977</v>
      </c>
      <c r="E1478" s="2" t="s">
        <v>39</v>
      </c>
      <c r="F1478" s="2"/>
      <c r="G1478" s="2"/>
      <c r="H1478" s="2" t="s">
        <v>537</v>
      </c>
      <c r="I1478" s="3">
        <f t="shared" si="23"/>
        <v>269</v>
      </c>
    </row>
    <row r="1479" spans="1:9" ht="36" x14ac:dyDescent="0.3">
      <c r="A1479" s="2" t="s">
        <v>146</v>
      </c>
      <c r="B1479" s="2" t="s">
        <v>6984</v>
      </c>
      <c r="C1479" s="2" t="s">
        <v>535</v>
      </c>
      <c r="D1479" s="2" t="s">
        <v>9556</v>
      </c>
      <c r="E1479" s="2" t="s">
        <v>39</v>
      </c>
      <c r="F1479" s="2"/>
      <c r="G1479" s="2"/>
      <c r="H1479" s="2" t="s">
        <v>537</v>
      </c>
      <c r="I1479" s="3">
        <f t="shared" si="23"/>
        <v>268</v>
      </c>
    </row>
    <row r="1480" spans="1:9" ht="36" x14ac:dyDescent="0.3">
      <c r="A1480" s="2" t="s">
        <v>146</v>
      </c>
      <c r="B1480" s="2" t="s">
        <v>6990</v>
      </c>
      <c r="C1480" s="2"/>
      <c r="D1480" s="2" t="s">
        <v>8884</v>
      </c>
      <c r="E1480" s="2" t="s">
        <v>1188</v>
      </c>
      <c r="F1480" s="2" t="s">
        <v>4117</v>
      </c>
      <c r="G1480" s="2" t="s">
        <v>350</v>
      </c>
      <c r="H1480" s="2"/>
      <c r="I1480" s="3">
        <f t="shared" si="23"/>
        <v>269</v>
      </c>
    </row>
    <row r="1481" spans="1:9" ht="36" x14ac:dyDescent="0.3">
      <c r="A1481" s="2" t="s">
        <v>146</v>
      </c>
      <c r="B1481" s="2" t="s">
        <v>6995</v>
      </c>
      <c r="C1481" s="2" t="s">
        <v>437</v>
      </c>
      <c r="D1481" s="2" t="s">
        <v>8885</v>
      </c>
      <c r="E1481" s="2" t="s">
        <v>6257</v>
      </c>
      <c r="F1481" s="2" t="s">
        <v>2281</v>
      </c>
      <c r="G1481" s="2" t="s">
        <v>4507</v>
      </c>
      <c r="H1481" s="2"/>
      <c r="I1481" s="3">
        <f t="shared" si="23"/>
        <v>269</v>
      </c>
    </row>
    <row r="1482" spans="1:9" ht="36" x14ac:dyDescent="0.3">
      <c r="A1482" s="2" t="s">
        <v>146</v>
      </c>
      <c r="B1482" s="2" t="s">
        <v>6998</v>
      </c>
      <c r="C1482" s="2" t="s">
        <v>788</v>
      </c>
      <c r="D1482" s="2" t="s">
        <v>6999</v>
      </c>
      <c r="E1482" s="2" t="s">
        <v>39</v>
      </c>
      <c r="F1482" s="2"/>
      <c r="G1482" s="2"/>
      <c r="H1482" s="2"/>
      <c r="I1482" s="3">
        <f t="shared" si="23"/>
        <v>272</v>
      </c>
    </row>
    <row r="1483" spans="1:9" ht="36" x14ac:dyDescent="0.3">
      <c r="A1483" s="2" t="s">
        <v>146</v>
      </c>
      <c r="B1483" s="2" t="s">
        <v>7002</v>
      </c>
      <c r="C1483" s="2" t="s">
        <v>4797</v>
      </c>
      <c r="D1483" s="2" t="s">
        <v>8886</v>
      </c>
      <c r="E1483" s="2" t="s">
        <v>39</v>
      </c>
      <c r="F1483" s="2" t="s">
        <v>1778</v>
      </c>
      <c r="G1483" s="2" t="s">
        <v>1717</v>
      </c>
      <c r="H1483" s="2" t="s">
        <v>646</v>
      </c>
      <c r="I1483" s="3">
        <f t="shared" si="23"/>
        <v>270</v>
      </c>
    </row>
    <row r="1484" spans="1:9" ht="36" x14ac:dyDescent="0.3">
      <c r="A1484" s="2" t="s">
        <v>146</v>
      </c>
      <c r="B1484" s="2" t="s">
        <v>7003</v>
      </c>
      <c r="C1484" s="2" t="s">
        <v>1255</v>
      </c>
      <c r="D1484" s="2" t="s">
        <v>7004</v>
      </c>
      <c r="E1484" s="2" t="s">
        <v>39</v>
      </c>
      <c r="F1484" s="2"/>
      <c r="G1484" s="2"/>
      <c r="H1484" s="2"/>
      <c r="I1484" s="3">
        <f t="shared" si="23"/>
        <v>273</v>
      </c>
    </row>
    <row r="1485" spans="1:9" ht="36" x14ac:dyDescent="0.3">
      <c r="A1485" s="2" t="s">
        <v>146</v>
      </c>
      <c r="B1485" s="2" t="s">
        <v>7007</v>
      </c>
      <c r="C1485" s="2" t="s">
        <v>500</v>
      </c>
      <c r="D1485" s="2" t="s">
        <v>7008</v>
      </c>
      <c r="E1485" s="2" t="s">
        <v>39</v>
      </c>
      <c r="F1485" s="2"/>
      <c r="G1485" s="2"/>
      <c r="H1485" s="2"/>
      <c r="I1485" s="3">
        <f t="shared" si="23"/>
        <v>274</v>
      </c>
    </row>
    <row r="1486" spans="1:9" ht="36" x14ac:dyDescent="0.3">
      <c r="A1486" s="2" t="s">
        <v>146</v>
      </c>
      <c r="B1486" s="2" t="s">
        <v>7020</v>
      </c>
      <c r="C1486" s="2" t="s">
        <v>332</v>
      </c>
      <c r="D1486" s="2" t="s">
        <v>7021</v>
      </c>
      <c r="E1486" s="2" t="s">
        <v>39</v>
      </c>
      <c r="F1486" s="2"/>
      <c r="G1486" s="2"/>
      <c r="H1486" s="2"/>
      <c r="I1486" s="3">
        <f t="shared" si="23"/>
        <v>275</v>
      </c>
    </row>
    <row r="1487" spans="1:9" ht="36" x14ac:dyDescent="0.3">
      <c r="A1487" s="2" t="s">
        <v>146</v>
      </c>
      <c r="B1487" s="2" t="s">
        <v>7022</v>
      </c>
      <c r="C1487" s="2" t="s">
        <v>408</v>
      </c>
      <c r="D1487" s="2" t="s">
        <v>8887</v>
      </c>
      <c r="E1487" s="2" t="s">
        <v>2524</v>
      </c>
      <c r="F1487" s="2" t="s">
        <v>4117</v>
      </c>
      <c r="G1487" s="2" t="s">
        <v>350</v>
      </c>
      <c r="H1487" s="2" t="s">
        <v>646</v>
      </c>
      <c r="I1487" s="3">
        <f t="shared" si="23"/>
        <v>273</v>
      </c>
    </row>
    <row r="1488" spans="1:9" ht="36" x14ac:dyDescent="0.3">
      <c r="A1488" s="2" t="s">
        <v>146</v>
      </c>
      <c r="B1488" s="2" t="s">
        <v>7026</v>
      </c>
      <c r="C1488" s="2" t="s">
        <v>144</v>
      </c>
      <c r="D1488" s="2" t="s">
        <v>7027</v>
      </c>
      <c r="E1488" s="2" t="s">
        <v>39</v>
      </c>
      <c r="F1488" s="2"/>
      <c r="G1488" s="2"/>
      <c r="H1488" s="2"/>
      <c r="I1488" s="3">
        <f t="shared" si="23"/>
        <v>276</v>
      </c>
    </row>
    <row r="1489" spans="1:9" ht="36" x14ac:dyDescent="0.3">
      <c r="A1489" s="2" t="s">
        <v>146</v>
      </c>
      <c r="B1489" s="2" t="s">
        <v>5534</v>
      </c>
      <c r="C1489" s="2" t="s">
        <v>1255</v>
      </c>
      <c r="D1489" s="2" t="s">
        <v>7030</v>
      </c>
      <c r="E1489" s="2" t="s">
        <v>39</v>
      </c>
      <c r="F1489" s="2"/>
      <c r="G1489" s="2"/>
      <c r="H1489" s="2"/>
      <c r="I1489" s="3">
        <f t="shared" si="23"/>
        <v>277</v>
      </c>
    </row>
    <row r="1490" spans="1:9" ht="36" x14ac:dyDescent="0.3">
      <c r="A1490" s="2" t="s">
        <v>146</v>
      </c>
      <c r="B1490" s="2" t="s">
        <v>7040</v>
      </c>
      <c r="C1490" s="2"/>
      <c r="D1490" s="2" t="s">
        <v>8888</v>
      </c>
      <c r="E1490" s="2" t="s">
        <v>7041</v>
      </c>
      <c r="F1490" s="2" t="s">
        <v>4117</v>
      </c>
      <c r="G1490" s="2" t="s">
        <v>350</v>
      </c>
      <c r="H1490" s="2"/>
      <c r="I1490" s="3">
        <f t="shared" si="23"/>
        <v>276</v>
      </c>
    </row>
    <row r="1491" spans="1:9" ht="36" x14ac:dyDescent="0.3">
      <c r="A1491" s="2" t="s">
        <v>146</v>
      </c>
      <c r="B1491" s="2" t="s">
        <v>7042</v>
      </c>
      <c r="C1491" s="2"/>
      <c r="D1491" s="2" t="s">
        <v>7043</v>
      </c>
      <c r="E1491" s="2" t="s">
        <v>39</v>
      </c>
      <c r="F1491" s="2"/>
      <c r="G1491" s="2" t="s">
        <v>1717</v>
      </c>
      <c r="H1491" s="2" t="s">
        <v>646</v>
      </c>
      <c r="I1491" s="3">
        <f t="shared" si="23"/>
        <v>278</v>
      </c>
    </row>
    <row r="1492" spans="1:9" ht="36" x14ac:dyDescent="0.3">
      <c r="A1492" s="2" t="s">
        <v>146</v>
      </c>
      <c r="B1492" s="2" t="s">
        <v>865</v>
      </c>
      <c r="C1492" s="2" t="s">
        <v>866</v>
      </c>
      <c r="D1492" s="2" t="s">
        <v>7046</v>
      </c>
      <c r="E1492" s="2" t="s">
        <v>39</v>
      </c>
      <c r="F1492" s="2"/>
      <c r="G1492" s="2"/>
      <c r="H1492" s="2"/>
      <c r="I1492" s="3">
        <f t="shared" si="23"/>
        <v>279</v>
      </c>
    </row>
    <row r="1493" spans="1:9" ht="36" x14ac:dyDescent="0.3">
      <c r="A1493" s="2" t="s">
        <v>146</v>
      </c>
      <c r="B1493" s="2" t="s">
        <v>7047</v>
      </c>
      <c r="C1493" s="2" t="s">
        <v>1354</v>
      </c>
      <c r="D1493" s="2" t="s">
        <v>7048</v>
      </c>
      <c r="E1493" s="2" t="s">
        <v>39</v>
      </c>
      <c r="F1493" s="2"/>
      <c r="G1493" s="2"/>
      <c r="H1493" s="2" t="s">
        <v>194</v>
      </c>
      <c r="I1493" s="3">
        <f t="shared" si="23"/>
        <v>279</v>
      </c>
    </row>
    <row r="1494" spans="1:9" ht="36" x14ac:dyDescent="0.3">
      <c r="A1494" s="2" t="s">
        <v>146</v>
      </c>
      <c r="B1494" s="2" t="s">
        <v>7049</v>
      </c>
      <c r="C1494" s="2" t="s">
        <v>389</v>
      </c>
      <c r="D1494" s="2" t="s">
        <v>7050</v>
      </c>
      <c r="E1494" s="2" t="s">
        <v>39</v>
      </c>
      <c r="F1494" s="2"/>
      <c r="G1494" s="2"/>
      <c r="H1494" s="2" t="s">
        <v>194</v>
      </c>
      <c r="I1494" s="3">
        <f t="shared" si="23"/>
        <v>280</v>
      </c>
    </row>
    <row r="1495" spans="1:9" ht="36" x14ac:dyDescent="0.3">
      <c r="A1495" s="2" t="s">
        <v>146</v>
      </c>
      <c r="B1495" s="2" t="s">
        <v>7051</v>
      </c>
      <c r="C1495" s="2" t="s">
        <v>389</v>
      </c>
      <c r="D1495" s="2" t="s">
        <v>7052</v>
      </c>
      <c r="E1495" s="2" t="s">
        <v>39</v>
      </c>
      <c r="F1495" s="2"/>
      <c r="G1495" s="2"/>
      <c r="H1495" s="2"/>
      <c r="I1495" s="3">
        <f t="shared" si="23"/>
        <v>280</v>
      </c>
    </row>
    <row r="1496" spans="1:9" ht="36" x14ac:dyDescent="0.3">
      <c r="A1496" s="2" t="s">
        <v>146</v>
      </c>
      <c r="B1496" s="2" t="s">
        <v>7054</v>
      </c>
      <c r="C1496" s="3"/>
      <c r="D1496" s="2" t="s">
        <v>7055</v>
      </c>
      <c r="E1496" s="2" t="s">
        <v>39</v>
      </c>
      <c r="F1496" s="2"/>
      <c r="G1496" s="2"/>
      <c r="H1496" s="2"/>
      <c r="I1496" s="3">
        <f t="shared" si="23"/>
        <v>280</v>
      </c>
    </row>
    <row r="1497" spans="1:9" ht="36" x14ac:dyDescent="0.3">
      <c r="A1497" s="2" t="s">
        <v>146</v>
      </c>
      <c r="B1497" s="2" t="s">
        <v>7056</v>
      </c>
      <c r="C1497" s="3" t="s">
        <v>911</v>
      </c>
      <c r="D1497" s="2" t="s">
        <v>8889</v>
      </c>
      <c r="E1497" s="2" t="s">
        <v>2830</v>
      </c>
      <c r="F1497" s="2" t="s">
        <v>1778</v>
      </c>
      <c r="G1497" s="2" t="s">
        <v>1717</v>
      </c>
      <c r="H1497" s="2" t="s">
        <v>646</v>
      </c>
      <c r="I1497" s="3">
        <f t="shared" si="23"/>
        <v>279</v>
      </c>
    </row>
    <row r="1498" spans="1:9" ht="36" x14ac:dyDescent="0.3">
      <c r="A1498" s="2" t="s">
        <v>146</v>
      </c>
      <c r="B1498" s="2" t="s">
        <v>2480</v>
      </c>
      <c r="C1498" s="2" t="s">
        <v>240</v>
      </c>
      <c r="D1498" s="2" t="s">
        <v>7062</v>
      </c>
      <c r="E1498" s="2" t="s">
        <v>211</v>
      </c>
      <c r="F1498" s="2"/>
      <c r="G1498" s="2"/>
      <c r="H1498" s="2"/>
      <c r="I1498" s="3">
        <f t="shared" si="23"/>
        <v>281</v>
      </c>
    </row>
    <row r="1499" spans="1:9" ht="36" x14ac:dyDescent="0.3">
      <c r="A1499" s="2" t="s">
        <v>146</v>
      </c>
      <c r="B1499" s="2" t="s">
        <v>7067</v>
      </c>
      <c r="C1499" s="2" t="s">
        <v>214</v>
      </c>
      <c r="D1499" s="2" t="s">
        <v>7068</v>
      </c>
      <c r="E1499" s="2" t="s">
        <v>39</v>
      </c>
      <c r="F1499" s="2"/>
      <c r="G1499" s="2"/>
      <c r="H1499" s="2"/>
      <c r="I1499" s="3">
        <f t="shared" si="23"/>
        <v>282</v>
      </c>
    </row>
    <row r="1500" spans="1:9" ht="36" x14ac:dyDescent="0.3">
      <c r="A1500" s="2" t="s">
        <v>146</v>
      </c>
      <c r="B1500" s="2" t="s">
        <v>7069</v>
      </c>
      <c r="C1500" s="2" t="s">
        <v>1379</v>
      </c>
      <c r="D1500" s="2" t="s">
        <v>7070</v>
      </c>
      <c r="E1500" s="2" t="s">
        <v>39</v>
      </c>
      <c r="F1500" s="2"/>
      <c r="G1500" s="2" t="s">
        <v>1717</v>
      </c>
      <c r="H1500" s="2" t="s">
        <v>1176</v>
      </c>
      <c r="I1500" s="3">
        <f t="shared" si="23"/>
        <v>282</v>
      </c>
    </row>
    <row r="1501" spans="1:9" ht="36" x14ac:dyDescent="0.3">
      <c r="A1501" s="2" t="s">
        <v>146</v>
      </c>
      <c r="B1501" s="2" t="s">
        <v>7071</v>
      </c>
      <c r="C1501" s="2" t="s">
        <v>389</v>
      </c>
      <c r="D1501" s="2" t="s">
        <v>7072</v>
      </c>
      <c r="E1501" s="2" t="s">
        <v>39</v>
      </c>
      <c r="F1501" s="2"/>
      <c r="G1501" s="2"/>
      <c r="H1501" s="2"/>
      <c r="I1501" s="3">
        <f t="shared" si="23"/>
        <v>283</v>
      </c>
    </row>
    <row r="1502" spans="1:9" ht="36" x14ac:dyDescent="0.3">
      <c r="A1502" s="2" t="s">
        <v>146</v>
      </c>
      <c r="B1502" s="2" t="s">
        <v>7077</v>
      </c>
      <c r="C1502" s="2" t="s">
        <v>7078</v>
      </c>
      <c r="D1502" s="2" t="s">
        <v>7079</v>
      </c>
      <c r="E1502" s="2" t="s">
        <v>39</v>
      </c>
      <c r="F1502" s="2"/>
      <c r="G1502" s="2"/>
      <c r="H1502" s="2"/>
      <c r="I1502" s="3">
        <f t="shared" si="23"/>
        <v>283</v>
      </c>
    </row>
    <row r="1503" spans="1:9" ht="36" x14ac:dyDescent="0.3">
      <c r="A1503" s="2" t="s">
        <v>146</v>
      </c>
      <c r="B1503" s="2" t="s">
        <v>7087</v>
      </c>
      <c r="C1503" s="2" t="s">
        <v>491</v>
      </c>
      <c r="D1503" s="2" t="s">
        <v>7088</v>
      </c>
      <c r="E1503" s="2" t="s">
        <v>39</v>
      </c>
      <c r="F1503" s="2"/>
      <c r="G1503" s="2"/>
      <c r="H1503" s="2" t="s">
        <v>646</v>
      </c>
      <c r="I1503" s="3">
        <f t="shared" si="23"/>
        <v>285</v>
      </c>
    </row>
    <row r="1504" spans="1:9" ht="36" x14ac:dyDescent="0.3">
      <c r="A1504" s="2" t="s">
        <v>146</v>
      </c>
      <c r="B1504" s="2" t="s">
        <v>7091</v>
      </c>
      <c r="C1504" s="2" t="s">
        <v>2057</v>
      </c>
      <c r="D1504" s="2" t="s">
        <v>8890</v>
      </c>
      <c r="E1504" s="2"/>
      <c r="F1504" s="2" t="s">
        <v>350</v>
      </c>
      <c r="G1504" s="2" t="s">
        <v>1717</v>
      </c>
      <c r="H1504" s="2"/>
      <c r="I1504" s="3">
        <f t="shared" si="23"/>
        <v>284</v>
      </c>
    </row>
    <row r="1505" spans="1:9" ht="36" x14ac:dyDescent="0.3">
      <c r="A1505" s="2" t="s">
        <v>146</v>
      </c>
      <c r="B1505" s="2" t="s">
        <v>7092</v>
      </c>
      <c r="C1505" s="2"/>
      <c r="D1505" s="2" t="s">
        <v>7093</v>
      </c>
      <c r="E1505" s="2" t="s">
        <v>39</v>
      </c>
      <c r="F1505" s="2"/>
      <c r="G1505" s="2"/>
      <c r="H1505" s="2"/>
      <c r="I1505" s="3">
        <f t="shared" si="23"/>
        <v>286</v>
      </c>
    </row>
    <row r="1506" spans="1:9" ht="36" x14ac:dyDescent="0.3">
      <c r="A1506" s="2" t="s">
        <v>146</v>
      </c>
      <c r="B1506" s="2" t="s">
        <v>7096</v>
      </c>
      <c r="C1506" s="2" t="s">
        <v>7097</v>
      </c>
      <c r="D1506" s="2" t="s">
        <v>7098</v>
      </c>
      <c r="E1506" s="2" t="s">
        <v>39</v>
      </c>
      <c r="F1506" s="2"/>
      <c r="G1506" s="2"/>
      <c r="H1506" s="2"/>
      <c r="I1506" s="3">
        <f t="shared" si="23"/>
        <v>287</v>
      </c>
    </row>
    <row r="1507" spans="1:9" ht="36" x14ac:dyDescent="0.3">
      <c r="A1507" s="2" t="s">
        <v>146</v>
      </c>
      <c r="B1507" s="2" t="s">
        <v>7102</v>
      </c>
      <c r="C1507" s="2"/>
      <c r="D1507" s="2" t="s">
        <v>7103</v>
      </c>
      <c r="E1507" s="2" t="s">
        <v>39</v>
      </c>
      <c r="F1507" s="2"/>
      <c r="G1507" s="2"/>
      <c r="H1507" s="2"/>
      <c r="I1507" s="3">
        <f t="shared" si="23"/>
        <v>287</v>
      </c>
    </row>
    <row r="1508" spans="1:9" ht="36" x14ac:dyDescent="0.3">
      <c r="A1508" s="2" t="s">
        <v>146</v>
      </c>
      <c r="B1508" s="2" t="s">
        <v>7104</v>
      </c>
      <c r="C1508" s="2" t="s">
        <v>2057</v>
      </c>
      <c r="D1508" s="2" t="s">
        <v>7105</v>
      </c>
      <c r="E1508" s="2" t="s">
        <v>39</v>
      </c>
      <c r="F1508" s="2"/>
      <c r="G1508" s="2"/>
      <c r="H1508" s="2"/>
      <c r="I1508" s="3">
        <f t="shared" si="23"/>
        <v>287</v>
      </c>
    </row>
    <row r="1509" spans="1:9" ht="36" x14ac:dyDescent="0.3">
      <c r="A1509" s="2" t="s">
        <v>146</v>
      </c>
      <c r="B1509" s="2" t="s">
        <v>7119</v>
      </c>
      <c r="C1509" s="2" t="s">
        <v>95</v>
      </c>
      <c r="D1509" s="2" t="s">
        <v>7120</v>
      </c>
      <c r="E1509" s="2" t="s">
        <v>39</v>
      </c>
      <c r="F1509" s="2"/>
      <c r="G1509" s="2"/>
      <c r="H1509" s="2"/>
      <c r="I1509" s="3">
        <f t="shared" si="23"/>
        <v>290</v>
      </c>
    </row>
    <row r="1510" spans="1:9" ht="36" x14ac:dyDescent="0.3">
      <c r="A1510" s="2" t="s">
        <v>146</v>
      </c>
      <c r="B1510" s="2" t="s">
        <v>7121</v>
      </c>
      <c r="C1510" s="2"/>
      <c r="D1510" s="2" t="s">
        <v>7122</v>
      </c>
      <c r="E1510" s="2" t="s">
        <v>39</v>
      </c>
      <c r="F1510" s="2"/>
      <c r="G1510" s="2"/>
      <c r="H1510" s="2"/>
      <c r="I1510" s="3">
        <f t="shared" si="23"/>
        <v>290</v>
      </c>
    </row>
    <row r="1511" spans="1:9" ht="36" x14ac:dyDescent="0.3">
      <c r="A1511" s="2" t="s">
        <v>146</v>
      </c>
      <c r="B1511" s="2" t="s">
        <v>7129</v>
      </c>
      <c r="C1511" s="2" t="s">
        <v>389</v>
      </c>
      <c r="D1511" s="2" t="s">
        <v>7130</v>
      </c>
      <c r="E1511" s="2" t="s">
        <v>39</v>
      </c>
      <c r="F1511" s="2"/>
      <c r="G1511" s="2"/>
      <c r="H1511" s="2"/>
      <c r="I1511" s="3">
        <f t="shared" si="23"/>
        <v>291</v>
      </c>
    </row>
    <row r="1512" spans="1:9" ht="36" x14ac:dyDescent="0.3">
      <c r="A1512" s="2" t="s">
        <v>146</v>
      </c>
      <c r="B1512" s="2" t="s">
        <v>7134</v>
      </c>
      <c r="C1512" s="2"/>
      <c r="D1512" s="2" t="s">
        <v>7135</v>
      </c>
      <c r="E1512" s="2" t="s">
        <v>39</v>
      </c>
      <c r="F1512" s="2"/>
      <c r="G1512" s="2"/>
      <c r="H1512" s="2" t="s">
        <v>646</v>
      </c>
      <c r="I1512" s="3">
        <f t="shared" si="23"/>
        <v>291</v>
      </c>
    </row>
    <row r="1513" spans="1:9" ht="36" x14ac:dyDescent="0.3">
      <c r="A1513" s="2" t="s">
        <v>146</v>
      </c>
      <c r="B1513" s="2" t="s">
        <v>4876</v>
      </c>
      <c r="C1513" s="2" t="s">
        <v>911</v>
      </c>
      <c r="D1513" s="2" t="s">
        <v>7137</v>
      </c>
      <c r="E1513" s="2" t="s">
        <v>39</v>
      </c>
      <c r="F1513" s="2"/>
      <c r="G1513" s="2"/>
      <c r="H1513" s="2"/>
      <c r="I1513" s="3">
        <f t="shared" si="23"/>
        <v>292</v>
      </c>
    </row>
    <row r="1514" spans="1:9" ht="36" x14ac:dyDescent="0.3">
      <c r="A1514" s="2" t="s">
        <v>146</v>
      </c>
      <c r="B1514" s="2" t="s">
        <v>7139</v>
      </c>
      <c r="C1514" s="2"/>
      <c r="D1514" s="2" t="s">
        <v>8891</v>
      </c>
      <c r="E1514" s="2" t="s">
        <v>39</v>
      </c>
      <c r="F1514" s="2" t="s">
        <v>2281</v>
      </c>
      <c r="G1514" s="2" t="s">
        <v>1717</v>
      </c>
      <c r="H1514" s="2"/>
      <c r="I1514" s="3">
        <f t="shared" si="23"/>
        <v>291</v>
      </c>
    </row>
    <row r="1515" spans="1:9" ht="36" x14ac:dyDescent="0.3">
      <c r="A1515" s="2" t="s">
        <v>146</v>
      </c>
      <c r="B1515" s="2" t="s">
        <v>7140</v>
      </c>
      <c r="C1515" s="2" t="s">
        <v>7141</v>
      </c>
      <c r="D1515" s="2" t="s">
        <v>8892</v>
      </c>
      <c r="E1515" s="2" t="s">
        <v>3980</v>
      </c>
      <c r="F1515" s="2" t="s">
        <v>1778</v>
      </c>
      <c r="G1515" s="2" t="s">
        <v>1717</v>
      </c>
      <c r="H1515" s="2" t="s">
        <v>646</v>
      </c>
      <c r="I1515" s="3">
        <f t="shared" si="23"/>
        <v>291</v>
      </c>
    </row>
    <row r="1516" spans="1:9" ht="36" x14ac:dyDescent="0.3">
      <c r="A1516" s="2" t="s">
        <v>146</v>
      </c>
      <c r="B1516" s="2" t="s">
        <v>7144</v>
      </c>
      <c r="C1516" s="2"/>
      <c r="D1516" s="2" t="s">
        <v>7145</v>
      </c>
      <c r="E1516" s="2" t="s">
        <v>39</v>
      </c>
      <c r="F1516" s="2"/>
      <c r="G1516" s="2"/>
      <c r="H1516" s="2"/>
      <c r="I1516" s="3">
        <f t="shared" si="23"/>
        <v>293</v>
      </c>
    </row>
    <row r="1517" spans="1:9" ht="36" x14ac:dyDescent="0.3">
      <c r="A1517" s="2" t="s">
        <v>146</v>
      </c>
      <c r="B1517" s="2" t="s">
        <v>7147</v>
      </c>
      <c r="C1517" s="2" t="s">
        <v>45</v>
      </c>
      <c r="D1517" s="2" t="s">
        <v>8893</v>
      </c>
      <c r="E1517" s="2" t="s">
        <v>39</v>
      </c>
      <c r="F1517" s="2" t="s">
        <v>1778</v>
      </c>
      <c r="G1517" s="2" t="s">
        <v>1717</v>
      </c>
      <c r="H1517" s="2"/>
      <c r="I1517" s="3">
        <f t="shared" si="23"/>
        <v>291</v>
      </c>
    </row>
    <row r="1518" spans="1:9" ht="36" x14ac:dyDescent="0.3">
      <c r="A1518" s="2" t="s">
        <v>146</v>
      </c>
      <c r="B1518" s="2" t="s">
        <v>7152</v>
      </c>
      <c r="C1518" s="2" t="s">
        <v>214</v>
      </c>
      <c r="D1518" s="2" t="s">
        <v>8894</v>
      </c>
      <c r="E1518" s="2" t="s">
        <v>39</v>
      </c>
      <c r="F1518" s="2" t="s">
        <v>2281</v>
      </c>
      <c r="G1518" s="2" t="s">
        <v>1717</v>
      </c>
      <c r="H1518" s="2"/>
      <c r="I1518" s="3">
        <f t="shared" si="23"/>
        <v>292</v>
      </c>
    </row>
    <row r="1519" spans="1:9" ht="36" x14ac:dyDescent="0.3">
      <c r="A1519" s="2" t="s">
        <v>146</v>
      </c>
      <c r="B1519" s="2" t="s">
        <v>7153</v>
      </c>
      <c r="C1519" s="2" t="s">
        <v>1379</v>
      </c>
      <c r="D1519" s="2" t="s">
        <v>7154</v>
      </c>
      <c r="E1519" s="2" t="s">
        <v>39</v>
      </c>
      <c r="F1519" s="2"/>
      <c r="G1519" s="2" t="s">
        <v>1778</v>
      </c>
      <c r="H1519" s="2" t="s">
        <v>646</v>
      </c>
      <c r="I1519" s="3">
        <f t="shared" si="23"/>
        <v>294</v>
      </c>
    </row>
    <row r="1520" spans="1:9" ht="36" x14ac:dyDescent="0.3">
      <c r="A1520" s="2" t="s">
        <v>146</v>
      </c>
      <c r="B1520" s="2" t="s">
        <v>7155</v>
      </c>
      <c r="C1520" s="2" t="s">
        <v>35</v>
      </c>
      <c r="D1520" s="2" t="s">
        <v>7156</v>
      </c>
      <c r="E1520" s="2" t="s">
        <v>39</v>
      </c>
      <c r="F1520" s="2"/>
      <c r="G1520" s="2"/>
      <c r="H1520" s="2" t="s">
        <v>646</v>
      </c>
      <c r="I1520" s="3">
        <f t="shared" si="23"/>
        <v>294</v>
      </c>
    </row>
    <row r="1521" spans="1:9" ht="36" x14ac:dyDescent="0.3">
      <c r="A1521" s="2" t="s">
        <v>146</v>
      </c>
      <c r="B1521" s="2" t="s">
        <v>7157</v>
      </c>
      <c r="C1521" s="2" t="s">
        <v>1379</v>
      </c>
      <c r="D1521" s="2" t="s">
        <v>7158</v>
      </c>
      <c r="E1521" s="2" t="s">
        <v>39</v>
      </c>
      <c r="F1521" s="2"/>
      <c r="G1521" s="2" t="s">
        <v>1717</v>
      </c>
      <c r="H1521" s="2" t="s">
        <v>1176</v>
      </c>
      <c r="I1521" s="3">
        <f t="shared" si="23"/>
        <v>294</v>
      </c>
    </row>
    <row r="1522" spans="1:9" ht="36" x14ac:dyDescent="0.3">
      <c r="A1522" s="2" t="s">
        <v>146</v>
      </c>
      <c r="B1522" s="2" t="s">
        <v>7159</v>
      </c>
      <c r="C1522" s="2" t="s">
        <v>2057</v>
      </c>
      <c r="D1522" s="2" t="s">
        <v>8895</v>
      </c>
      <c r="E1522" s="2" t="s">
        <v>39</v>
      </c>
      <c r="F1522" s="2" t="s">
        <v>4117</v>
      </c>
      <c r="G1522" s="2" t="s">
        <v>1717</v>
      </c>
      <c r="H1522" s="2"/>
      <c r="I1522" s="3">
        <f t="shared" si="23"/>
        <v>292</v>
      </c>
    </row>
    <row r="1523" spans="1:9" ht="36" x14ac:dyDescent="0.3">
      <c r="A1523" s="2" t="s">
        <v>146</v>
      </c>
      <c r="B1523" s="2" t="s">
        <v>7160</v>
      </c>
      <c r="C1523" s="2" t="s">
        <v>389</v>
      </c>
      <c r="D1523" s="2" t="s">
        <v>8896</v>
      </c>
      <c r="E1523" s="2" t="s">
        <v>39</v>
      </c>
      <c r="F1523" s="2" t="s">
        <v>2281</v>
      </c>
      <c r="G1523" s="2" t="s">
        <v>1717</v>
      </c>
      <c r="H1523" s="2"/>
      <c r="I1523" s="3">
        <f t="shared" si="23"/>
        <v>293</v>
      </c>
    </row>
    <row r="1524" spans="1:9" ht="36" x14ac:dyDescent="0.3">
      <c r="A1524" s="2" t="s">
        <v>146</v>
      </c>
      <c r="B1524" s="2" t="s">
        <v>7161</v>
      </c>
      <c r="C1524" s="3" t="s">
        <v>911</v>
      </c>
      <c r="D1524" s="2" t="s">
        <v>8897</v>
      </c>
      <c r="E1524" s="2" t="s">
        <v>39</v>
      </c>
      <c r="F1524" s="2" t="s">
        <v>2281</v>
      </c>
      <c r="G1524" s="2" t="s">
        <v>1717</v>
      </c>
      <c r="H1524" s="2"/>
      <c r="I1524" s="3">
        <f t="shared" si="23"/>
        <v>293</v>
      </c>
    </row>
    <row r="1525" spans="1:9" ht="36" x14ac:dyDescent="0.3">
      <c r="A1525" s="2" t="s">
        <v>146</v>
      </c>
      <c r="B1525" s="2" t="s">
        <v>6530</v>
      </c>
      <c r="C1525" s="2"/>
      <c r="D1525" s="2" t="s">
        <v>8898</v>
      </c>
      <c r="E1525" s="2" t="s">
        <v>2136</v>
      </c>
      <c r="F1525" s="2" t="s">
        <v>4117</v>
      </c>
      <c r="G1525" s="2" t="s">
        <v>350</v>
      </c>
      <c r="H1525" s="2"/>
      <c r="I1525" s="3">
        <f t="shared" si="23"/>
        <v>294</v>
      </c>
    </row>
    <row r="1526" spans="1:9" ht="36" x14ac:dyDescent="0.3">
      <c r="A1526" s="2" t="s">
        <v>146</v>
      </c>
      <c r="B1526" s="2" t="s">
        <v>213</v>
      </c>
      <c r="C1526" s="2"/>
      <c r="D1526" s="2" t="s">
        <v>7164</v>
      </c>
      <c r="E1526" s="2" t="s">
        <v>3671</v>
      </c>
      <c r="F1526" s="2"/>
      <c r="G1526" s="2"/>
      <c r="H1526" s="2" t="s">
        <v>216</v>
      </c>
      <c r="I1526" s="3">
        <f t="shared" si="23"/>
        <v>296</v>
      </c>
    </row>
    <row r="1527" spans="1:9" ht="36" x14ac:dyDescent="0.3">
      <c r="A1527" s="2" t="s">
        <v>146</v>
      </c>
      <c r="B1527" s="2" t="s">
        <v>7166</v>
      </c>
      <c r="C1527" s="2" t="s">
        <v>500</v>
      </c>
      <c r="D1527" s="2" t="s">
        <v>7167</v>
      </c>
      <c r="E1527" s="2" t="s">
        <v>39</v>
      </c>
      <c r="F1527" s="2"/>
      <c r="G1527" s="2"/>
      <c r="H1527" s="2" t="s">
        <v>402</v>
      </c>
      <c r="I1527" s="3">
        <f t="shared" si="23"/>
        <v>296</v>
      </c>
    </row>
    <row r="1528" spans="1:9" ht="36" x14ac:dyDescent="0.3">
      <c r="A1528" s="2" t="s">
        <v>146</v>
      </c>
      <c r="B1528" s="2" t="s">
        <v>7168</v>
      </c>
      <c r="C1528" s="2"/>
      <c r="D1528" s="2" t="s">
        <v>7169</v>
      </c>
      <c r="E1528" s="2" t="s">
        <v>379</v>
      </c>
      <c r="F1528" s="2"/>
      <c r="G1528" s="2"/>
      <c r="H1528" s="2"/>
      <c r="I1528" s="3">
        <f t="shared" si="23"/>
        <v>297</v>
      </c>
    </row>
    <row r="1529" spans="1:9" ht="36" x14ac:dyDescent="0.3">
      <c r="A1529" s="2" t="s">
        <v>146</v>
      </c>
      <c r="B1529" s="2" t="s">
        <v>7170</v>
      </c>
      <c r="C1529" s="2"/>
      <c r="D1529" s="2" t="s">
        <v>7171</v>
      </c>
      <c r="E1529" s="2" t="s">
        <v>39</v>
      </c>
      <c r="F1529" s="2"/>
      <c r="G1529" s="2"/>
      <c r="H1529" s="2"/>
      <c r="I1529" s="3">
        <f t="shared" si="23"/>
        <v>297</v>
      </c>
    </row>
    <row r="1530" spans="1:9" ht="36" x14ac:dyDescent="0.3">
      <c r="A1530" s="2" t="s">
        <v>146</v>
      </c>
      <c r="B1530" s="2" t="s">
        <v>7179</v>
      </c>
      <c r="C1530" s="2" t="s">
        <v>7180</v>
      </c>
      <c r="D1530" s="2" t="s">
        <v>7181</v>
      </c>
      <c r="E1530" s="2" t="s">
        <v>39</v>
      </c>
      <c r="F1530" s="2"/>
      <c r="G1530" s="2" t="s">
        <v>1717</v>
      </c>
      <c r="H1530" s="2" t="s">
        <v>86</v>
      </c>
      <c r="I1530" s="3">
        <f t="shared" si="23"/>
        <v>299</v>
      </c>
    </row>
    <row r="1531" spans="1:9" ht="48" x14ac:dyDescent="0.3">
      <c r="A1531" s="2" t="s">
        <v>146</v>
      </c>
      <c r="B1531" s="2" t="s">
        <v>7182</v>
      </c>
      <c r="C1531" s="2"/>
      <c r="D1531" s="2" t="s">
        <v>7183</v>
      </c>
      <c r="E1531" s="2" t="s">
        <v>39</v>
      </c>
      <c r="F1531" s="2"/>
      <c r="G1531" s="2"/>
      <c r="H1531" s="2" t="s">
        <v>194</v>
      </c>
      <c r="I1531" s="3">
        <f t="shared" si="23"/>
        <v>299</v>
      </c>
    </row>
    <row r="1532" spans="1:9" ht="36" x14ac:dyDescent="0.3">
      <c r="A1532" s="2" t="s">
        <v>146</v>
      </c>
      <c r="B1532" s="2" t="s">
        <v>7187</v>
      </c>
      <c r="C1532" s="2"/>
      <c r="D1532" s="2" t="s">
        <v>7188</v>
      </c>
      <c r="E1532" s="2" t="s">
        <v>39</v>
      </c>
      <c r="F1532" s="2"/>
      <c r="G1532" s="2"/>
      <c r="H1532" s="2"/>
      <c r="I1532" s="3">
        <f t="shared" si="23"/>
        <v>300</v>
      </c>
    </row>
    <row r="1533" spans="1:9" ht="36" x14ac:dyDescent="0.3">
      <c r="A1533" s="2" t="s">
        <v>146</v>
      </c>
      <c r="B1533" s="2" t="s">
        <v>7189</v>
      </c>
      <c r="C1533" s="2"/>
      <c r="D1533" s="2" t="s">
        <v>7190</v>
      </c>
      <c r="E1533" s="2" t="s">
        <v>39</v>
      </c>
      <c r="F1533" s="2"/>
      <c r="G1533" s="2"/>
      <c r="H1533" s="2"/>
      <c r="I1533" s="3">
        <f t="shared" si="23"/>
        <v>300</v>
      </c>
    </row>
    <row r="1534" spans="1:9" ht="36" x14ac:dyDescent="0.3">
      <c r="A1534" s="2" t="s">
        <v>146</v>
      </c>
      <c r="B1534" s="2" t="s">
        <v>7198</v>
      </c>
      <c r="C1534" s="2" t="s">
        <v>214</v>
      </c>
      <c r="D1534" s="2" t="s">
        <v>7199</v>
      </c>
      <c r="E1534" s="2" t="s">
        <v>39</v>
      </c>
      <c r="F1534" s="2"/>
      <c r="G1534" s="2"/>
      <c r="H1534" s="2"/>
      <c r="I1534" s="3">
        <f t="shared" si="23"/>
        <v>301</v>
      </c>
    </row>
    <row r="1535" spans="1:9" ht="36" x14ac:dyDescent="0.3">
      <c r="A1535" s="2" t="s">
        <v>146</v>
      </c>
      <c r="B1535" s="2" t="s">
        <v>7200</v>
      </c>
      <c r="C1535" s="2"/>
      <c r="D1535" s="2" t="s">
        <v>7201</v>
      </c>
      <c r="E1535" s="2" t="s">
        <v>39</v>
      </c>
      <c r="F1535" s="2"/>
      <c r="G1535" s="2"/>
      <c r="H1535" s="2" t="s">
        <v>1176</v>
      </c>
      <c r="I1535" s="3">
        <f t="shared" si="23"/>
        <v>301</v>
      </c>
    </row>
    <row r="1536" spans="1:9" ht="48" x14ac:dyDescent="0.3">
      <c r="A1536" s="2" t="s">
        <v>146</v>
      </c>
      <c r="B1536" s="2" t="s">
        <v>7203</v>
      </c>
      <c r="C1536" s="2" t="s">
        <v>1379</v>
      </c>
      <c r="D1536" s="2" t="s">
        <v>7204</v>
      </c>
      <c r="E1536" s="2" t="s">
        <v>39</v>
      </c>
      <c r="F1536" s="2"/>
      <c r="G1536" s="2" t="s">
        <v>1717</v>
      </c>
      <c r="H1536" s="2" t="s">
        <v>1176</v>
      </c>
      <c r="I1536" s="3">
        <f t="shared" si="23"/>
        <v>301</v>
      </c>
    </row>
    <row r="1537" spans="1:9" ht="48" x14ac:dyDescent="0.3">
      <c r="A1537" s="2" t="s">
        <v>146</v>
      </c>
      <c r="B1537" s="2" t="s">
        <v>7210</v>
      </c>
      <c r="C1537" s="2" t="s">
        <v>7211</v>
      </c>
      <c r="D1537" s="2" t="s">
        <v>7212</v>
      </c>
      <c r="E1537" s="2" t="s">
        <v>1188</v>
      </c>
      <c r="F1537" s="2"/>
      <c r="G1537" s="2"/>
      <c r="H1537" s="2"/>
      <c r="I1537" s="3">
        <f t="shared" si="23"/>
        <v>302</v>
      </c>
    </row>
    <row r="1538" spans="1:9" ht="48" x14ac:dyDescent="0.3">
      <c r="A1538" s="2" t="s">
        <v>146</v>
      </c>
      <c r="B1538" s="2" t="s">
        <v>7219</v>
      </c>
      <c r="C1538" s="2" t="s">
        <v>7220</v>
      </c>
      <c r="D1538" s="2" t="s">
        <v>7221</v>
      </c>
      <c r="E1538" s="2" t="s">
        <v>39</v>
      </c>
      <c r="F1538" s="2"/>
      <c r="G1538" s="2"/>
      <c r="H1538" s="2"/>
      <c r="I1538" s="3">
        <f t="shared" ref="I1538:I1601" si="24">LEN(D1538)</f>
        <v>303</v>
      </c>
    </row>
    <row r="1539" spans="1:9" ht="36" x14ac:dyDescent="0.3">
      <c r="A1539" s="2" t="s">
        <v>146</v>
      </c>
      <c r="B1539" s="2" t="s">
        <v>7222</v>
      </c>
      <c r="C1539" s="2" t="s">
        <v>500</v>
      </c>
      <c r="D1539" s="2" t="s">
        <v>7223</v>
      </c>
      <c r="E1539" s="2" t="s">
        <v>39</v>
      </c>
      <c r="F1539" s="2"/>
      <c r="G1539" s="2"/>
      <c r="H1539" s="2" t="s">
        <v>402</v>
      </c>
      <c r="I1539" s="3">
        <f t="shared" si="24"/>
        <v>303</v>
      </c>
    </row>
    <row r="1540" spans="1:9" ht="36" x14ac:dyDescent="0.3">
      <c r="A1540" s="2" t="s">
        <v>146</v>
      </c>
      <c r="B1540" s="2" t="s">
        <v>1115</v>
      </c>
      <c r="C1540" s="2" t="s">
        <v>148</v>
      </c>
      <c r="D1540" s="2" t="s">
        <v>8899</v>
      </c>
      <c r="E1540" s="2" t="s">
        <v>39</v>
      </c>
      <c r="F1540" s="2" t="s">
        <v>2281</v>
      </c>
      <c r="G1540" s="2" t="s">
        <v>4507</v>
      </c>
      <c r="H1540" s="2"/>
      <c r="I1540" s="3">
        <f t="shared" si="24"/>
        <v>302</v>
      </c>
    </row>
    <row r="1541" spans="1:9" ht="36" x14ac:dyDescent="0.3">
      <c r="A1541" s="2" t="s">
        <v>146</v>
      </c>
      <c r="B1541" s="2" t="s">
        <v>1875</v>
      </c>
      <c r="C1541" s="2" t="s">
        <v>6098</v>
      </c>
      <c r="D1541" s="2" t="s">
        <v>8900</v>
      </c>
      <c r="E1541" s="2" t="s">
        <v>39</v>
      </c>
      <c r="F1541" s="2" t="s">
        <v>4117</v>
      </c>
      <c r="G1541" s="2" t="s">
        <v>1717</v>
      </c>
      <c r="H1541" s="2"/>
      <c r="I1541" s="3">
        <f t="shared" si="24"/>
        <v>302</v>
      </c>
    </row>
    <row r="1542" spans="1:9" ht="36" x14ac:dyDescent="0.3">
      <c r="A1542" s="2" t="s">
        <v>146</v>
      </c>
      <c r="B1542" s="2" t="s">
        <v>7227</v>
      </c>
      <c r="C1542" s="2" t="s">
        <v>332</v>
      </c>
      <c r="D1542" s="2" t="s">
        <v>7228</v>
      </c>
      <c r="E1542" s="2" t="s">
        <v>39</v>
      </c>
      <c r="F1542" s="2"/>
      <c r="G1542" s="2"/>
      <c r="H1542" s="2"/>
      <c r="I1542" s="3">
        <f t="shared" si="24"/>
        <v>304</v>
      </c>
    </row>
    <row r="1543" spans="1:9" ht="48" x14ac:dyDescent="0.3">
      <c r="A1543" s="2" t="s">
        <v>146</v>
      </c>
      <c r="B1543" s="2" t="s">
        <v>7230</v>
      </c>
      <c r="C1543" s="2" t="s">
        <v>7231</v>
      </c>
      <c r="D1543" s="2" t="s">
        <v>8901</v>
      </c>
      <c r="E1543" s="2" t="s">
        <v>7232</v>
      </c>
      <c r="F1543" s="2" t="s">
        <v>1778</v>
      </c>
      <c r="G1543" s="2" t="s">
        <v>350</v>
      </c>
      <c r="H1543" s="2" t="s">
        <v>194</v>
      </c>
      <c r="I1543" s="3">
        <f t="shared" si="24"/>
        <v>302</v>
      </c>
    </row>
    <row r="1544" spans="1:9" ht="36" x14ac:dyDescent="0.3">
      <c r="A1544" s="2" t="s">
        <v>146</v>
      </c>
      <c r="B1544" s="2" t="s">
        <v>7233</v>
      </c>
      <c r="C1544" s="2"/>
      <c r="D1544" s="2" t="s">
        <v>7234</v>
      </c>
      <c r="E1544" s="2" t="s">
        <v>39</v>
      </c>
      <c r="F1544" s="2"/>
      <c r="G1544" s="2"/>
      <c r="H1544" s="2"/>
      <c r="I1544" s="3">
        <f t="shared" si="24"/>
        <v>304</v>
      </c>
    </row>
    <row r="1545" spans="1:9" ht="36" x14ac:dyDescent="0.3">
      <c r="A1545" s="2" t="s">
        <v>146</v>
      </c>
      <c r="B1545" s="2" t="s">
        <v>7235</v>
      </c>
      <c r="C1545" s="2" t="s">
        <v>6847</v>
      </c>
      <c r="D1545" s="2" t="s">
        <v>7236</v>
      </c>
      <c r="E1545" s="2" t="s">
        <v>39</v>
      </c>
      <c r="F1545" s="2"/>
      <c r="G1545" s="2"/>
      <c r="H1545" s="2"/>
      <c r="I1545" s="3">
        <f t="shared" si="24"/>
        <v>304</v>
      </c>
    </row>
    <row r="1546" spans="1:9" ht="36" x14ac:dyDescent="0.3">
      <c r="A1546" s="2" t="s">
        <v>146</v>
      </c>
      <c r="B1546" s="2" t="s">
        <v>7241</v>
      </c>
      <c r="C1546" s="2" t="s">
        <v>130</v>
      </c>
      <c r="D1546" s="2" t="s">
        <v>8902</v>
      </c>
      <c r="E1546" s="2"/>
      <c r="F1546" s="2" t="s">
        <v>1778</v>
      </c>
      <c r="G1546" s="2" t="s">
        <v>1717</v>
      </c>
      <c r="H1546" s="2"/>
      <c r="I1546" s="3">
        <f t="shared" si="24"/>
        <v>304</v>
      </c>
    </row>
    <row r="1547" spans="1:9" ht="48" x14ac:dyDescent="0.3">
      <c r="A1547" s="2" t="s">
        <v>146</v>
      </c>
      <c r="B1547" s="2" t="s">
        <v>7246</v>
      </c>
      <c r="C1547" s="2" t="s">
        <v>1379</v>
      </c>
      <c r="D1547" s="2" t="s">
        <v>7247</v>
      </c>
      <c r="E1547" s="2" t="s">
        <v>39</v>
      </c>
      <c r="F1547" s="2"/>
      <c r="G1547" s="2" t="s">
        <v>1717</v>
      </c>
      <c r="H1547" s="2" t="s">
        <v>1176</v>
      </c>
      <c r="I1547" s="3">
        <f t="shared" si="24"/>
        <v>306</v>
      </c>
    </row>
    <row r="1548" spans="1:9" ht="36" x14ac:dyDescent="0.3">
      <c r="A1548" s="2" t="s">
        <v>146</v>
      </c>
      <c r="B1548" s="2" t="s">
        <v>7250</v>
      </c>
      <c r="C1548" s="2" t="s">
        <v>332</v>
      </c>
      <c r="D1548" s="2" t="s">
        <v>7251</v>
      </c>
      <c r="E1548" s="2" t="s">
        <v>39</v>
      </c>
      <c r="F1548" s="2"/>
      <c r="G1548" s="2"/>
      <c r="H1548" s="2"/>
      <c r="I1548" s="3">
        <f t="shared" si="24"/>
        <v>307</v>
      </c>
    </row>
    <row r="1549" spans="1:9" ht="36" x14ac:dyDescent="0.3">
      <c r="A1549" s="2" t="s">
        <v>146</v>
      </c>
      <c r="B1549" s="2" t="s">
        <v>7270</v>
      </c>
      <c r="C1549" s="2"/>
      <c r="D1549" s="2" t="s">
        <v>7271</v>
      </c>
      <c r="E1549" s="2" t="s">
        <v>39</v>
      </c>
      <c r="F1549" s="2"/>
      <c r="G1549" s="2"/>
      <c r="H1549" s="2" t="s">
        <v>194</v>
      </c>
      <c r="I1549" s="3">
        <f t="shared" si="24"/>
        <v>309</v>
      </c>
    </row>
    <row r="1550" spans="1:9" ht="36" x14ac:dyDescent="0.3">
      <c r="A1550" s="2" t="s">
        <v>146</v>
      </c>
      <c r="B1550" s="2" t="s">
        <v>7274</v>
      </c>
      <c r="C1550" s="2" t="s">
        <v>95</v>
      </c>
      <c r="D1550" s="2" t="s">
        <v>8903</v>
      </c>
      <c r="E1550" s="2" t="s">
        <v>918</v>
      </c>
      <c r="F1550" s="2" t="s">
        <v>4117</v>
      </c>
      <c r="G1550" s="2" t="s">
        <v>350</v>
      </c>
      <c r="H1550" s="2" t="s">
        <v>646</v>
      </c>
      <c r="I1550" s="3">
        <f t="shared" si="24"/>
        <v>307</v>
      </c>
    </row>
    <row r="1551" spans="1:9" ht="48" x14ac:dyDescent="0.3">
      <c r="A1551" s="2" t="s">
        <v>146</v>
      </c>
      <c r="B1551" s="2" t="s">
        <v>7168</v>
      </c>
      <c r="C1551" s="2"/>
      <c r="D1551" s="2" t="s">
        <v>7283</v>
      </c>
      <c r="E1551" s="2" t="s">
        <v>7284</v>
      </c>
      <c r="F1551" s="2"/>
      <c r="G1551" s="2"/>
      <c r="H1551" s="2"/>
      <c r="I1551" s="3">
        <f t="shared" si="24"/>
        <v>311</v>
      </c>
    </row>
    <row r="1552" spans="1:9" ht="36" x14ac:dyDescent="0.3">
      <c r="A1552" s="2" t="s">
        <v>146</v>
      </c>
      <c r="B1552" s="2" t="s">
        <v>7289</v>
      </c>
      <c r="C1552" s="2"/>
      <c r="D1552" s="2" t="s">
        <v>7290</v>
      </c>
      <c r="E1552" s="2" t="s">
        <v>39</v>
      </c>
      <c r="F1552" s="2"/>
      <c r="G1552" s="2"/>
      <c r="H1552" s="2"/>
      <c r="I1552" s="3">
        <f t="shared" si="24"/>
        <v>311</v>
      </c>
    </row>
    <row r="1553" spans="1:9" ht="36" x14ac:dyDescent="0.3">
      <c r="A1553" s="2" t="s">
        <v>146</v>
      </c>
      <c r="B1553" s="2" t="s">
        <v>7304</v>
      </c>
      <c r="C1553" s="2" t="s">
        <v>95</v>
      </c>
      <c r="D1553" s="2" t="s">
        <v>7305</v>
      </c>
      <c r="E1553" s="2" t="s">
        <v>39</v>
      </c>
      <c r="F1553" s="2"/>
      <c r="G1553" s="2"/>
      <c r="H1553" s="2"/>
      <c r="I1553" s="3">
        <f t="shared" si="24"/>
        <v>313</v>
      </c>
    </row>
    <row r="1554" spans="1:9" ht="48" x14ac:dyDescent="0.3">
      <c r="A1554" s="2" t="s">
        <v>146</v>
      </c>
      <c r="B1554" s="2" t="s">
        <v>7309</v>
      </c>
      <c r="C1554" s="2" t="s">
        <v>788</v>
      </c>
      <c r="D1554" s="2" t="s">
        <v>7310</v>
      </c>
      <c r="E1554" s="2" t="s">
        <v>39</v>
      </c>
      <c r="F1554" s="2"/>
      <c r="G1554" s="2"/>
      <c r="H1554" s="2"/>
      <c r="I1554" s="3">
        <f t="shared" si="24"/>
        <v>313</v>
      </c>
    </row>
    <row r="1555" spans="1:9" ht="36" x14ac:dyDescent="0.3">
      <c r="A1555" s="2" t="s">
        <v>146</v>
      </c>
      <c r="B1555" s="2" t="s">
        <v>7311</v>
      </c>
      <c r="C1555" s="2" t="s">
        <v>4930</v>
      </c>
      <c r="D1555" s="2" t="s">
        <v>7312</v>
      </c>
      <c r="E1555" s="2" t="s">
        <v>2524</v>
      </c>
      <c r="F1555" s="2"/>
      <c r="G1555" s="2"/>
      <c r="H1555" s="2"/>
      <c r="I1555" s="3">
        <f t="shared" si="24"/>
        <v>313</v>
      </c>
    </row>
    <row r="1556" spans="1:9" ht="48" x14ac:dyDescent="0.3">
      <c r="A1556" s="2" t="s">
        <v>146</v>
      </c>
      <c r="B1556" s="2" t="s">
        <v>7313</v>
      </c>
      <c r="C1556" s="2" t="s">
        <v>437</v>
      </c>
      <c r="D1556" s="2" t="s">
        <v>7314</v>
      </c>
      <c r="E1556" s="2" t="s">
        <v>39</v>
      </c>
      <c r="F1556" s="2"/>
      <c r="G1556" s="2"/>
      <c r="H1556" s="2" t="s">
        <v>194</v>
      </c>
      <c r="I1556" s="3">
        <f t="shared" si="24"/>
        <v>314</v>
      </c>
    </row>
    <row r="1557" spans="1:9" ht="48" x14ac:dyDescent="0.3">
      <c r="A1557" s="2" t="s">
        <v>146</v>
      </c>
      <c r="B1557" s="2" t="s">
        <v>5297</v>
      </c>
      <c r="C1557" s="2" t="s">
        <v>6161</v>
      </c>
      <c r="D1557" s="2" t="s">
        <v>8904</v>
      </c>
      <c r="E1557" s="2" t="s">
        <v>39</v>
      </c>
      <c r="F1557" s="2" t="s">
        <v>2281</v>
      </c>
      <c r="G1557" s="2" t="s">
        <v>1717</v>
      </c>
      <c r="H1557" s="2" t="s">
        <v>646</v>
      </c>
      <c r="I1557" s="3">
        <f t="shared" si="24"/>
        <v>313</v>
      </c>
    </row>
    <row r="1558" spans="1:9" ht="48" x14ac:dyDescent="0.3">
      <c r="A1558" s="2" t="s">
        <v>146</v>
      </c>
      <c r="B1558" s="2" t="s">
        <v>1386</v>
      </c>
      <c r="C1558" s="2" t="s">
        <v>437</v>
      </c>
      <c r="D1558" s="2" t="s">
        <v>8905</v>
      </c>
      <c r="E1558" s="2" t="s">
        <v>39</v>
      </c>
      <c r="F1558" s="2" t="s">
        <v>2281</v>
      </c>
      <c r="G1558" s="2" t="s">
        <v>4507</v>
      </c>
      <c r="H1558" s="2"/>
      <c r="I1558" s="3">
        <f t="shared" si="24"/>
        <v>313</v>
      </c>
    </row>
    <row r="1559" spans="1:9" ht="36" x14ac:dyDescent="0.3">
      <c r="A1559" s="2" t="s">
        <v>146</v>
      </c>
      <c r="B1559" s="2" t="s">
        <v>7320</v>
      </c>
      <c r="C1559" s="2" t="s">
        <v>6847</v>
      </c>
      <c r="D1559" s="2" t="s">
        <v>7321</v>
      </c>
      <c r="E1559" s="2" t="s">
        <v>39</v>
      </c>
      <c r="F1559" s="2"/>
      <c r="G1559" s="2"/>
      <c r="H1559" s="2"/>
      <c r="I1559" s="3">
        <f t="shared" si="24"/>
        <v>315</v>
      </c>
    </row>
    <row r="1560" spans="1:9" ht="48" x14ac:dyDescent="0.3">
      <c r="A1560" s="2" t="s">
        <v>146</v>
      </c>
      <c r="B1560" s="2" t="s">
        <v>7323</v>
      </c>
      <c r="C1560" s="2" t="s">
        <v>7324</v>
      </c>
      <c r="D1560" s="2" t="s">
        <v>7325</v>
      </c>
      <c r="E1560" s="2" t="s">
        <v>6257</v>
      </c>
      <c r="F1560" s="2"/>
      <c r="G1560" s="2"/>
      <c r="H1560" s="2"/>
      <c r="I1560" s="3">
        <f t="shared" si="24"/>
        <v>315</v>
      </c>
    </row>
    <row r="1561" spans="1:9" ht="48" x14ac:dyDescent="0.3">
      <c r="A1561" s="2" t="s">
        <v>146</v>
      </c>
      <c r="B1561" s="2" t="s">
        <v>7327</v>
      </c>
      <c r="C1561" s="2" t="s">
        <v>7328</v>
      </c>
      <c r="D1561" s="2" t="s">
        <v>8906</v>
      </c>
      <c r="E1561" s="2" t="s">
        <v>39</v>
      </c>
      <c r="F1561" s="2" t="s">
        <v>2281</v>
      </c>
      <c r="G1561" s="2" t="s">
        <v>1717</v>
      </c>
      <c r="H1561" s="2"/>
      <c r="I1561" s="3">
        <f t="shared" si="24"/>
        <v>313</v>
      </c>
    </row>
    <row r="1562" spans="1:9" ht="48" x14ac:dyDescent="0.3">
      <c r="A1562" s="2" t="s">
        <v>146</v>
      </c>
      <c r="B1562" s="2" t="s">
        <v>7329</v>
      </c>
      <c r="C1562" s="2" t="s">
        <v>6881</v>
      </c>
      <c r="D1562" s="2" t="s">
        <v>7330</v>
      </c>
      <c r="E1562" s="2" t="s">
        <v>39</v>
      </c>
      <c r="F1562" s="2"/>
      <c r="G1562" s="2"/>
      <c r="H1562" s="2" t="s">
        <v>194</v>
      </c>
      <c r="I1562" s="3">
        <f t="shared" si="24"/>
        <v>315</v>
      </c>
    </row>
    <row r="1563" spans="1:9" ht="48" x14ac:dyDescent="0.3">
      <c r="A1563" s="2" t="s">
        <v>146</v>
      </c>
      <c r="B1563" s="2" t="s">
        <v>7336</v>
      </c>
      <c r="C1563" s="2" t="s">
        <v>1379</v>
      </c>
      <c r="D1563" s="2" t="s">
        <v>7337</v>
      </c>
      <c r="E1563" s="2" t="s">
        <v>39</v>
      </c>
      <c r="F1563" s="2"/>
      <c r="G1563" s="2" t="s">
        <v>1717</v>
      </c>
      <c r="H1563" s="2"/>
      <c r="I1563" s="3">
        <f t="shared" si="24"/>
        <v>316</v>
      </c>
    </row>
    <row r="1564" spans="1:9" ht="48" x14ac:dyDescent="0.3">
      <c r="A1564" s="2" t="s">
        <v>146</v>
      </c>
      <c r="B1564" s="2" t="s">
        <v>7338</v>
      </c>
      <c r="C1564" s="2" t="s">
        <v>113</v>
      </c>
      <c r="D1564" s="2" t="s">
        <v>8907</v>
      </c>
      <c r="E1564" s="2" t="s">
        <v>39</v>
      </c>
      <c r="F1564" s="2" t="s">
        <v>4117</v>
      </c>
      <c r="G1564" s="2" t="s">
        <v>1717</v>
      </c>
      <c r="H1564" s="2"/>
      <c r="I1564" s="3">
        <f t="shared" si="24"/>
        <v>314</v>
      </c>
    </row>
    <row r="1565" spans="1:9" ht="48" x14ac:dyDescent="0.3">
      <c r="A1565" s="2" t="s">
        <v>146</v>
      </c>
      <c r="B1565" s="2" t="s">
        <v>7347</v>
      </c>
      <c r="C1565" s="2" t="s">
        <v>7348</v>
      </c>
      <c r="D1565" s="2" t="s">
        <v>7349</v>
      </c>
      <c r="E1565" s="2" t="s">
        <v>7350</v>
      </c>
      <c r="F1565" s="2"/>
      <c r="G1565" s="2"/>
      <c r="H1565" s="2" t="s">
        <v>194</v>
      </c>
      <c r="I1565" s="3">
        <f t="shared" si="24"/>
        <v>318</v>
      </c>
    </row>
    <row r="1566" spans="1:9" ht="48" x14ac:dyDescent="0.3">
      <c r="A1566" s="2" t="s">
        <v>146</v>
      </c>
      <c r="B1566" s="2" t="s">
        <v>7351</v>
      </c>
      <c r="C1566" s="2" t="s">
        <v>389</v>
      </c>
      <c r="D1566" s="2" t="s">
        <v>7352</v>
      </c>
      <c r="E1566" s="2" t="s">
        <v>39</v>
      </c>
      <c r="F1566" s="2"/>
      <c r="G1566" s="2"/>
      <c r="H1566" s="2"/>
      <c r="I1566" s="3">
        <f t="shared" si="24"/>
        <v>318</v>
      </c>
    </row>
    <row r="1567" spans="1:9" ht="48" x14ac:dyDescent="0.3">
      <c r="A1567" s="2" t="s">
        <v>146</v>
      </c>
      <c r="B1567" s="2" t="s">
        <v>4339</v>
      </c>
      <c r="C1567" s="2"/>
      <c r="D1567" s="2" t="s">
        <v>7357</v>
      </c>
      <c r="E1567" s="2" t="s">
        <v>39</v>
      </c>
      <c r="F1567" s="2"/>
      <c r="G1567" s="2"/>
      <c r="H1567" s="2" t="s">
        <v>646</v>
      </c>
      <c r="I1567" s="3">
        <f t="shared" si="24"/>
        <v>319</v>
      </c>
    </row>
    <row r="1568" spans="1:9" ht="48" x14ac:dyDescent="0.3">
      <c r="A1568" s="2" t="s">
        <v>146</v>
      </c>
      <c r="B1568" s="2" t="s">
        <v>7358</v>
      </c>
      <c r="C1568" s="2" t="s">
        <v>4992</v>
      </c>
      <c r="D1568" s="2" t="s">
        <v>7359</v>
      </c>
      <c r="E1568" s="2" t="s">
        <v>39</v>
      </c>
      <c r="F1568" s="2"/>
      <c r="G1568" s="2"/>
      <c r="H1568" s="2"/>
      <c r="I1568" s="3">
        <f t="shared" si="24"/>
        <v>319</v>
      </c>
    </row>
    <row r="1569" spans="1:9" ht="48" x14ac:dyDescent="0.3">
      <c r="A1569" s="2" t="s">
        <v>146</v>
      </c>
      <c r="B1569" s="2" t="s">
        <v>7362</v>
      </c>
      <c r="C1569" s="2" t="s">
        <v>7363</v>
      </c>
      <c r="D1569" s="2" t="s">
        <v>7364</v>
      </c>
      <c r="E1569" s="2" t="s">
        <v>2693</v>
      </c>
      <c r="F1569" s="2"/>
      <c r="G1569" s="2"/>
      <c r="H1569" s="2" t="s">
        <v>1176</v>
      </c>
      <c r="I1569" s="3">
        <f t="shared" si="24"/>
        <v>320</v>
      </c>
    </row>
    <row r="1570" spans="1:9" ht="48" x14ac:dyDescent="0.3">
      <c r="A1570" s="2" t="s">
        <v>146</v>
      </c>
      <c r="B1570" s="2" t="s">
        <v>7365</v>
      </c>
      <c r="C1570" s="2"/>
      <c r="D1570" s="2" t="s">
        <v>7366</v>
      </c>
      <c r="E1570" s="2" t="s">
        <v>39</v>
      </c>
      <c r="F1570" s="2"/>
      <c r="G1570" s="2"/>
      <c r="H1570" s="2" t="s">
        <v>1176</v>
      </c>
      <c r="I1570" s="3">
        <f t="shared" si="24"/>
        <v>320</v>
      </c>
    </row>
    <row r="1571" spans="1:9" ht="48" x14ac:dyDescent="0.3">
      <c r="A1571" s="2" t="s">
        <v>146</v>
      </c>
      <c r="B1571" s="2" t="s">
        <v>7367</v>
      </c>
      <c r="C1571" s="2"/>
      <c r="D1571" s="2" t="s">
        <v>7368</v>
      </c>
      <c r="E1571" s="2" t="s">
        <v>39</v>
      </c>
      <c r="F1571" s="2"/>
      <c r="G1571" s="2"/>
      <c r="H1571" s="2" t="s">
        <v>646</v>
      </c>
      <c r="I1571" s="3">
        <f t="shared" si="24"/>
        <v>320</v>
      </c>
    </row>
    <row r="1572" spans="1:9" ht="48" x14ac:dyDescent="0.3">
      <c r="A1572" s="2" t="s">
        <v>146</v>
      </c>
      <c r="B1572" s="2" t="s">
        <v>7376</v>
      </c>
      <c r="C1572" s="2"/>
      <c r="D1572" s="2" t="s">
        <v>7377</v>
      </c>
      <c r="E1572" s="2" t="s">
        <v>39</v>
      </c>
      <c r="F1572" s="2"/>
      <c r="G1572" s="2"/>
      <c r="H1572" s="2"/>
      <c r="I1572" s="3">
        <f t="shared" si="24"/>
        <v>321</v>
      </c>
    </row>
    <row r="1573" spans="1:9" ht="48" x14ac:dyDescent="0.3">
      <c r="A1573" s="2" t="s">
        <v>146</v>
      </c>
      <c r="B1573" s="2" t="s">
        <v>7385</v>
      </c>
      <c r="C1573" s="2" t="s">
        <v>214</v>
      </c>
      <c r="D1573" s="2" t="s">
        <v>7386</v>
      </c>
      <c r="E1573" s="2" t="s">
        <v>39</v>
      </c>
      <c r="F1573" s="2"/>
      <c r="G1573" s="2"/>
      <c r="H1573" s="2"/>
      <c r="I1573" s="3">
        <f t="shared" si="24"/>
        <v>322</v>
      </c>
    </row>
    <row r="1574" spans="1:9" ht="48" x14ac:dyDescent="0.3">
      <c r="A1574" s="2" t="s">
        <v>146</v>
      </c>
      <c r="B1574" s="2" t="s">
        <v>7389</v>
      </c>
      <c r="C1574" s="2"/>
      <c r="D1574" s="2" t="s">
        <v>8908</v>
      </c>
      <c r="E1574" s="2" t="s">
        <v>2524</v>
      </c>
      <c r="F1574" s="2" t="s">
        <v>4117</v>
      </c>
      <c r="G1574" s="2" t="s">
        <v>1717</v>
      </c>
      <c r="H1574" s="2"/>
      <c r="I1574" s="3">
        <f t="shared" si="24"/>
        <v>320</v>
      </c>
    </row>
    <row r="1575" spans="1:9" ht="48" x14ac:dyDescent="0.3">
      <c r="A1575" s="2" t="s">
        <v>146</v>
      </c>
      <c r="B1575" s="2" t="s">
        <v>7396</v>
      </c>
      <c r="C1575" s="2"/>
      <c r="D1575" s="2" t="s">
        <v>7397</v>
      </c>
      <c r="E1575" s="2" t="s">
        <v>39</v>
      </c>
      <c r="F1575" s="2"/>
      <c r="G1575" s="2"/>
      <c r="H1575" s="2"/>
      <c r="I1575" s="3">
        <f t="shared" si="24"/>
        <v>324</v>
      </c>
    </row>
    <row r="1576" spans="1:9" ht="48" x14ac:dyDescent="0.3">
      <c r="A1576" s="2" t="s">
        <v>146</v>
      </c>
      <c r="B1576" s="2" t="s">
        <v>7402</v>
      </c>
      <c r="C1576" s="2" t="s">
        <v>544</v>
      </c>
      <c r="D1576" s="2" t="s">
        <v>7403</v>
      </c>
      <c r="E1576" s="2" t="s">
        <v>39</v>
      </c>
      <c r="F1576" s="2"/>
      <c r="G1576" s="2"/>
      <c r="H1576" s="2"/>
      <c r="I1576" s="3">
        <f t="shared" si="24"/>
        <v>325</v>
      </c>
    </row>
    <row r="1577" spans="1:9" ht="48" x14ac:dyDescent="0.3">
      <c r="A1577" s="2" t="s">
        <v>146</v>
      </c>
      <c r="B1577" s="2" t="s">
        <v>7411</v>
      </c>
      <c r="C1577" s="2" t="s">
        <v>95</v>
      </c>
      <c r="D1577" s="2" t="s">
        <v>7412</v>
      </c>
      <c r="E1577" s="2" t="s">
        <v>39</v>
      </c>
      <c r="F1577" s="2"/>
      <c r="G1577" s="2"/>
      <c r="H1577" s="2"/>
      <c r="I1577" s="3">
        <f t="shared" si="24"/>
        <v>326</v>
      </c>
    </row>
    <row r="1578" spans="1:9" ht="48" x14ac:dyDescent="0.3">
      <c r="A1578" s="2" t="s">
        <v>146</v>
      </c>
      <c r="B1578" s="2" t="s">
        <v>7415</v>
      </c>
      <c r="C1578" s="2"/>
      <c r="D1578" s="2" t="s">
        <v>7416</v>
      </c>
      <c r="E1578" s="2" t="s">
        <v>39</v>
      </c>
      <c r="F1578" s="2"/>
      <c r="G1578" s="2"/>
      <c r="H1578" s="2"/>
      <c r="I1578" s="3">
        <f t="shared" si="24"/>
        <v>326</v>
      </c>
    </row>
    <row r="1579" spans="1:9" ht="48" x14ac:dyDescent="0.3">
      <c r="A1579" s="2" t="s">
        <v>146</v>
      </c>
      <c r="B1579" s="2" t="s">
        <v>1101</v>
      </c>
      <c r="C1579" s="2" t="s">
        <v>3910</v>
      </c>
      <c r="D1579" s="2" t="s">
        <v>7417</v>
      </c>
      <c r="E1579" s="2" t="s">
        <v>39</v>
      </c>
      <c r="F1579" s="2"/>
      <c r="G1579" s="2"/>
      <c r="H1579" s="2"/>
      <c r="I1579" s="3">
        <f t="shared" si="24"/>
        <v>326</v>
      </c>
    </row>
    <row r="1580" spans="1:9" ht="48" x14ac:dyDescent="0.3">
      <c r="A1580" s="2" t="s">
        <v>146</v>
      </c>
      <c r="B1580" s="2" t="s">
        <v>7420</v>
      </c>
      <c r="C1580" s="2" t="s">
        <v>95</v>
      </c>
      <c r="D1580" s="2" t="s">
        <v>7421</v>
      </c>
      <c r="E1580" s="2" t="s">
        <v>3226</v>
      </c>
      <c r="F1580" s="2"/>
      <c r="G1580" s="2"/>
      <c r="H1580" s="2" t="s">
        <v>646</v>
      </c>
      <c r="I1580" s="3">
        <f t="shared" si="24"/>
        <v>327</v>
      </c>
    </row>
    <row r="1581" spans="1:9" ht="48" x14ac:dyDescent="0.3">
      <c r="A1581" s="2" t="s">
        <v>146</v>
      </c>
      <c r="B1581" s="2" t="s">
        <v>7428</v>
      </c>
      <c r="C1581" s="2" t="s">
        <v>3910</v>
      </c>
      <c r="D1581" s="2" t="s">
        <v>7429</v>
      </c>
      <c r="E1581" s="2" t="s">
        <v>39</v>
      </c>
      <c r="F1581" s="2"/>
      <c r="G1581" s="2"/>
      <c r="H1581" s="2"/>
      <c r="I1581" s="3">
        <f t="shared" si="24"/>
        <v>328</v>
      </c>
    </row>
    <row r="1582" spans="1:9" ht="48" x14ac:dyDescent="0.3">
      <c r="A1582" s="2" t="s">
        <v>146</v>
      </c>
      <c r="B1582" s="2" t="s">
        <v>6676</v>
      </c>
      <c r="C1582" s="2" t="s">
        <v>2057</v>
      </c>
      <c r="D1582" s="2" t="s">
        <v>8909</v>
      </c>
      <c r="E1582" s="2" t="s">
        <v>39</v>
      </c>
      <c r="F1582" s="2" t="s">
        <v>4117</v>
      </c>
      <c r="G1582" s="2" t="s">
        <v>1717</v>
      </c>
      <c r="H1582" s="2"/>
      <c r="I1582" s="3">
        <f t="shared" si="24"/>
        <v>326</v>
      </c>
    </row>
    <row r="1583" spans="1:9" ht="48" x14ac:dyDescent="0.3">
      <c r="A1583" s="2" t="s">
        <v>146</v>
      </c>
      <c r="B1583" s="2" t="s">
        <v>7435</v>
      </c>
      <c r="C1583" s="2" t="s">
        <v>1379</v>
      </c>
      <c r="D1583" s="2" t="s">
        <v>7436</v>
      </c>
      <c r="E1583" s="2" t="s">
        <v>39</v>
      </c>
      <c r="F1583" s="2"/>
      <c r="G1583" s="2" t="s">
        <v>1717</v>
      </c>
      <c r="H1583" s="2" t="s">
        <v>1176</v>
      </c>
      <c r="I1583" s="3">
        <f t="shared" si="24"/>
        <v>329</v>
      </c>
    </row>
    <row r="1584" spans="1:9" ht="48" x14ac:dyDescent="0.3">
      <c r="A1584" s="2" t="s">
        <v>146</v>
      </c>
      <c r="B1584" s="2" t="s">
        <v>7437</v>
      </c>
      <c r="C1584" s="2"/>
      <c r="D1584" s="2" t="s">
        <v>7438</v>
      </c>
      <c r="E1584" s="2" t="s">
        <v>39</v>
      </c>
      <c r="F1584" s="2"/>
      <c r="G1584" s="2"/>
      <c r="H1584" s="2" t="s">
        <v>194</v>
      </c>
      <c r="I1584" s="3">
        <f t="shared" si="24"/>
        <v>329</v>
      </c>
    </row>
    <row r="1585" spans="1:9" ht="48" x14ac:dyDescent="0.3">
      <c r="A1585" s="2" t="s">
        <v>146</v>
      </c>
      <c r="B1585" s="2" t="s">
        <v>7440</v>
      </c>
      <c r="C1585" s="2"/>
      <c r="D1585" s="2" t="s">
        <v>8910</v>
      </c>
      <c r="E1585" s="2" t="s">
        <v>6426</v>
      </c>
      <c r="F1585" s="2" t="s">
        <v>4117</v>
      </c>
      <c r="G1585" s="2" t="s">
        <v>350</v>
      </c>
      <c r="H1585" s="2"/>
      <c r="I1585" s="3">
        <f t="shared" si="24"/>
        <v>328</v>
      </c>
    </row>
    <row r="1586" spans="1:9" ht="48" x14ac:dyDescent="0.3">
      <c r="A1586" s="2" t="s">
        <v>146</v>
      </c>
      <c r="B1586" s="2" t="s">
        <v>7445</v>
      </c>
      <c r="C1586" s="2" t="s">
        <v>437</v>
      </c>
      <c r="D1586" s="2" t="s">
        <v>7446</v>
      </c>
      <c r="E1586" s="2" t="s">
        <v>39</v>
      </c>
      <c r="F1586" s="2"/>
      <c r="G1586" s="2" t="s">
        <v>1717</v>
      </c>
      <c r="H1586" s="2"/>
      <c r="I1586" s="3">
        <f t="shared" si="24"/>
        <v>332</v>
      </c>
    </row>
    <row r="1587" spans="1:9" ht="48" x14ac:dyDescent="0.3">
      <c r="A1587" s="2" t="s">
        <v>146</v>
      </c>
      <c r="B1587" s="2" t="s">
        <v>7459</v>
      </c>
      <c r="C1587" s="2" t="s">
        <v>437</v>
      </c>
      <c r="D1587" s="2" t="s">
        <v>8911</v>
      </c>
      <c r="E1587" s="2" t="s">
        <v>39</v>
      </c>
      <c r="F1587" s="2" t="s">
        <v>2281</v>
      </c>
      <c r="G1587" s="2" t="s">
        <v>4507</v>
      </c>
      <c r="H1587" s="2"/>
      <c r="I1587" s="3">
        <f t="shared" si="24"/>
        <v>332</v>
      </c>
    </row>
    <row r="1588" spans="1:9" ht="48" x14ac:dyDescent="0.3">
      <c r="A1588" s="2" t="s">
        <v>146</v>
      </c>
      <c r="B1588" s="2" t="s">
        <v>7460</v>
      </c>
      <c r="C1588" s="2" t="s">
        <v>2057</v>
      </c>
      <c r="D1588" s="2" t="s">
        <v>8912</v>
      </c>
      <c r="E1588" s="2" t="s">
        <v>39</v>
      </c>
      <c r="F1588" s="2" t="s">
        <v>4117</v>
      </c>
      <c r="G1588" s="2" t="s">
        <v>1717</v>
      </c>
      <c r="H1588" s="2"/>
      <c r="I1588" s="3">
        <f t="shared" si="24"/>
        <v>332</v>
      </c>
    </row>
    <row r="1589" spans="1:9" ht="48" x14ac:dyDescent="0.3">
      <c r="A1589" s="2" t="s">
        <v>146</v>
      </c>
      <c r="B1589" s="2" t="s">
        <v>7461</v>
      </c>
      <c r="C1589" s="2" t="s">
        <v>1255</v>
      </c>
      <c r="D1589" s="2" t="s">
        <v>7462</v>
      </c>
      <c r="E1589" s="2" t="s">
        <v>39</v>
      </c>
      <c r="F1589" s="2"/>
      <c r="G1589" s="2"/>
      <c r="H1589" s="2"/>
      <c r="I1589" s="3">
        <f t="shared" si="24"/>
        <v>334</v>
      </c>
    </row>
    <row r="1590" spans="1:9" ht="48" x14ac:dyDescent="0.3">
      <c r="A1590" s="2" t="s">
        <v>146</v>
      </c>
      <c r="B1590" s="2" t="s">
        <v>7463</v>
      </c>
      <c r="C1590" s="2"/>
      <c r="D1590" s="2" t="s">
        <v>7464</v>
      </c>
      <c r="E1590" s="2" t="s">
        <v>2824</v>
      </c>
      <c r="F1590" s="2"/>
      <c r="G1590" s="2"/>
      <c r="H1590" s="2"/>
      <c r="I1590" s="3">
        <f t="shared" si="24"/>
        <v>334</v>
      </c>
    </row>
    <row r="1591" spans="1:9" ht="48" x14ac:dyDescent="0.3">
      <c r="A1591" s="2" t="s">
        <v>146</v>
      </c>
      <c r="B1591" s="2" t="s">
        <v>7465</v>
      </c>
      <c r="C1591" s="2"/>
      <c r="D1591" s="2" t="s">
        <v>8913</v>
      </c>
      <c r="E1591" s="2" t="s">
        <v>39</v>
      </c>
      <c r="F1591" s="2" t="s">
        <v>2281</v>
      </c>
      <c r="G1591" s="2" t="s">
        <v>1717</v>
      </c>
      <c r="H1591" s="2"/>
      <c r="I1591" s="3">
        <f t="shared" si="24"/>
        <v>333</v>
      </c>
    </row>
    <row r="1592" spans="1:9" ht="48" x14ac:dyDescent="0.3">
      <c r="A1592" s="2" t="s">
        <v>146</v>
      </c>
      <c r="B1592" s="2" t="s">
        <v>7469</v>
      </c>
      <c r="C1592" s="2" t="s">
        <v>5142</v>
      </c>
      <c r="D1592" s="2" t="s">
        <v>7470</v>
      </c>
      <c r="E1592" s="2" t="s">
        <v>39</v>
      </c>
      <c r="F1592" s="2"/>
      <c r="G1592" s="2"/>
      <c r="H1592" s="2" t="s">
        <v>402</v>
      </c>
      <c r="I1592" s="3">
        <f t="shared" si="24"/>
        <v>335</v>
      </c>
    </row>
    <row r="1593" spans="1:9" ht="48" x14ac:dyDescent="0.3">
      <c r="A1593" s="2" t="s">
        <v>146</v>
      </c>
      <c r="B1593" s="2" t="s">
        <v>7486</v>
      </c>
      <c r="C1593" s="2" t="s">
        <v>437</v>
      </c>
      <c r="D1593" s="2" t="s">
        <v>7487</v>
      </c>
      <c r="E1593" s="2" t="s">
        <v>39</v>
      </c>
      <c r="F1593" s="2"/>
      <c r="G1593" s="2"/>
      <c r="H1593" s="2"/>
      <c r="I1593" s="3">
        <f t="shared" si="24"/>
        <v>339</v>
      </c>
    </row>
    <row r="1594" spans="1:9" ht="48" x14ac:dyDescent="0.3">
      <c r="A1594" s="2" t="s">
        <v>146</v>
      </c>
      <c r="B1594" s="2" t="s">
        <v>7488</v>
      </c>
      <c r="C1594" s="2" t="s">
        <v>1255</v>
      </c>
      <c r="D1594" s="2" t="s">
        <v>7489</v>
      </c>
      <c r="E1594" s="2" t="s">
        <v>39</v>
      </c>
      <c r="F1594" s="2"/>
      <c r="G1594" s="2"/>
      <c r="H1594" s="2"/>
      <c r="I1594" s="3">
        <f t="shared" si="24"/>
        <v>339</v>
      </c>
    </row>
    <row r="1595" spans="1:9" ht="48" x14ac:dyDescent="0.3">
      <c r="A1595" s="2" t="s">
        <v>146</v>
      </c>
      <c r="B1595" s="2" t="s">
        <v>7490</v>
      </c>
      <c r="C1595" s="2" t="s">
        <v>911</v>
      </c>
      <c r="D1595" s="2" t="s">
        <v>7491</v>
      </c>
      <c r="E1595" s="2" t="s">
        <v>39</v>
      </c>
      <c r="F1595" s="2"/>
      <c r="G1595" s="2"/>
      <c r="H1595" s="2"/>
      <c r="I1595" s="3">
        <f t="shared" si="24"/>
        <v>339</v>
      </c>
    </row>
    <row r="1596" spans="1:9" ht="48" x14ac:dyDescent="0.3">
      <c r="A1596" s="2" t="s">
        <v>146</v>
      </c>
      <c r="B1596" s="2" t="s">
        <v>7492</v>
      </c>
      <c r="C1596" s="2" t="s">
        <v>2531</v>
      </c>
      <c r="D1596" s="2" t="s">
        <v>8914</v>
      </c>
      <c r="E1596" s="2" t="s">
        <v>39</v>
      </c>
      <c r="F1596" s="2" t="s">
        <v>2281</v>
      </c>
      <c r="G1596" s="2" t="s">
        <v>1717</v>
      </c>
      <c r="H1596" s="2"/>
      <c r="I1596" s="3">
        <f t="shared" si="24"/>
        <v>337</v>
      </c>
    </row>
    <row r="1597" spans="1:9" ht="48" x14ac:dyDescent="0.3">
      <c r="A1597" s="2" t="s">
        <v>146</v>
      </c>
      <c r="B1597" s="2" t="s">
        <v>7503</v>
      </c>
      <c r="C1597" s="2" t="s">
        <v>437</v>
      </c>
      <c r="D1597" s="2" t="s">
        <v>7504</v>
      </c>
      <c r="E1597" s="2" t="s">
        <v>2824</v>
      </c>
      <c r="F1597" s="2"/>
      <c r="G1597" s="2"/>
      <c r="H1597" s="2"/>
      <c r="I1597" s="3">
        <f t="shared" si="24"/>
        <v>342</v>
      </c>
    </row>
    <row r="1598" spans="1:9" ht="48" x14ac:dyDescent="0.3">
      <c r="A1598" s="2" t="s">
        <v>146</v>
      </c>
      <c r="B1598" s="2" t="s">
        <v>7505</v>
      </c>
      <c r="C1598" s="2"/>
      <c r="D1598" s="2" t="s">
        <v>7506</v>
      </c>
      <c r="E1598" s="2" t="s">
        <v>39</v>
      </c>
      <c r="F1598" s="2"/>
      <c r="G1598" s="2"/>
      <c r="H1598" s="2" t="s">
        <v>194</v>
      </c>
      <c r="I1598" s="3">
        <f t="shared" si="24"/>
        <v>342</v>
      </c>
    </row>
    <row r="1599" spans="1:9" ht="48" x14ac:dyDescent="0.3">
      <c r="A1599" s="2" t="s">
        <v>146</v>
      </c>
      <c r="B1599" s="2" t="s">
        <v>7513</v>
      </c>
      <c r="C1599" s="2"/>
      <c r="D1599" s="2" t="s">
        <v>7514</v>
      </c>
      <c r="E1599" s="2" t="s">
        <v>39</v>
      </c>
      <c r="F1599" s="2"/>
      <c r="G1599" s="2"/>
      <c r="H1599" s="2" t="s">
        <v>216</v>
      </c>
      <c r="I1599" s="3">
        <f t="shared" si="24"/>
        <v>344</v>
      </c>
    </row>
    <row r="1600" spans="1:9" ht="48" x14ac:dyDescent="0.3">
      <c r="A1600" s="2" t="s">
        <v>146</v>
      </c>
      <c r="B1600" s="2" t="s">
        <v>7515</v>
      </c>
      <c r="C1600" s="2" t="s">
        <v>57</v>
      </c>
      <c r="D1600" s="2" t="s">
        <v>8915</v>
      </c>
      <c r="E1600" s="2" t="s">
        <v>2709</v>
      </c>
      <c r="F1600" s="2" t="s">
        <v>1778</v>
      </c>
      <c r="G1600" s="2" t="s">
        <v>1717</v>
      </c>
      <c r="H1600" s="2"/>
      <c r="I1600" s="3">
        <f t="shared" si="24"/>
        <v>342</v>
      </c>
    </row>
    <row r="1601" spans="1:9" ht="48" x14ac:dyDescent="0.3">
      <c r="A1601" s="2" t="s">
        <v>146</v>
      </c>
      <c r="B1601" s="2" t="s">
        <v>7519</v>
      </c>
      <c r="C1601" s="2"/>
      <c r="D1601" s="2" t="s">
        <v>7520</v>
      </c>
      <c r="E1601" s="2" t="s">
        <v>39</v>
      </c>
      <c r="F1601" s="2"/>
      <c r="G1601" s="2"/>
      <c r="H1601" s="2" t="s">
        <v>194</v>
      </c>
      <c r="I1601" s="3">
        <f t="shared" si="24"/>
        <v>345</v>
      </c>
    </row>
    <row r="1602" spans="1:9" ht="48" x14ac:dyDescent="0.3">
      <c r="A1602" s="2" t="s">
        <v>146</v>
      </c>
      <c r="B1602" s="2" t="s">
        <v>7525</v>
      </c>
      <c r="C1602" s="2" t="s">
        <v>2057</v>
      </c>
      <c r="D1602" s="2" t="s">
        <v>7526</v>
      </c>
      <c r="E1602" s="2" t="s">
        <v>4235</v>
      </c>
      <c r="F1602" s="2"/>
      <c r="G1602" s="2"/>
      <c r="H1602" s="2"/>
      <c r="I1602" s="3">
        <f t="shared" ref="I1602:I1665" si="25">LEN(D1602)</f>
        <v>346</v>
      </c>
    </row>
    <row r="1603" spans="1:9" ht="48" x14ac:dyDescent="0.3">
      <c r="A1603" s="2" t="s">
        <v>146</v>
      </c>
      <c r="B1603" s="2" t="s">
        <v>2923</v>
      </c>
      <c r="C1603" s="2" t="s">
        <v>7527</v>
      </c>
      <c r="D1603" s="2" t="s">
        <v>8916</v>
      </c>
      <c r="E1603" s="2" t="s">
        <v>39</v>
      </c>
      <c r="F1603" s="2" t="s">
        <v>4841</v>
      </c>
      <c r="G1603" s="2" t="s">
        <v>1717</v>
      </c>
      <c r="H1603" s="2"/>
      <c r="I1603" s="3">
        <f t="shared" si="25"/>
        <v>344</v>
      </c>
    </row>
    <row r="1604" spans="1:9" ht="48" x14ac:dyDescent="0.3">
      <c r="A1604" s="2" t="s">
        <v>146</v>
      </c>
      <c r="B1604" s="2" t="s">
        <v>7528</v>
      </c>
      <c r="C1604" s="2" t="s">
        <v>4902</v>
      </c>
      <c r="D1604" s="2" t="s">
        <v>7529</v>
      </c>
      <c r="E1604" s="2" t="s">
        <v>39</v>
      </c>
      <c r="F1604" s="2"/>
      <c r="G1604" s="2"/>
      <c r="H1604" s="2"/>
      <c r="I1604" s="3">
        <f t="shared" si="25"/>
        <v>346</v>
      </c>
    </row>
    <row r="1605" spans="1:9" ht="48" x14ac:dyDescent="0.3">
      <c r="A1605" s="2" t="s">
        <v>146</v>
      </c>
      <c r="B1605" s="2" t="s">
        <v>6461</v>
      </c>
      <c r="C1605" s="2" t="s">
        <v>7535</v>
      </c>
      <c r="D1605" s="2" t="s">
        <v>8917</v>
      </c>
      <c r="E1605" s="2"/>
      <c r="F1605" s="2" t="s">
        <v>1778</v>
      </c>
      <c r="G1605" s="2" t="s">
        <v>4507</v>
      </c>
      <c r="H1605" s="2"/>
      <c r="I1605" s="3">
        <f t="shared" si="25"/>
        <v>345</v>
      </c>
    </row>
    <row r="1606" spans="1:9" ht="48" x14ac:dyDescent="0.3">
      <c r="A1606" s="2" t="s">
        <v>146</v>
      </c>
      <c r="B1606" s="2" t="s">
        <v>7537</v>
      </c>
      <c r="C1606" s="2" t="s">
        <v>250</v>
      </c>
      <c r="D1606" s="2" t="s">
        <v>8918</v>
      </c>
      <c r="E1606" s="2" t="s">
        <v>39</v>
      </c>
      <c r="F1606" s="2" t="s">
        <v>350</v>
      </c>
      <c r="G1606" s="2" t="s">
        <v>1717</v>
      </c>
      <c r="H1606" s="2"/>
      <c r="I1606" s="3">
        <f t="shared" si="25"/>
        <v>345</v>
      </c>
    </row>
    <row r="1607" spans="1:9" ht="48" x14ac:dyDescent="0.3">
      <c r="A1607" s="2" t="s">
        <v>146</v>
      </c>
      <c r="B1607" s="2" t="s">
        <v>7540</v>
      </c>
      <c r="C1607" s="2" t="s">
        <v>95</v>
      </c>
      <c r="D1607" s="2" t="s">
        <v>7541</v>
      </c>
      <c r="E1607" s="2" t="s">
        <v>39</v>
      </c>
      <c r="F1607" s="2"/>
      <c r="G1607" s="2"/>
      <c r="H1607" s="2" t="s">
        <v>216</v>
      </c>
      <c r="I1607" s="3">
        <f t="shared" si="25"/>
        <v>348</v>
      </c>
    </row>
    <row r="1608" spans="1:9" ht="48" x14ac:dyDescent="0.3">
      <c r="A1608" s="2" t="s">
        <v>146</v>
      </c>
      <c r="B1608" s="2" t="s">
        <v>4685</v>
      </c>
      <c r="C1608" s="2" t="s">
        <v>491</v>
      </c>
      <c r="D1608" s="2" t="s">
        <v>7546</v>
      </c>
      <c r="E1608" s="2" t="s">
        <v>39</v>
      </c>
      <c r="F1608" s="2"/>
      <c r="G1608" s="2"/>
      <c r="H1608" s="2"/>
      <c r="I1608" s="3">
        <f t="shared" si="25"/>
        <v>348</v>
      </c>
    </row>
    <row r="1609" spans="1:9" ht="48" x14ac:dyDescent="0.3">
      <c r="A1609" s="2" t="s">
        <v>146</v>
      </c>
      <c r="B1609" s="2" t="s">
        <v>7552</v>
      </c>
      <c r="C1609" s="2" t="s">
        <v>250</v>
      </c>
      <c r="D1609" s="2" t="s">
        <v>8919</v>
      </c>
      <c r="E1609" s="2" t="s">
        <v>39</v>
      </c>
      <c r="F1609" s="2" t="s">
        <v>350</v>
      </c>
      <c r="G1609" s="2" t="s">
        <v>350</v>
      </c>
      <c r="H1609" s="2"/>
      <c r="I1609" s="3">
        <f t="shared" si="25"/>
        <v>347</v>
      </c>
    </row>
    <row r="1610" spans="1:9" ht="48" x14ac:dyDescent="0.3">
      <c r="A1610" s="2" t="s">
        <v>146</v>
      </c>
      <c r="B1610" s="2" t="s">
        <v>7554</v>
      </c>
      <c r="C1610" s="2" t="s">
        <v>896</v>
      </c>
      <c r="D1610" s="2" t="s">
        <v>7555</v>
      </c>
      <c r="E1610" s="2" t="s">
        <v>3209</v>
      </c>
      <c r="F1610" s="2"/>
      <c r="G1610" s="2" t="s">
        <v>1717</v>
      </c>
      <c r="H1610" s="2" t="s">
        <v>898</v>
      </c>
      <c r="I1610" s="3">
        <f t="shared" si="25"/>
        <v>351</v>
      </c>
    </row>
    <row r="1611" spans="1:9" ht="48" x14ac:dyDescent="0.3">
      <c r="A1611" s="2" t="s">
        <v>146</v>
      </c>
      <c r="B1611" s="2" t="s">
        <v>7558</v>
      </c>
      <c r="C1611" s="2" t="s">
        <v>4797</v>
      </c>
      <c r="D1611" s="2" t="s">
        <v>8920</v>
      </c>
      <c r="E1611" s="2" t="s">
        <v>39</v>
      </c>
      <c r="F1611" s="2" t="s">
        <v>1778</v>
      </c>
      <c r="G1611" s="2" t="s">
        <v>1717</v>
      </c>
      <c r="H1611" s="2"/>
      <c r="I1611" s="3">
        <f t="shared" si="25"/>
        <v>350</v>
      </c>
    </row>
    <row r="1612" spans="1:9" ht="48" x14ac:dyDescent="0.3">
      <c r="A1612" s="2" t="s">
        <v>146</v>
      </c>
      <c r="B1612" s="2" t="s">
        <v>7559</v>
      </c>
      <c r="C1612" s="3" t="s">
        <v>911</v>
      </c>
      <c r="D1612" s="2" t="s">
        <v>7560</v>
      </c>
      <c r="E1612" s="2" t="s">
        <v>5307</v>
      </c>
      <c r="F1612" s="2"/>
      <c r="G1612" s="2"/>
      <c r="H1612" s="2"/>
      <c r="I1612" s="3">
        <f t="shared" si="25"/>
        <v>352</v>
      </c>
    </row>
    <row r="1613" spans="1:9" ht="48" x14ac:dyDescent="0.3">
      <c r="A1613" s="2" t="s">
        <v>146</v>
      </c>
      <c r="B1613" s="2" t="s">
        <v>7563</v>
      </c>
      <c r="C1613" s="2" t="s">
        <v>116</v>
      </c>
      <c r="D1613" s="2" t="s">
        <v>7564</v>
      </c>
      <c r="E1613" s="2" t="s">
        <v>39</v>
      </c>
      <c r="F1613" s="2"/>
      <c r="G1613" s="2"/>
      <c r="H1613" s="2"/>
      <c r="I1613" s="3">
        <f t="shared" si="25"/>
        <v>352</v>
      </c>
    </row>
    <row r="1614" spans="1:9" ht="48" x14ac:dyDescent="0.3">
      <c r="A1614" s="2" t="s">
        <v>146</v>
      </c>
      <c r="B1614" s="2" t="s">
        <v>7566</v>
      </c>
      <c r="C1614" s="3" t="s">
        <v>911</v>
      </c>
      <c r="D1614" s="2" t="s">
        <v>8921</v>
      </c>
      <c r="E1614" s="2" t="s">
        <v>39</v>
      </c>
      <c r="F1614" s="2" t="s">
        <v>3082</v>
      </c>
      <c r="G1614" s="2" t="s">
        <v>1717</v>
      </c>
      <c r="H1614" s="2"/>
      <c r="I1614" s="3">
        <f t="shared" si="25"/>
        <v>351</v>
      </c>
    </row>
    <row r="1615" spans="1:9" ht="48" x14ac:dyDescent="0.3">
      <c r="A1615" s="2" t="s">
        <v>146</v>
      </c>
      <c r="B1615" s="2" t="s">
        <v>7569</v>
      </c>
      <c r="C1615" s="2"/>
      <c r="D1615" s="2" t="s">
        <v>7570</v>
      </c>
      <c r="E1615" s="2" t="s">
        <v>39</v>
      </c>
      <c r="F1615" s="2"/>
      <c r="G1615" s="2"/>
      <c r="H1615" s="2"/>
      <c r="I1615" s="3">
        <f t="shared" si="25"/>
        <v>353</v>
      </c>
    </row>
    <row r="1616" spans="1:9" ht="48" x14ac:dyDescent="0.3">
      <c r="A1616" s="2" t="s">
        <v>146</v>
      </c>
      <c r="B1616" s="2" t="s">
        <v>7574</v>
      </c>
      <c r="C1616" s="2" t="s">
        <v>389</v>
      </c>
      <c r="D1616" s="2" t="s">
        <v>7575</v>
      </c>
      <c r="E1616" s="2" t="s">
        <v>39</v>
      </c>
      <c r="F1616" s="2"/>
      <c r="G1616" s="2"/>
      <c r="H1616" s="2" t="s">
        <v>646</v>
      </c>
      <c r="I1616" s="3">
        <f t="shared" si="25"/>
        <v>354</v>
      </c>
    </row>
    <row r="1617" spans="1:9" ht="48" x14ac:dyDescent="0.3">
      <c r="A1617" s="2" t="s">
        <v>146</v>
      </c>
      <c r="B1617" s="2" t="s">
        <v>2637</v>
      </c>
      <c r="C1617" s="2"/>
      <c r="D1617" s="2" t="s">
        <v>8922</v>
      </c>
      <c r="E1617" s="2" t="s">
        <v>1188</v>
      </c>
      <c r="F1617" s="2" t="s">
        <v>4117</v>
      </c>
      <c r="G1617" s="2" t="s">
        <v>350</v>
      </c>
      <c r="H1617" s="2"/>
      <c r="I1617" s="3">
        <f t="shared" si="25"/>
        <v>353</v>
      </c>
    </row>
    <row r="1618" spans="1:9" ht="48" x14ac:dyDescent="0.3">
      <c r="A1618" s="2" t="s">
        <v>146</v>
      </c>
      <c r="B1618" s="2" t="s">
        <v>7590</v>
      </c>
      <c r="C1618" s="2" t="s">
        <v>7591</v>
      </c>
      <c r="D1618" s="2" t="s">
        <v>7592</v>
      </c>
      <c r="E1618" s="2" t="s">
        <v>5335</v>
      </c>
      <c r="F1618" s="2"/>
      <c r="G1618" s="2"/>
      <c r="H1618" s="2"/>
      <c r="I1618" s="3">
        <f t="shared" si="25"/>
        <v>356</v>
      </c>
    </row>
    <row r="1619" spans="1:9" ht="48" x14ac:dyDescent="0.3">
      <c r="A1619" s="2" t="s">
        <v>146</v>
      </c>
      <c r="B1619" s="2" t="s">
        <v>7593</v>
      </c>
      <c r="C1619" s="2"/>
      <c r="D1619" s="2" t="s">
        <v>8923</v>
      </c>
      <c r="E1619" s="2" t="s">
        <v>39</v>
      </c>
      <c r="F1619" s="2" t="s">
        <v>350</v>
      </c>
      <c r="G1619" s="2" t="s">
        <v>350</v>
      </c>
      <c r="H1619" s="2"/>
      <c r="I1619" s="3">
        <f t="shared" si="25"/>
        <v>354</v>
      </c>
    </row>
    <row r="1620" spans="1:9" ht="48" x14ac:dyDescent="0.3">
      <c r="A1620" s="2" t="s">
        <v>146</v>
      </c>
      <c r="B1620" s="2" t="s">
        <v>7596</v>
      </c>
      <c r="C1620" s="2"/>
      <c r="D1620" s="2" t="s">
        <v>7597</v>
      </c>
      <c r="E1620" s="2" t="s">
        <v>39</v>
      </c>
      <c r="F1620" s="2"/>
      <c r="G1620" s="2"/>
      <c r="H1620" s="2" t="s">
        <v>537</v>
      </c>
      <c r="I1620" s="3">
        <f t="shared" si="25"/>
        <v>357</v>
      </c>
    </row>
    <row r="1621" spans="1:9" ht="48" x14ac:dyDescent="0.3">
      <c r="A1621" s="2" t="s">
        <v>146</v>
      </c>
      <c r="B1621" s="2" t="s">
        <v>7600</v>
      </c>
      <c r="C1621" s="2" t="s">
        <v>544</v>
      </c>
      <c r="D1621" s="2" t="s">
        <v>7601</v>
      </c>
      <c r="E1621" s="2" t="s">
        <v>39</v>
      </c>
      <c r="F1621" s="2"/>
      <c r="G1621" s="2"/>
      <c r="H1621" s="2"/>
      <c r="I1621" s="3">
        <f t="shared" si="25"/>
        <v>358</v>
      </c>
    </row>
    <row r="1622" spans="1:9" ht="48" x14ac:dyDescent="0.3">
      <c r="A1622" s="2" t="s">
        <v>146</v>
      </c>
      <c r="B1622" s="2" t="s">
        <v>7602</v>
      </c>
      <c r="C1622" s="2" t="s">
        <v>98</v>
      </c>
      <c r="D1622" s="2" t="s">
        <v>7603</v>
      </c>
      <c r="E1622" s="2" t="s">
        <v>211</v>
      </c>
      <c r="F1622" s="2"/>
      <c r="G1622" s="2"/>
      <c r="H1622" s="2"/>
      <c r="I1622" s="3">
        <f t="shared" si="25"/>
        <v>358</v>
      </c>
    </row>
    <row r="1623" spans="1:9" ht="48" x14ac:dyDescent="0.3">
      <c r="A1623" s="2" t="s">
        <v>146</v>
      </c>
      <c r="B1623" s="2" t="s">
        <v>2750</v>
      </c>
      <c r="C1623" s="2" t="s">
        <v>911</v>
      </c>
      <c r="D1623" s="2" t="s">
        <v>7610</v>
      </c>
      <c r="E1623" s="2" t="s">
        <v>1494</v>
      </c>
      <c r="F1623" s="2"/>
      <c r="G1623" s="2"/>
      <c r="H1623" s="2" t="s">
        <v>898</v>
      </c>
      <c r="I1623" s="3">
        <f t="shared" si="25"/>
        <v>358</v>
      </c>
    </row>
    <row r="1624" spans="1:9" ht="48" x14ac:dyDescent="0.3">
      <c r="A1624" s="2" t="s">
        <v>146</v>
      </c>
      <c r="B1624" s="2" t="s">
        <v>7611</v>
      </c>
      <c r="C1624" s="2"/>
      <c r="D1624" s="2" t="s">
        <v>7612</v>
      </c>
      <c r="E1624" s="2" t="s">
        <v>39</v>
      </c>
      <c r="F1624" s="2"/>
      <c r="G1624" s="2"/>
      <c r="H1624" s="2" t="s">
        <v>646</v>
      </c>
      <c r="I1624" s="3">
        <f t="shared" si="25"/>
        <v>359</v>
      </c>
    </row>
    <row r="1625" spans="1:9" ht="48" x14ac:dyDescent="0.3">
      <c r="A1625" s="2" t="s">
        <v>146</v>
      </c>
      <c r="B1625" s="2" t="s">
        <v>7615</v>
      </c>
      <c r="C1625" s="2" t="s">
        <v>7616</v>
      </c>
      <c r="D1625" s="2" t="s">
        <v>8924</v>
      </c>
      <c r="E1625" s="2" t="s">
        <v>39</v>
      </c>
      <c r="F1625" s="2" t="s">
        <v>1778</v>
      </c>
      <c r="G1625" s="2" t="s">
        <v>1717</v>
      </c>
      <c r="H1625" s="2" t="s">
        <v>86</v>
      </c>
      <c r="I1625" s="3">
        <f t="shared" si="25"/>
        <v>357</v>
      </c>
    </row>
    <row r="1626" spans="1:9" ht="48" x14ac:dyDescent="0.3">
      <c r="A1626" s="2" t="s">
        <v>146</v>
      </c>
      <c r="B1626" s="2" t="s">
        <v>7617</v>
      </c>
      <c r="C1626" s="2" t="s">
        <v>7618</v>
      </c>
      <c r="D1626" s="2" t="s">
        <v>7619</v>
      </c>
      <c r="E1626" s="2" t="s">
        <v>39</v>
      </c>
      <c r="F1626" s="2"/>
      <c r="G1626" s="2" t="s">
        <v>1717</v>
      </c>
      <c r="H1626" s="2"/>
      <c r="I1626" s="3">
        <f t="shared" si="25"/>
        <v>359</v>
      </c>
    </row>
    <row r="1627" spans="1:9" ht="48" x14ac:dyDescent="0.3">
      <c r="A1627" s="2" t="s">
        <v>146</v>
      </c>
      <c r="B1627" s="2" t="s">
        <v>7623</v>
      </c>
      <c r="C1627" s="2" t="s">
        <v>7624</v>
      </c>
      <c r="D1627" s="2" t="s">
        <v>8925</v>
      </c>
      <c r="E1627" s="2" t="s">
        <v>1272</v>
      </c>
      <c r="F1627" s="2" t="s">
        <v>3082</v>
      </c>
      <c r="G1627" s="2" t="s">
        <v>1717</v>
      </c>
      <c r="H1627" s="2" t="s">
        <v>898</v>
      </c>
      <c r="I1627" s="3">
        <f t="shared" si="25"/>
        <v>359</v>
      </c>
    </row>
    <row r="1628" spans="1:9" ht="48" x14ac:dyDescent="0.3">
      <c r="A1628" s="2" t="s">
        <v>146</v>
      </c>
      <c r="B1628" s="2" t="s">
        <v>7627</v>
      </c>
      <c r="C1628" s="2"/>
      <c r="D1628" s="2" t="s">
        <v>7628</v>
      </c>
      <c r="E1628" s="2" t="s">
        <v>39</v>
      </c>
      <c r="F1628" s="2"/>
      <c r="G1628" s="2"/>
      <c r="H1628" s="2"/>
      <c r="I1628" s="3">
        <f t="shared" si="25"/>
        <v>361</v>
      </c>
    </row>
    <row r="1629" spans="1:9" ht="48" x14ac:dyDescent="0.3">
      <c r="A1629" s="2" t="s">
        <v>146</v>
      </c>
      <c r="B1629" s="2" t="s">
        <v>7634</v>
      </c>
      <c r="C1629" s="2" t="s">
        <v>1354</v>
      </c>
      <c r="D1629" s="2" t="s">
        <v>7635</v>
      </c>
      <c r="E1629" s="2" t="s">
        <v>1188</v>
      </c>
      <c r="F1629" s="2"/>
      <c r="G1629" s="2"/>
      <c r="H1629" s="2" t="s">
        <v>194</v>
      </c>
      <c r="I1629" s="3">
        <f t="shared" si="25"/>
        <v>362</v>
      </c>
    </row>
    <row r="1630" spans="1:9" ht="48" x14ac:dyDescent="0.3">
      <c r="A1630" s="2" t="s">
        <v>146</v>
      </c>
      <c r="B1630" s="2" t="s">
        <v>7636</v>
      </c>
      <c r="C1630" s="2" t="s">
        <v>95</v>
      </c>
      <c r="D1630" s="2" t="s">
        <v>7637</v>
      </c>
      <c r="E1630" s="2" t="s">
        <v>39</v>
      </c>
      <c r="F1630" s="2"/>
      <c r="G1630" s="2"/>
      <c r="H1630" s="2"/>
      <c r="I1630" s="3">
        <f t="shared" si="25"/>
        <v>363</v>
      </c>
    </row>
    <row r="1631" spans="1:9" ht="48" x14ac:dyDescent="0.3">
      <c r="A1631" s="2" t="s">
        <v>146</v>
      </c>
      <c r="B1631" s="2" t="s">
        <v>7644</v>
      </c>
      <c r="C1631" s="2" t="s">
        <v>7645</v>
      </c>
      <c r="D1631" s="2" t="s">
        <v>8926</v>
      </c>
      <c r="E1631" s="2" t="s">
        <v>39</v>
      </c>
      <c r="F1631" s="2" t="s">
        <v>1778</v>
      </c>
      <c r="G1631" s="2" t="s">
        <v>1717</v>
      </c>
      <c r="H1631" s="2" t="s">
        <v>3494</v>
      </c>
      <c r="I1631" s="3">
        <f t="shared" si="25"/>
        <v>363</v>
      </c>
    </row>
    <row r="1632" spans="1:9" ht="48" x14ac:dyDescent="0.3">
      <c r="A1632" s="2" t="s">
        <v>146</v>
      </c>
      <c r="B1632" s="2" t="s">
        <v>4783</v>
      </c>
      <c r="C1632" s="2" t="s">
        <v>515</v>
      </c>
      <c r="D1632" s="2" t="s">
        <v>7661</v>
      </c>
      <c r="E1632" s="2" t="s">
        <v>39</v>
      </c>
      <c r="F1632" s="2"/>
      <c r="G1632" s="2"/>
      <c r="H1632" s="2"/>
      <c r="I1632" s="3">
        <f t="shared" si="25"/>
        <v>369</v>
      </c>
    </row>
    <row r="1633" spans="1:9" ht="48" x14ac:dyDescent="0.3">
      <c r="A1633" s="2" t="s">
        <v>146</v>
      </c>
      <c r="B1633" s="2" t="s">
        <v>4404</v>
      </c>
      <c r="C1633" s="2" t="s">
        <v>788</v>
      </c>
      <c r="D1633" s="2" t="s">
        <v>7664</v>
      </c>
      <c r="E1633" s="2" t="s">
        <v>39</v>
      </c>
      <c r="F1633" s="2"/>
      <c r="G1633" s="2"/>
      <c r="H1633" s="2"/>
      <c r="I1633" s="3">
        <f t="shared" si="25"/>
        <v>369</v>
      </c>
    </row>
    <row r="1634" spans="1:9" ht="48" x14ac:dyDescent="0.3">
      <c r="A1634" s="2" t="s">
        <v>146</v>
      </c>
      <c r="B1634" s="2" t="s">
        <v>7665</v>
      </c>
      <c r="C1634" s="2" t="s">
        <v>691</v>
      </c>
      <c r="D1634" s="2" t="s">
        <v>7666</v>
      </c>
      <c r="E1634" s="2" t="s">
        <v>39</v>
      </c>
      <c r="F1634" s="2"/>
      <c r="G1634" s="2"/>
      <c r="H1634" s="2"/>
      <c r="I1634" s="3">
        <f t="shared" si="25"/>
        <v>370</v>
      </c>
    </row>
    <row r="1635" spans="1:9" ht="48" x14ac:dyDescent="0.3">
      <c r="A1635" s="2" t="s">
        <v>146</v>
      </c>
      <c r="B1635" s="2" t="s">
        <v>7670</v>
      </c>
      <c r="C1635" s="3" t="s">
        <v>7671</v>
      </c>
      <c r="D1635" s="2" t="s">
        <v>8927</v>
      </c>
      <c r="E1635" s="2" t="s">
        <v>39</v>
      </c>
      <c r="F1635" s="2" t="s">
        <v>3082</v>
      </c>
      <c r="G1635" s="2" t="s">
        <v>1717</v>
      </c>
      <c r="H1635" s="2"/>
      <c r="I1635" s="3">
        <f t="shared" si="25"/>
        <v>369</v>
      </c>
    </row>
    <row r="1636" spans="1:9" ht="48" x14ac:dyDescent="0.3">
      <c r="A1636" s="2" t="s">
        <v>146</v>
      </c>
      <c r="B1636" s="2" t="s">
        <v>7674</v>
      </c>
      <c r="C1636" s="2"/>
      <c r="D1636" s="2" t="s">
        <v>8928</v>
      </c>
      <c r="E1636" s="2" t="s">
        <v>1188</v>
      </c>
      <c r="F1636" s="2" t="s">
        <v>4117</v>
      </c>
      <c r="G1636" s="2" t="s">
        <v>1717</v>
      </c>
      <c r="H1636" s="2"/>
      <c r="I1636" s="3">
        <f t="shared" si="25"/>
        <v>369</v>
      </c>
    </row>
    <row r="1637" spans="1:9" ht="48" x14ac:dyDescent="0.3">
      <c r="A1637" s="2" t="s">
        <v>146</v>
      </c>
      <c r="B1637" s="2" t="s">
        <v>7675</v>
      </c>
      <c r="C1637" s="2" t="s">
        <v>1504</v>
      </c>
      <c r="D1637" s="2" t="s">
        <v>8929</v>
      </c>
      <c r="E1637" s="2" t="s">
        <v>7676</v>
      </c>
      <c r="F1637" s="2" t="s">
        <v>4117</v>
      </c>
      <c r="G1637" s="2" t="s">
        <v>1717</v>
      </c>
      <c r="H1637" s="2" t="s">
        <v>194</v>
      </c>
      <c r="I1637" s="3">
        <f t="shared" si="25"/>
        <v>369</v>
      </c>
    </row>
    <row r="1638" spans="1:9" ht="48" x14ac:dyDescent="0.3">
      <c r="A1638" s="2" t="s">
        <v>146</v>
      </c>
      <c r="B1638" s="2" t="s">
        <v>7680</v>
      </c>
      <c r="C1638" s="2" t="s">
        <v>896</v>
      </c>
      <c r="D1638" s="2" t="s">
        <v>8930</v>
      </c>
      <c r="E1638" s="2" t="s">
        <v>5200</v>
      </c>
      <c r="F1638" s="2" t="s">
        <v>4117</v>
      </c>
      <c r="G1638" s="2" t="s">
        <v>1717</v>
      </c>
      <c r="H1638" s="2" t="s">
        <v>898</v>
      </c>
      <c r="I1638" s="3">
        <f t="shared" si="25"/>
        <v>370</v>
      </c>
    </row>
    <row r="1639" spans="1:9" ht="48" x14ac:dyDescent="0.3">
      <c r="A1639" s="2" t="s">
        <v>146</v>
      </c>
      <c r="B1639" s="2" t="s">
        <v>7681</v>
      </c>
      <c r="C1639" s="2"/>
      <c r="D1639" s="2" t="s">
        <v>7682</v>
      </c>
      <c r="E1639" s="2" t="s">
        <v>39</v>
      </c>
      <c r="F1639" s="2"/>
      <c r="G1639" s="2"/>
      <c r="H1639" s="2"/>
      <c r="I1639" s="3">
        <f t="shared" si="25"/>
        <v>372</v>
      </c>
    </row>
    <row r="1640" spans="1:9" ht="48" x14ac:dyDescent="0.3">
      <c r="A1640" s="2" t="s">
        <v>146</v>
      </c>
      <c r="B1640" s="2" t="s">
        <v>7683</v>
      </c>
      <c r="C1640" s="2"/>
      <c r="D1640" s="2" t="s">
        <v>7684</v>
      </c>
      <c r="E1640" s="2" t="s">
        <v>39</v>
      </c>
      <c r="F1640" s="2"/>
      <c r="G1640" s="2"/>
      <c r="H1640" s="2"/>
      <c r="I1640" s="3">
        <f t="shared" si="25"/>
        <v>372</v>
      </c>
    </row>
    <row r="1641" spans="1:9" ht="48" x14ac:dyDescent="0.3">
      <c r="A1641" s="2" t="s">
        <v>146</v>
      </c>
      <c r="B1641" s="2" t="s">
        <v>7688</v>
      </c>
      <c r="C1641" s="2" t="s">
        <v>95</v>
      </c>
      <c r="D1641" s="2" t="s">
        <v>7689</v>
      </c>
      <c r="E1641" s="2" t="s">
        <v>39</v>
      </c>
      <c r="F1641" s="2"/>
      <c r="G1641" s="2"/>
      <c r="H1641" s="2" t="s">
        <v>646</v>
      </c>
      <c r="I1641" s="3">
        <f t="shared" si="25"/>
        <v>372</v>
      </c>
    </row>
    <row r="1642" spans="1:9" ht="48" x14ac:dyDescent="0.3">
      <c r="A1642" s="2" t="s">
        <v>146</v>
      </c>
      <c r="B1642" s="2" t="s">
        <v>7691</v>
      </c>
      <c r="C1642" s="2"/>
      <c r="D1642" s="2" t="s">
        <v>7692</v>
      </c>
      <c r="E1642" s="2" t="s">
        <v>39</v>
      </c>
      <c r="F1642" s="2"/>
      <c r="G1642" s="2" t="s">
        <v>3082</v>
      </c>
      <c r="H1642" s="2"/>
      <c r="I1642" s="3">
        <f t="shared" si="25"/>
        <v>373</v>
      </c>
    </row>
    <row r="1643" spans="1:9" ht="48" x14ac:dyDescent="0.3">
      <c r="A1643" s="2" t="s">
        <v>146</v>
      </c>
      <c r="B1643" s="2" t="s">
        <v>7695</v>
      </c>
      <c r="C1643" s="2" t="s">
        <v>2531</v>
      </c>
      <c r="D1643" s="2" t="s">
        <v>8931</v>
      </c>
      <c r="E1643" s="2" t="s">
        <v>39</v>
      </c>
      <c r="F1643" s="2" t="s">
        <v>2281</v>
      </c>
      <c r="G1643" s="2" t="s">
        <v>1717</v>
      </c>
      <c r="H1643" s="2"/>
      <c r="I1643" s="3">
        <f t="shared" si="25"/>
        <v>372</v>
      </c>
    </row>
    <row r="1644" spans="1:9" ht="48" x14ac:dyDescent="0.3">
      <c r="A1644" s="2" t="s">
        <v>146</v>
      </c>
      <c r="B1644" s="2" t="s">
        <v>7437</v>
      </c>
      <c r="C1644" s="2" t="s">
        <v>5920</v>
      </c>
      <c r="D1644" s="2" t="s">
        <v>8932</v>
      </c>
      <c r="E1644" s="2" t="s">
        <v>39</v>
      </c>
      <c r="F1644" s="2" t="s">
        <v>1778</v>
      </c>
      <c r="G1644" s="2" t="s">
        <v>1717</v>
      </c>
      <c r="H1644" s="2"/>
      <c r="I1644" s="3">
        <f t="shared" si="25"/>
        <v>373</v>
      </c>
    </row>
    <row r="1645" spans="1:9" ht="48" x14ac:dyDescent="0.3">
      <c r="A1645" s="2" t="s">
        <v>146</v>
      </c>
      <c r="B1645" s="2" t="s">
        <v>7703</v>
      </c>
      <c r="C1645" s="2" t="s">
        <v>7704</v>
      </c>
      <c r="D1645" s="2" t="s">
        <v>8933</v>
      </c>
      <c r="E1645" s="2" t="s">
        <v>39</v>
      </c>
      <c r="F1645" s="2" t="s">
        <v>350</v>
      </c>
      <c r="G1645" s="2" t="s">
        <v>350</v>
      </c>
      <c r="H1645" s="2"/>
      <c r="I1645" s="3">
        <f t="shared" si="25"/>
        <v>374</v>
      </c>
    </row>
    <row r="1646" spans="1:9" ht="48" x14ac:dyDescent="0.3">
      <c r="A1646" s="2" t="s">
        <v>146</v>
      </c>
      <c r="B1646" s="2" t="s">
        <v>7707</v>
      </c>
      <c r="C1646" s="2" t="s">
        <v>7708</v>
      </c>
      <c r="D1646" s="2" t="s">
        <v>8934</v>
      </c>
      <c r="E1646" s="2" t="s">
        <v>39</v>
      </c>
      <c r="F1646" s="2" t="s">
        <v>1778</v>
      </c>
      <c r="G1646" s="2" t="s">
        <v>1717</v>
      </c>
      <c r="H1646" s="2"/>
      <c r="I1646" s="3">
        <f t="shared" si="25"/>
        <v>376</v>
      </c>
    </row>
    <row r="1647" spans="1:9" ht="48" x14ac:dyDescent="0.3">
      <c r="A1647" s="2" t="s">
        <v>146</v>
      </c>
      <c r="B1647" s="2" t="s">
        <v>7713</v>
      </c>
      <c r="C1647" s="2" t="s">
        <v>437</v>
      </c>
      <c r="D1647" s="2" t="s">
        <v>7714</v>
      </c>
      <c r="E1647" s="2" t="s">
        <v>39</v>
      </c>
      <c r="F1647" s="2"/>
      <c r="G1647" s="2"/>
      <c r="H1647" s="2"/>
      <c r="I1647" s="3">
        <f t="shared" si="25"/>
        <v>379</v>
      </c>
    </row>
    <row r="1648" spans="1:9" ht="48" x14ac:dyDescent="0.3">
      <c r="A1648" s="2" t="s">
        <v>146</v>
      </c>
      <c r="B1648" s="2" t="s">
        <v>7718</v>
      </c>
      <c r="C1648" s="2" t="s">
        <v>6045</v>
      </c>
      <c r="D1648" s="2" t="s">
        <v>7719</v>
      </c>
      <c r="E1648" s="2" t="s">
        <v>39</v>
      </c>
      <c r="F1648" s="2"/>
      <c r="G1648" s="2"/>
      <c r="H1648" s="2" t="s">
        <v>537</v>
      </c>
      <c r="I1648" s="3">
        <f t="shared" si="25"/>
        <v>380</v>
      </c>
    </row>
    <row r="1649" spans="1:9" ht="48" x14ac:dyDescent="0.3">
      <c r="A1649" s="2" t="s">
        <v>146</v>
      </c>
      <c r="B1649" s="2" t="s">
        <v>1630</v>
      </c>
      <c r="C1649" s="2" t="s">
        <v>116</v>
      </c>
      <c r="D1649" s="2" t="s">
        <v>8935</v>
      </c>
      <c r="E1649" s="2" t="s">
        <v>39</v>
      </c>
      <c r="F1649" s="2" t="s">
        <v>1778</v>
      </c>
      <c r="G1649" s="2" t="s">
        <v>1717</v>
      </c>
      <c r="H1649" s="2"/>
      <c r="I1649" s="3">
        <f t="shared" si="25"/>
        <v>379</v>
      </c>
    </row>
    <row r="1650" spans="1:9" ht="48" x14ac:dyDescent="0.3">
      <c r="A1650" s="2" t="s">
        <v>146</v>
      </c>
      <c r="B1650" s="2" t="s">
        <v>1156</v>
      </c>
      <c r="C1650" s="2" t="s">
        <v>332</v>
      </c>
      <c r="D1650" s="2" t="s">
        <v>7723</v>
      </c>
      <c r="E1650" s="2" t="s">
        <v>39</v>
      </c>
      <c r="F1650" s="2"/>
      <c r="G1650" s="2"/>
      <c r="H1650" s="2" t="s">
        <v>1176</v>
      </c>
      <c r="I1650" s="3">
        <f t="shared" si="25"/>
        <v>381</v>
      </c>
    </row>
    <row r="1651" spans="1:9" ht="48" x14ac:dyDescent="0.3">
      <c r="A1651" s="2" t="s">
        <v>146</v>
      </c>
      <c r="B1651" s="2" t="s">
        <v>7724</v>
      </c>
      <c r="C1651" s="2" t="s">
        <v>535</v>
      </c>
      <c r="D1651" s="2" t="s">
        <v>7725</v>
      </c>
      <c r="E1651" s="2" t="s">
        <v>39</v>
      </c>
      <c r="F1651" s="2"/>
      <c r="G1651" s="2"/>
      <c r="H1651" s="2" t="s">
        <v>537</v>
      </c>
      <c r="I1651" s="3">
        <f t="shared" si="25"/>
        <v>381</v>
      </c>
    </row>
    <row r="1652" spans="1:9" ht="48" x14ac:dyDescent="0.3">
      <c r="A1652" s="2" t="s">
        <v>146</v>
      </c>
      <c r="B1652" s="2" t="s">
        <v>7733</v>
      </c>
      <c r="C1652" s="2" t="s">
        <v>544</v>
      </c>
      <c r="D1652" s="2" t="s">
        <v>7734</v>
      </c>
      <c r="E1652" s="2" t="s">
        <v>39</v>
      </c>
      <c r="F1652" s="2"/>
      <c r="G1652" s="2"/>
      <c r="H1652" s="2" t="s">
        <v>646</v>
      </c>
      <c r="I1652" s="3">
        <f t="shared" si="25"/>
        <v>382</v>
      </c>
    </row>
    <row r="1653" spans="1:9" ht="48" x14ac:dyDescent="0.3">
      <c r="A1653" s="2" t="s">
        <v>146</v>
      </c>
      <c r="B1653" s="2" t="s">
        <v>7747</v>
      </c>
      <c r="C1653" s="2" t="s">
        <v>214</v>
      </c>
      <c r="D1653" s="2" t="s">
        <v>7748</v>
      </c>
      <c r="E1653" s="2" t="s">
        <v>39</v>
      </c>
      <c r="F1653" s="2"/>
      <c r="G1653" s="2"/>
      <c r="H1653" s="2"/>
      <c r="I1653" s="3">
        <f t="shared" si="25"/>
        <v>385</v>
      </c>
    </row>
    <row r="1654" spans="1:9" ht="48" x14ac:dyDescent="0.3">
      <c r="A1654" s="2" t="s">
        <v>146</v>
      </c>
      <c r="B1654" s="2" t="s">
        <v>7757</v>
      </c>
      <c r="C1654" s="2" t="s">
        <v>535</v>
      </c>
      <c r="D1654" s="2" t="s">
        <v>7758</v>
      </c>
      <c r="E1654" s="2" t="s">
        <v>39</v>
      </c>
      <c r="F1654" s="2"/>
      <c r="G1654" s="2"/>
      <c r="H1654" s="2" t="s">
        <v>537</v>
      </c>
      <c r="I1654" s="3">
        <f t="shared" si="25"/>
        <v>387</v>
      </c>
    </row>
    <row r="1655" spans="1:9" ht="48" x14ac:dyDescent="0.3">
      <c r="A1655" s="2" t="s">
        <v>146</v>
      </c>
      <c r="B1655" s="2" t="s">
        <v>7759</v>
      </c>
      <c r="C1655" s="2" t="s">
        <v>7760</v>
      </c>
      <c r="D1655" s="2" t="s">
        <v>7761</v>
      </c>
      <c r="E1655" s="2" t="s">
        <v>39</v>
      </c>
      <c r="F1655" s="2"/>
      <c r="G1655" s="2"/>
      <c r="H1655" s="2" t="s">
        <v>646</v>
      </c>
      <c r="I1655" s="3">
        <f t="shared" si="25"/>
        <v>388</v>
      </c>
    </row>
    <row r="1656" spans="1:9" ht="48" x14ac:dyDescent="0.3">
      <c r="A1656" s="2" t="s">
        <v>146</v>
      </c>
      <c r="B1656" s="2" t="s">
        <v>7763</v>
      </c>
      <c r="C1656" s="2" t="s">
        <v>4858</v>
      </c>
      <c r="D1656" s="2" t="s">
        <v>8936</v>
      </c>
      <c r="E1656" s="2" t="s">
        <v>3980</v>
      </c>
      <c r="F1656" s="2" t="s">
        <v>1778</v>
      </c>
      <c r="G1656" s="2" t="s">
        <v>1717</v>
      </c>
      <c r="H1656" s="2" t="s">
        <v>646</v>
      </c>
      <c r="I1656" s="3">
        <f t="shared" si="25"/>
        <v>387</v>
      </c>
    </row>
    <row r="1657" spans="1:9" ht="48" x14ac:dyDescent="0.3">
      <c r="A1657" s="2" t="s">
        <v>146</v>
      </c>
      <c r="B1657" s="2" t="s">
        <v>7765</v>
      </c>
      <c r="C1657" s="2" t="s">
        <v>7766</v>
      </c>
      <c r="D1657" s="2" t="s">
        <v>7767</v>
      </c>
      <c r="E1657" s="2" t="s">
        <v>39</v>
      </c>
      <c r="F1657" s="2"/>
      <c r="G1657" s="2"/>
      <c r="H1657" s="2"/>
      <c r="I1657" s="3">
        <f t="shared" si="25"/>
        <v>390</v>
      </c>
    </row>
    <row r="1658" spans="1:9" ht="48" x14ac:dyDescent="0.3">
      <c r="A1658" s="2" t="s">
        <v>146</v>
      </c>
      <c r="B1658" s="2" t="s">
        <v>7775</v>
      </c>
      <c r="C1658" s="2" t="s">
        <v>198</v>
      </c>
      <c r="D1658" s="2" t="s">
        <v>7776</v>
      </c>
      <c r="E1658" s="2" t="s">
        <v>39</v>
      </c>
      <c r="F1658" s="2"/>
      <c r="G1658" s="2"/>
      <c r="H1658" s="2"/>
      <c r="I1658" s="3">
        <f t="shared" si="25"/>
        <v>391</v>
      </c>
    </row>
    <row r="1659" spans="1:9" ht="48" x14ac:dyDescent="0.3">
      <c r="A1659" s="2" t="s">
        <v>146</v>
      </c>
      <c r="B1659" s="2" t="s">
        <v>7780</v>
      </c>
      <c r="C1659" s="2" t="s">
        <v>4797</v>
      </c>
      <c r="D1659" s="2" t="s">
        <v>8937</v>
      </c>
      <c r="E1659" s="2" t="s">
        <v>2693</v>
      </c>
      <c r="F1659" s="2" t="s">
        <v>1778</v>
      </c>
      <c r="G1659" s="2" t="s">
        <v>1717</v>
      </c>
      <c r="H1659" s="2" t="s">
        <v>1176</v>
      </c>
      <c r="I1659" s="3">
        <f t="shared" si="25"/>
        <v>390</v>
      </c>
    </row>
    <row r="1660" spans="1:9" ht="48" x14ac:dyDescent="0.3">
      <c r="A1660" s="2" t="s">
        <v>146</v>
      </c>
      <c r="B1660" s="2" t="s">
        <v>7787</v>
      </c>
      <c r="C1660" s="2" t="s">
        <v>500</v>
      </c>
      <c r="D1660" s="2" t="s">
        <v>7788</v>
      </c>
      <c r="E1660" s="2" t="s">
        <v>39</v>
      </c>
      <c r="F1660" s="2"/>
      <c r="G1660" s="2" t="s">
        <v>1717</v>
      </c>
      <c r="H1660" s="2"/>
      <c r="I1660" s="3">
        <f t="shared" si="25"/>
        <v>393</v>
      </c>
    </row>
    <row r="1661" spans="1:9" ht="48" x14ac:dyDescent="0.3">
      <c r="A1661" s="2" t="s">
        <v>146</v>
      </c>
      <c r="B1661" s="2" t="s">
        <v>7791</v>
      </c>
      <c r="C1661" s="2"/>
      <c r="D1661" s="2" t="s">
        <v>7792</v>
      </c>
      <c r="E1661" s="2" t="s">
        <v>39</v>
      </c>
      <c r="F1661" s="2"/>
      <c r="G1661" s="2"/>
      <c r="H1661" s="2"/>
      <c r="I1661" s="3">
        <f t="shared" si="25"/>
        <v>395</v>
      </c>
    </row>
    <row r="1662" spans="1:9" ht="48" x14ac:dyDescent="0.3">
      <c r="A1662" s="2" t="s">
        <v>146</v>
      </c>
      <c r="B1662" s="2" t="s">
        <v>7809</v>
      </c>
      <c r="C1662" s="2" t="s">
        <v>7810</v>
      </c>
      <c r="D1662" s="2" t="s">
        <v>8938</v>
      </c>
      <c r="E1662" s="2" t="s">
        <v>39</v>
      </c>
      <c r="F1662" s="2" t="s">
        <v>2281</v>
      </c>
      <c r="G1662" s="2" t="s">
        <v>1717</v>
      </c>
      <c r="H1662" s="2"/>
      <c r="I1662" s="3">
        <f t="shared" si="25"/>
        <v>397</v>
      </c>
    </row>
    <row r="1663" spans="1:9" ht="48" x14ac:dyDescent="0.3">
      <c r="A1663" s="2" t="s">
        <v>146</v>
      </c>
      <c r="B1663" s="2" t="s">
        <v>7819</v>
      </c>
      <c r="C1663" s="2"/>
      <c r="D1663" s="2" t="s">
        <v>7820</v>
      </c>
      <c r="E1663" s="2" t="s">
        <v>39</v>
      </c>
      <c r="F1663" s="2"/>
      <c r="G1663" s="2" t="s">
        <v>1717</v>
      </c>
      <c r="H1663" s="2"/>
      <c r="I1663" s="3">
        <f t="shared" si="25"/>
        <v>403</v>
      </c>
    </row>
    <row r="1664" spans="1:9" ht="48" x14ac:dyDescent="0.3">
      <c r="A1664" s="2" t="s">
        <v>146</v>
      </c>
      <c r="B1664" s="2" t="s">
        <v>7822</v>
      </c>
      <c r="C1664" s="2" t="s">
        <v>275</v>
      </c>
      <c r="D1664" s="2" t="s">
        <v>8939</v>
      </c>
      <c r="E1664" s="2" t="s">
        <v>39</v>
      </c>
      <c r="F1664" s="2" t="s">
        <v>2281</v>
      </c>
      <c r="G1664" s="2" t="s">
        <v>1717</v>
      </c>
      <c r="H1664" s="2"/>
      <c r="I1664" s="3">
        <f t="shared" si="25"/>
        <v>402</v>
      </c>
    </row>
    <row r="1665" spans="1:9" ht="48" x14ac:dyDescent="0.3">
      <c r="A1665" s="2" t="s">
        <v>146</v>
      </c>
      <c r="B1665" s="2" t="s">
        <v>787</v>
      </c>
      <c r="C1665" s="2" t="s">
        <v>788</v>
      </c>
      <c r="D1665" s="2" t="s">
        <v>7823</v>
      </c>
      <c r="E1665" s="2" t="s">
        <v>39</v>
      </c>
      <c r="F1665" s="2"/>
      <c r="G1665" s="2"/>
      <c r="H1665" s="2" t="s">
        <v>1176</v>
      </c>
      <c r="I1665" s="3">
        <f t="shared" si="25"/>
        <v>404</v>
      </c>
    </row>
    <row r="1666" spans="1:9" ht="48" x14ac:dyDescent="0.3">
      <c r="A1666" s="2" t="s">
        <v>146</v>
      </c>
      <c r="B1666" s="2" t="s">
        <v>7830</v>
      </c>
      <c r="C1666" s="2" t="s">
        <v>7831</v>
      </c>
      <c r="D1666" s="2" t="s">
        <v>7832</v>
      </c>
      <c r="E1666" s="2" t="s">
        <v>3545</v>
      </c>
      <c r="F1666" s="2"/>
      <c r="G1666" s="2"/>
      <c r="H1666" s="2" t="s">
        <v>1176</v>
      </c>
      <c r="I1666" s="3">
        <f t="shared" ref="I1666:I1728" si="26">LEN(D1666)</f>
        <v>407</v>
      </c>
    </row>
    <row r="1667" spans="1:9" ht="60" x14ac:dyDescent="0.3">
      <c r="A1667" s="2" t="s">
        <v>146</v>
      </c>
      <c r="B1667" s="2" t="s">
        <v>7849</v>
      </c>
      <c r="C1667" s="2" t="s">
        <v>7850</v>
      </c>
      <c r="D1667" s="2" t="s">
        <v>7851</v>
      </c>
      <c r="E1667" s="2" t="s">
        <v>39</v>
      </c>
      <c r="F1667" s="2"/>
      <c r="G1667" s="2"/>
      <c r="H1667" s="2" t="s">
        <v>194</v>
      </c>
      <c r="I1667" s="3">
        <f t="shared" si="26"/>
        <v>411</v>
      </c>
    </row>
    <row r="1668" spans="1:9" ht="48" x14ac:dyDescent="0.3">
      <c r="A1668" s="2" t="s">
        <v>146</v>
      </c>
      <c r="B1668" s="2" t="s">
        <v>2274</v>
      </c>
      <c r="C1668" s="2" t="s">
        <v>1504</v>
      </c>
      <c r="D1668" s="2" t="s">
        <v>7852</v>
      </c>
      <c r="E1668" s="2" t="s">
        <v>39</v>
      </c>
      <c r="F1668" s="2"/>
      <c r="G1668" s="2"/>
      <c r="H1668" s="2" t="s">
        <v>194</v>
      </c>
      <c r="I1668" s="3">
        <f t="shared" si="26"/>
        <v>412</v>
      </c>
    </row>
    <row r="1669" spans="1:9" ht="60" x14ac:dyDescent="0.3">
      <c r="A1669" s="2" t="s">
        <v>146</v>
      </c>
      <c r="B1669" s="2" t="s">
        <v>7855</v>
      </c>
      <c r="C1669" s="2" t="s">
        <v>181</v>
      </c>
      <c r="D1669" s="2" t="s">
        <v>7856</v>
      </c>
      <c r="E1669" s="2" t="s">
        <v>39</v>
      </c>
      <c r="F1669" s="2"/>
      <c r="G1669" s="2" t="s">
        <v>1717</v>
      </c>
      <c r="H1669" s="2"/>
      <c r="I1669" s="3">
        <f t="shared" si="26"/>
        <v>413</v>
      </c>
    </row>
    <row r="1670" spans="1:9" ht="60" x14ac:dyDescent="0.3">
      <c r="A1670" s="2" t="s">
        <v>146</v>
      </c>
      <c r="B1670" s="2" t="s">
        <v>7858</v>
      </c>
      <c r="C1670" s="2" t="s">
        <v>437</v>
      </c>
      <c r="D1670" s="2" t="s">
        <v>7859</v>
      </c>
      <c r="E1670" s="2" t="s">
        <v>39</v>
      </c>
      <c r="F1670" s="2"/>
      <c r="G1670" s="2"/>
      <c r="H1670" s="2"/>
      <c r="I1670" s="3">
        <f t="shared" si="26"/>
        <v>413</v>
      </c>
    </row>
    <row r="1671" spans="1:9" ht="60" x14ac:dyDescent="0.3">
      <c r="A1671" s="2" t="s">
        <v>146</v>
      </c>
      <c r="B1671" s="2" t="s">
        <v>7860</v>
      </c>
      <c r="C1671" s="2"/>
      <c r="D1671" s="2" t="s">
        <v>7861</v>
      </c>
      <c r="E1671" s="2" t="s">
        <v>39</v>
      </c>
      <c r="F1671" s="2"/>
      <c r="G1671" s="2"/>
      <c r="H1671" s="2"/>
      <c r="I1671" s="3">
        <f t="shared" si="26"/>
        <v>413</v>
      </c>
    </row>
    <row r="1672" spans="1:9" ht="60" x14ac:dyDescent="0.3">
      <c r="A1672" s="2" t="s">
        <v>146</v>
      </c>
      <c r="B1672" s="2" t="s">
        <v>7862</v>
      </c>
      <c r="C1672" s="2" t="s">
        <v>1354</v>
      </c>
      <c r="D1672" s="2" t="s">
        <v>7863</v>
      </c>
      <c r="E1672" s="2" t="s">
        <v>39</v>
      </c>
      <c r="F1672" s="2"/>
      <c r="G1672" s="2"/>
      <c r="H1672" s="2" t="s">
        <v>194</v>
      </c>
      <c r="I1672" s="3">
        <f t="shared" si="26"/>
        <v>414</v>
      </c>
    </row>
    <row r="1673" spans="1:9" ht="48" x14ac:dyDescent="0.3">
      <c r="A1673" s="2" t="s">
        <v>146</v>
      </c>
      <c r="B1673" s="2" t="s">
        <v>7866</v>
      </c>
      <c r="C1673" s="2"/>
      <c r="D1673" s="2" t="s">
        <v>7867</v>
      </c>
      <c r="E1673" s="2" t="s">
        <v>3980</v>
      </c>
      <c r="F1673" s="2"/>
      <c r="G1673" s="2"/>
      <c r="H1673" s="2" t="s">
        <v>1176</v>
      </c>
      <c r="I1673" s="3">
        <f t="shared" si="26"/>
        <v>415</v>
      </c>
    </row>
    <row r="1674" spans="1:9" ht="48" x14ac:dyDescent="0.3">
      <c r="A1674" s="2" t="s">
        <v>146</v>
      </c>
      <c r="B1674" s="2" t="s">
        <v>7868</v>
      </c>
      <c r="C1674" s="2"/>
      <c r="D1674" s="2" t="s">
        <v>7869</v>
      </c>
      <c r="E1674" s="2" t="s">
        <v>39</v>
      </c>
      <c r="F1674" s="2"/>
      <c r="G1674" s="2"/>
      <c r="H1674" s="2"/>
      <c r="I1674" s="3">
        <f t="shared" si="26"/>
        <v>415</v>
      </c>
    </row>
    <row r="1675" spans="1:9" ht="60" x14ac:dyDescent="0.3">
      <c r="A1675" s="2" t="s">
        <v>146</v>
      </c>
      <c r="B1675" s="2" t="s">
        <v>7329</v>
      </c>
      <c r="C1675" s="2" t="s">
        <v>7873</v>
      </c>
      <c r="D1675" s="2" t="s">
        <v>7874</v>
      </c>
      <c r="E1675" s="2" t="s">
        <v>383</v>
      </c>
      <c r="F1675" s="2"/>
      <c r="G1675" s="2"/>
      <c r="H1675" s="2"/>
      <c r="I1675" s="3">
        <f t="shared" si="26"/>
        <v>416</v>
      </c>
    </row>
    <row r="1676" spans="1:9" ht="60" x14ac:dyDescent="0.3">
      <c r="A1676" s="2" t="s">
        <v>146</v>
      </c>
      <c r="B1676" s="2" t="s">
        <v>7875</v>
      </c>
      <c r="C1676" s="2" t="s">
        <v>437</v>
      </c>
      <c r="D1676" s="2" t="s">
        <v>8940</v>
      </c>
      <c r="E1676" s="2" t="s">
        <v>39</v>
      </c>
      <c r="F1676" s="2" t="s">
        <v>3082</v>
      </c>
      <c r="G1676" s="2" t="s">
        <v>4507</v>
      </c>
      <c r="H1676" s="2" t="s">
        <v>646</v>
      </c>
      <c r="I1676" s="3">
        <f t="shared" si="26"/>
        <v>415</v>
      </c>
    </row>
    <row r="1677" spans="1:9" ht="60" x14ac:dyDescent="0.3">
      <c r="A1677" s="2" t="s">
        <v>146</v>
      </c>
      <c r="B1677" s="2" t="s">
        <v>2959</v>
      </c>
      <c r="C1677" s="2" t="s">
        <v>7878</v>
      </c>
      <c r="D1677" s="2" t="s">
        <v>8941</v>
      </c>
      <c r="E1677" s="2" t="s">
        <v>39</v>
      </c>
      <c r="F1677" s="2" t="s">
        <v>1778</v>
      </c>
      <c r="G1677" s="2" t="s">
        <v>1717</v>
      </c>
      <c r="H1677" s="2"/>
      <c r="I1677" s="3">
        <f t="shared" si="26"/>
        <v>418</v>
      </c>
    </row>
    <row r="1678" spans="1:9" ht="60" x14ac:dyDescent="0.3">
      <c r="A1678" s="2" t="s">
        <v>146</v>
      </c>
      <c r="B1678" s="2" t="s">
        <v>7880</v>
      </c>
      <c r="C1678" s="2" t="s">
        <v>2057</v>
      </c>
      <c r="D1678" s="2" t="s">
        <v>7881</v>
      </c>
      <c r="E1678" s="2" t="s">
        <v>3671</v>
      </c>
      <c r="F1678" s="2"/>
      <c r="G1678" s="2"/>
      <c r="H1678" s="2" t="s">
        <v>646</v>
      </c>
      <c r="I1678" s="3">
        <f t="shared" si="26"/>
        <v>421</v>
      </c>
    </row>
    <row r="1679" spans="1:9" ht="60" x14ac:dyDescent="0.3">
      <c r="A1679" s="2" t="s">
        <v>146</v>
      </c>
      <c r="B1679" s="2" t="s">
        <v>7891</v>
      </c>
      <c r="C1679" s="2" t="s">
        <v>515</v>
      </c>
      <c r="D1679" s="2" t="s">
        <v>7892</v>
      </c>
      <c r="E1679" s="2" t="s">
        <v>39</v>
      </c>
      <c r="F1679" s="2"/>
      <c r="G1679" s="2"/>
      <c r="H1679" s="2"/>
      <c r="I1679" s="3">
        <f t="shared" si="26"/>
        <v>422</v>
      </c>
    </row>
    <row r="1680" spans="1:9" ht="60" x14ac:dyDescent="0.3">
      <c r="A1680" s="2" t="s">
        <v>146</v>
      </c>
      <c r="B1680" s="2" t="s">
        <v>7893</v>
      </c>
      <c r="C1680" s="2" t="s">
        <v>214</v>
      </c>
      <c r="D1680" s="2" t="s">
        <v>7894</v>
      </c>
      <c r="E1680" s="2" t="s">
        <v>39</v>
      </c>
      <c r="F1680" s="2"/>
      <c r="G1680" s="2"/>
      <c r="H1680" s="2"/>
      <c r="I1680" s="3">
        <f t="shared" si="26"/>
        <v>423</v>
      </c>
    </row>
    <row r="1681" spans="1:9" ht="60" x14ac:dyDescent="0.3">
      <c r="A1681" s="2" t="s">
        <v>146</v>
      </c>
      <c r="B1681" s="2" t="s">
        <v>7895</v>
      </c>
      <c r="C1681" s="2" t="s">
        <v>116</v>
      </c>
      <c r="D1681" s="2" t="s">
        <v>7896</v>
      </c>
      <c r="E1681" s="2" t="s">
        <v>39</v>
      </c>
      <c r="F1681" s="2"/>
      <c r="G1681" s="2"/>
      <c r="H1681" s="2"/>
      <c r="I1681" s="3">
        <f t="shared" si="26"/>
        <v>423</v>
      </c>
    </row>
    <row r="1682" spans="1:9" ht="60" x14ac:dyDescent="0.3">
      <c r="A1682" s="2" t="s">
        <v>146</v>
      </c>
      <c r="B1682" s="2" t="s">
        <v>7897</v>
      </c>
      <c r="C1682" s="2" t="s">
        <v>535</v>
      </c>
      <c r="D1682" s="2" t="s">
        <v>7898</v>
      </c>
      <c r="E1682" s="2" t="s">
        <v>39</v>
      </c>
      <c r="F1682" s="2"/>
      <c r="G1682" s="2"/>
      <c r="H1682" s="2" t="s">
        <v>216</v>
      </c>
      <c r="I1682" s="3">
        <f t="shared" si="26"/>
        <v>423</v>
      </c>
    </row>
    <row r="1683" spans="1:9" ht="60" x14ac:dyDescent="0.3">
      <c r="A1683" s="2" t="s">
        <v>146</v>
      </c>
      <c r="B1683" s="2" t="s">
        <v>7902</v>
      </c>
      <c r="C1683" s="2" t="s">
        <v>6161</v>
      </c>
      <c r="D1683" s="2" t="s">
        <v>8942</v>
      </c>
      <c r="E1683" s="2" t="s">
        <v>39</v>
      </c>
      <c r="F1683" s="2" t="s">
        <v>1778</v>
      </c>
      <c r="G1683" s="2" t="s">
        <v>1717</v>
      </c>
      <c r="H1683" s="2"/>
      <c r="I1683" s="3">
        <f t="shared" si="26"/>
        <v>422</v>
      </c>
    </row>
    <row r="1684" spans="1:9" ht="60" x14ac:dyDescent="0.3">
      <c r="A1684" s="2" t="s">
        <v>146</v>
      </c>
      <c r="B1684" s="2" t="s">
        <v>7903</v>
      </c>
      <c r="C1684" s="2" t="s">
        <v>2057</v>
      </c>
      <c r="D1684" s="2" t="s">
        <v>7904</v>
      </c>
      <c r="E1684" s="2" t="s">
        <v>2524</v>
      </c>
      <c r="F1684" s="2"/>
      <c r="G1684" s="2"/>
      <c r="H1684" s="2"/>
      <c r="I1684" s="3">
        <f t="shared" si="26"/>
        <v>425</v>
      </c>
    </row>
    <row r="1685" spans="1:9" ht="60" x14ac:dyDescent="0.3">
      <c r="A1685" s="2" t="s">
        <v>146</v>
      </c>
      <c r="B1685" s="2" t="s">
        <v>7908</v>
      </c>
      <c r="C1685" s="2"/>
      <c r="D1685" s="2" t="s">
        <v>7909</v>
      </c>
      <c r="E1685" s="2" t="s">
        <v>39</v>
      </c>
      <c r="F1685" s="2"/>
      <c r="G1685" s="2"/>
      <c r="H1685" s="2" t="s">
        <v>194</v>
      </c>
      <c r="I1685" s="3">
        <f t="shared" si="26"/>
        <v>427</v>
      </c>
    </row>
    <row r="1686" spans="1:9" ht="60" x14ac:dyDescent="0.3">
      <c r="A1686" s="2" t="s">
        <v>146</v>
      </c>
      <c r="B1686" s="2" t="s">
        <v>7913</v>
      </c>
      <c r="C1686" s="2" t="s">
        <v>515</v>
      </c>
      <c r="D1686" s="2" t="s">
        <v>7914</v>
      </c>
      <c r="E1686" s="2" t="s">
        <v>39</v>
      </c>
      <c r="F1686" s="2"/>
      <c r="G1686" s="2"/>
      <c r="H1686" s="2"/>
      <c r="I1686" s="3">
        <f t="shared" si="26"/>
        <v>428</v>
      </c>
    </row>
    <row r="1687" spans="1:9" ht="60" x14ac:dyDescent="0.3">
      <c r="A1687" s="2" t="s">
        <v>146</v>
      </c>
      <c r="B1687" s="2" t="s">
        <v>7922</v>
      </c>
      <c r="C1687" s="2" t="s">
        <v>7744</v>
      </c>
      <c r="D1687" s="2" t="s">
        <v>7923</v>
      </c>
      <c r="E1687" s="2" t="s">
        <v>39</v>
      </c>
      <c r="F1687" s="2"/>
      <c r="G1687" s="2"/>
      <c r="H1687" s="2" t="s">
        <v>537</v>
      </c>
      <c r="I1687" s="3">
        <f t="shared" si="26"/>
        <v>430</v>
      </c>
    </row>
    <row r="1688" spans="1:9" ht="60" x14ac:dyDescent="0.3">
      <c r="A1688" s="2" t="s">
        <v>146</v>
      </c>
      <c r="B1688" s="2" t="s">
        <v>7924</v>
      </c>
      <c r="C1688" s="2" t="s">
        <v>7925</v>
      </c>
      <c r="D1688" s="2" t="s">
        <v>7926</v>
      </c>
      <c r="E1688" s="2" t="s">
        <v>3209</v>
      </c>
      <c r="F1688" s="2"/>
      <c r="G1688" s="2"/>
      <c r="H1688" s="2"/>
      <c r="I1688" s="3">
        <f t="shared" si="26"/>
        <v>431</v>
      </c>
    </row>
    <row r="1689" spans="1:9" ht="60" x14ac:dyDescent="0.3">
      <c r="A1689" s="2" t="s">
        <v>146</v>
      </c>
      <c r="B1689" s="2" t="s">
        <v>7235</v>
      </c>
      <c r="C1689" s="2" t="s">
        <v>6847</v>
      </c>
      <c r="D1689" s="2" t="s">
        <v>7928</v>
      </c>
      <c r="E1689" s="2" t="s">
        <v>39</v>
      </c>
      <c r="F1689" s="2"/>
      <c r="G1689" s="2"/>
      <c r="H1689" s="2"/>
      <c r="I1689" s="3">
        <f t="shared" si="26"/>
        <v>431</v>
      </c>
    </row>
    <row r="1690" spans="1:9" ht="60" x14ac:dyDescent="0.3">
      <c r="A1690" s="2" t="s">
        <v>146</v>
      </c>
      <c r="B1690" s="2" t="s">
        <v>7819</v>
      </c>
      <c r="C1690" s="2"/>
      <c r="D1690" s="2" t="s">
        <v>7930</v>
      </c>
      <c r="E1690" s="2" t="s">
        <v>39</v>
      </c>
      <c r="F1690" s="2"/>
      <c r="G1690" s="2" t="s">
        <v>1717</v>
      </c>
      <c r="H1690" s="2"/>
      <c r="I1690" s="3">
        <f t="shared" si="26"/>
        <v>432</v>
      </c>
    </row>
    <row r="1691" spans="1:9" ht="60" x14ac:dyDescent="0.3">
      <c r="A1691" s="2" t="s">
        <v>146</v>
      </c>
      <c r="B1691" s="2" t="s">
        <v>7931</v>
      </c>
      <c r="C1691" s="2" t="s">
        <v>7932</v>
      </c>
      <c r="D1691" s="2" t="s">
        <v>8943</v>
      </c>
      <c r="E1691" s="2" t="s">
        <v>39</v>
      </c>
      <c r="F1691" s="2" t="s">
        <v>1778</v>
      </c>
      <c r="G1691" s="2" t="s">
        <v>1717</v>
      </c>
      <c r="H1691" s="2"/>
      <c r="I1691" s="3">
        <f t="shared" si="26"/>
        <v>431</v>
      </c>
    </row>
    <row r="1692" spans="1:9" ht="60" x14ac:dyDescent="0.3">
      <c r="A1692" s="2" t="s">
        <v>146</v>
      </c>
      <c r="B1692" s="2" t="s">
        <v>7935</v>
      </c>
      <c r="C1692" s="2"/>
      <c r="D1692" s="2" t="s">
        <v>7936</v>
      </c>
      <c r="E1692" s="2" t="s">
        <v>39</v>
      </c>
      <c r="F1692" s="2"/>
      <c r="G1692" s="2"/>
      <c r="H1692" s="2" t="s">
        <v>194</v>
      </c>
      <c r="I1692" s="3">
        <f t="shared" si="26"/>
        <v>433</v>
      </c>
    </row>
    <row r="1693" spans="1:9" ht="60" x14ac:dyDescent="0.3">
      <c r="A1693" s="2" t="s">
        <v>146</v>
      </c>
      <c r="B1693" s="2" t="s">
        <v>7940</v>
      </c>
      <c r="C1693" s="2" t="s">
        <v>1354</v>
      </c>
      <c r="D1693" s="2" t="s">
        <v>8944</v>
      </c>
      <c r="E1693" s="2" t="s">
        <v>3671</v>
      </c>
      <c r="F1693" s="2" t="s">
        <v>4117</v>
      </c>
      <c r="G1693" s="2" t="s">
        <v>1717</v>
      </c>
      <c r="H1693" s="2" t="s">
        <v>194</v>
      </c>
      <c r="I1693" s="3">
        <f t="shared" si="26"/>
        <v>432</v>
      </c>
    </row>
    <row r="1694" spans="1:9" ht="60" x14ac:dyDescent="0.3">
      <c r="A1694" s="2" t="s">
        <v>146</v>
      </c>
      <c r="B1694" s="2" t="s">
        <v>7941</v>
      </c>
      <c r="C1694" s="2" t="s">
        <v>7220</v>
      </c>
      <c r="D1694" s="2" t="s">
        <v>7942</v>
      </c>
      <c r="E1694" s="2" t="s">
        <v>39</v>
      </c>
      <c r="F1694" s="2"/>
      <c r="G1694" s="2"/>
      <c r="H1694" s="2"/>
      <c r="I1694" s="3">
        <f t="shared" si="26"/>
        <v>435</v>
      </c>
    </row>
    <row r="1695" spans="1:9" ht="60" x14ac:dyDescent="0.3">
      <c r="A1695" s="2" t="s">
        <v>146</v>
      </c>
      <c r="B1695" s="2" t="s">
        <v>2774</v>
      </c>
      <c r="C1695" s="2" t="s">
        <v>1255</v>
      </c>
      <c r="D1695" s="2" t="s">
        <v>7952</v>
      </c>
      <c r="E1695" s="2" t="s">
        <v>39</v>
      </c>
      <c r="F1695" s="2"/>
      <c r="G1695" s="2"/>
      <c r="H1695" s="2"/>
      <c r="I1695" s="3">
        <f t="shared" si="26"/>
        <v>437</v>
      </c>
    </row>
    <row r="1696" spans="1:9" ht="60" x14ac:dyDescent="0.3">
      <c r="A1696" s="2" t="s">
        <v>146</v>
      </c>
      <c r="B1696" s="2" t="s">
        <v>7960</v>
      </c>
      <c r="C1696" s="2" t="s">
        <v>7961</v>
      </c>
      <c r="D1696" s="2" t="s">
        <v>7962</v>
      </c>
      <c r="E1696" s="2" t="s">
        <v>39</v>
      </c>
      <c r="F1696" s="2"/>
      <c r="G1696" s="2"/>
      <c r="H1696" s="2"/>
      <c r="I1696" s="3">
        <f t="shared" si="26"/>
        <v>440</v>
      </c>
    </row>
    <row r="1697" spans="1:9" ht="60" x14ac:dyDescent="0.3">
      <c r="A1697" s="2" t="s">
        <v>146</v>
      </c>
      <c r="B1697" s="2" t="s">
        <v>7963</v>
      </c>
      <c r="C1697" s="2" t="s">
        <v>437</v>
      </c>
      <c r="D1697" s="2" t="s">
        <v>7964</v>
      </c>
      <c r="E1697" s="2" t="s">
        <v>39</v>
      </c>
      <c r="F1697" s="2"/>
      <c r="G1697" s="2"/>
      <c r="H1697" s="2" t="s">
        <v>646</v>
      </c>
      <c r="I1697" s="3">
        <f t="shared" si="26"/>
        <v>440</v>
      </c>
    </row>
    <row r="1698" spans="1:9" ht="60" x14ac:dyDescent="0.3">
      <c r="A1698" s="2" t="s">
        <v>146</v>
      </c>
      <c r="B1698" s="2" t="s">
        <v>7966</v>
      </c>
      <c r="C1698" s="2" t="s">
        <v>788</v>
      </c>
      <c r="D1698" s="2" t="s">
        <v>7967</v>
      </c>
      <c r="E1698" s="2" t="s">
        <v>39</v>
      </c>
      <c r="F1698" s="2"/>
      <c r="G1698" s="2"/>
      <c r="H1698" s="2"/>
      <c r="I1698" s="3">
        <f t="shared" si="26"/>
        <v>441</v>
      </c>
    </row>
    <row r="1699" spans="1:9" ht="60" x14ac:dyDescent="0.3">
      <c r="A1699" s="2" t="s">
        <v>146</v>
      </c>
      <c r="B1699" s="2" t="s">
        <v>5808</v>
      </c>
      <c r="C1699" s="2" t="s">
        <v>250</v>
      </c>
      <c r="D1699" s="2" t="s">
        <v>8945</v>
      </c>
      <c r="E1699" s="2" t="s">
        <v>39</v>
      </c>
      <c r="F1699" s="2" t="s">
        <v>350</v>
      </c>
      <c r="G1699" s="2" t="s">
        <v>1717</v>
      </c>
      <c r="H1699" s="2"/>
      <c r="I1699" s="3">
        <f t="shared" si="26"/>
        <v>439</v>
      </c>
    </row>
    <row r="1700" spans="1:9" ht="60" x14ac:dyDescent="0.3">
      <c r="A1700" s="2" t="s">
        <v>146</v>
      </c>
      <c r="B1700" s="2" t="s">
        <v>7970</v>
      </c>
      <c r="C1700" s="2"/>
      <c r="D1700" s="2" t="s">
        <v>7971</v>
      </c>
      <c r="E1700" s="2" t="s">
        <v>211</v>
      </c>
      <c r="F1700" s="2"/>
      <c r="G1700" s="2"/>
      <c r="H1700" s="2"/>
      <c r="I1700" s="3">
        <f t="shared" si="26"/>
        <v>441</v>
      </c>
    </row>
    <row r="1701" spans="1:9" ht="60" x14ac:dyDescent="0.3">
      <c r="A1701" s="2" t="s">
        <v>146</v>
      </c>
      <c r="B1701" s="2" t="s">
        <v>7975</v>
      </c>
      <c r="C1701" s="2" t="s">
        <v>2057</v>
      </c>
      <c r="D1701" s="2" t="s">
        <v>7976</v>
      </c>
      <c r="E1701" s="2" t="s">
        <v>3686</v>
      </c>
      <c r="F1701" s="2"/>
      <c r="G1701" s="2"/>
      <c r="H1701" s="2"/>
      <c r="I1701" s="3">
        <f t="shared" si="26"/>
        <v>442</v>
      </c>
    </row>
    <row r="1702" spans="1:9" ht="60" x14ac:dyDescent="0.3">
      <c r="A1702" s="2" t="s">
        <v>146</v>
      </c>
      <c r="B1702" s="2" t="s">
        <v>7977</v>
      </c>
      <c r="C1702" s="2" t="s">
        <v>7978</v>
      </c>
      <c r="D1702" s="2" t="s">
        <v>8946</v>
      </c>
      <c r="E1702" s="2" t="s">
        <v>39</v>
      </c>
      <c r="F1702" s="2" t="s">
        <v>350</v>
      </c>
      <c r="G1702" s="2" t="s">
        <v>350</v>
      </c>
      <c r="H1702" s="2"/>
      <c r="I1702" s="3">
        <f t="shared" si="26"/>
        <v>440</v>
      </c>
    </row>
    <row r="1703" spans="1:9" ht="60" x14ac:dyDescent="0.3">
      <c r="A1703" s="2" t="s">
        <v>146</v>
      </c>
      <c r="B1703" s="2" t="s">
        <v>7981</v>
      </c>
      <c r="C1703" s="2"/>
      <c r="D1703" s="2" t="s">
        <v>7982</v>
      </c>
      <c r="E1703" s="2" t="s">
        <v>39</v>
      </c>
      <c r="F1703" s="2"/>
      <c r="G1703" s="2" t="s">
        <v>1717</v>
      </c>
      <c r="H1703" s="2" t="s">
        <v>646</v>
      </c>
      <c r="I1703" s="3">
        <f t="shared" si="26"/>
        <v>443</v>
      </c>
    </row>
    <row r="1704" spans="1:9" ht="60" x14ac:dyDescent="0.3">
      <c r="A1704" s="2" t="s">
        <v>146</v>
      </c>
      <c r="B1704" s="2" t="s">
        <v>7985</v>
      </c>
      <c r="C1704" s="2" t="s">
        <v>214</v>
      </c>
      <c r="D1704" s="2" t="s">
        <v>7986</v>
      </c>
      <c r="E1704" s="2" t="s">
        <v>39</v>
      </c>
      <c r="F1704" s="2"/>
      <c r="G1704" s="2"/>
      <c r="H1704" s="2"/>
      <c r="I1704" s="3">
        <f t="shared" si="26"/>
        <v>443</v>
      </c>
    </row>
    <row r="1705" spans="1:9" ht="60" x14ac:dyDescent="0.3">
      <c r="A1705" s="2" t="s">
        <v>146</v>
      </c>
      <c r="B1705" s="2" t="s">
        <v>895</v>
      </c>
      <c r="C1705" s="2" t="s">
        <v>896</v>
      </c>
      <c r="D1705" s="2" t="s">
        <v>8008</v>
      </c>
      <c r="E1705" s="2" t="s">
        <v>1188</v>
      </c>
      <c r="F1705" s="2"/>
      <c r="G1705" s="2"/>
      <c r="H1705" s="2" t="s">
        <v>898</v>
      </c>
      <c r="I1705" s="3">
        <f t="shared" si="26"/>
        <v>450</v>
      </c>
    </row>
    <row r="1706" spans="1:9" ht="60" x14ac:dyDescent="0.3">
      <c r="A1706" s="2" t="s">
        <v>146</v>
      </c>
      <c r="B1706" s="2" t="s">
        <v>8011</v>
      </c>
      <c r="C1706" s="2"/>
      <c r="D1706" s="2" t="s">
        <v>8012</v>
      </c>
      <c r="E1706" s="2" t="s">
        <v>39</v>
      </c>
      <c r="F1706" s="2"/>
      <c r="G1706" s="2"/>
      <c r="H1706" s="2" t="s">
        <v>194</v>
      </c>
      <c r="I1706" s="3">
        <f t="shared" si="26"/>
        <v>451</v>
      </c>
    </row>
    <row r="1707" spans="1:9" ht="60" x14ac:dyDescent="0.3">
      <c r="A1707" s="2" t="s">
        <v>146</v>
      </c>
      <c r="B1707" s="2" t="s">
        <v>8013</v>
      </c>
      <c r="C1707" s="2" t="s">
        <v>7845</v>
      </c>
      <c r="D1707" s="2" t="s">
        <v>8947</v>
      </c>
      <c r="E1707" s="2" t="s">
        <v>39</v>
      </c>
      <c r="F1707" s="2" t="s">
        <v>350</v>
      </c>
      <c r="G1707" s="2" t="s">
        <v>1717</v>
      </c>
      <c r="H1707" s="2"/>
      <c r="I1707" s="3">
        <f t="shared" si="26"/>
        <v>450</v>
      </c>
    </row>
    <row r="1708" spans="1:9" ht="60" x14ac:dyDescent="0.3">
      <c r="A1708" s="2" t="s">
        <v>146</v>
      </c>
      <c r="B1708" s="2" t="s">
        <v>8014</v>
      </c>
      <c r="C1708" s="2" t="s">
        <v>1255</v>
      </c>
      <c r="D1708" s="2" t="s">
        <v>8015</v>
      </c>
      <c r="E1708" s="2" t="s">
        <v>39</v>
      </c>
      <c r="F1708" s="2"/>
      <c r="G1708" s="2"/>
      <c r="H1708" s="2"/>
      <c r="I1708" s="3">
        <f t="shared" si="26"/>
        <v>453</v>
      </c>
    </row>
    <row r="1709" spans="1:9" ht="60" x14ac:dyDescent="0.3">
      <c r="A1709" s="2" t="s">
        <v>146</v>
      </c>
      <c r="B1709" s="2" t="s">
        <v>8018</v>
      </c>
      <c r="C1709" s="2" t="s">
        <v>3793</v>
      </c>
      <c r="D1709" s="2" t="s">
        <v>8019</v>
      </c>
      <c r="E1709" s="2" t="s">
        <v>39</v>
      </c>
      <c r="F1709" s="2"/>
      <c r="G1709" s="2"/>
      <c r="H1709" s="2"/>
      <c r="I1709" s="3">
        <f t="shared" si="26"/>
        <v>455</v>
      </c>
    </row>
    <row r="1710" spans="1:9" ht="60" x14ac:dyDescent="0.3">
      <c r="A1710" s="2" t="s">
        <v>146</v>
      </c>
      <c r="B1710" s="2" t="s">
        <v>2784</v>
      </c>
      <c r="C1710" s="2" t="s">
        <v>214</v>
      </c>
      <c r="D1710" s="2" t="s">
        <v>8021</v>
      </c>
      <c r="E1710" s="2" t="s">
        <v>39</v>
      </c>
      <c r="F1710" s="2"/>
      <c r="G1710" s="2"/>
      <c r="H1710" s="2"/>
      <c r="I1710" s="3">
        <f t="shared" si="26"/>
        <v>457</v>
      </c>
    </row>
    <row r="1711" spans="1:9" ht="60" x14ac:dyDescent="0.3">
      <c r="A1711" s="2" t="s">
        <v>146</v>
      </c>
      <c r="B1711" s="2" t="s">
        <v>8027</v>
      </c>
      <c r="C1711" s="2"/>
      <c r="D1711" s="2" t="s">
        <v>8028</v>
      </c>
      <c r="E1711" s="2" t="s">
        <v>39</v>
      </c>
      <c r="F1711" s="2"/>
      <c r="G1711" s="2" t="s">
        <v>1717</v>
      </c>
      <c r="H1711" s="2" t="s">
        <v>646</v>
      </c>
      <c r="I1711" s="3">
        <f t="shared" si="26"/>
        <v>457</v>
      </c>
    </row>
    <row r="1712" spans="1:9" ht="60" x14ac:dyDescent="0.3">
      <c r="A1712" s="2" t="s">
        <v>146</v>
      </c>
      <c r="B1712" s="2" t="s">
        <v>7166</v>
      </c>
      <c r="C1712" s="2" t="s">
        <v>500</v>
      </c>
      <c r="D1712" s="2" t="s">
        <v>8029</v>
      </c>
      <c r="E1712" s="2" t="s">
        <v>39</v>
      </c>
      <c r="F1712" s="2"/>
      <c r="G1712" s="2"/>
      <c r="H1712" s="2"/>
      <c r="I1712" s="3">
        <f t="shared" si="26"/>
        <v>457</v>
      </c>
    </row>
    <row r="1713" spans="1:9" ht="60" x14ac:dyDescent="0.3">
      <c r="A1713" s="2" t="s">
        <v>146</v>
      </c>
      <c r="B1713" s="2" t="s">
        <v>8030</v>
      </c>
      <c r="C1713" s="2" t="s">
        <v>8031</v>
      </c>
      <c r="D1713" s="2" t="s">
        <v>8948</v>
      </c>
      <c r="E1713" s="2" t="s">
        <v>39</v>
      </c>
      <c r="F1713" s="2" t="s">
        <v>3082</v>
      </c>
      <c r="G1713" s="2" t="s">
        <v>1717</v>
      </c>
      <c r="H1713" s="2"/>
      <c r="I1713" s="3">
        <f t="shared" si="26"/>
        <v>456</v>
      </c>
    </row>
    <row r="1714" spans="1:9" ht="60" x14ac:dyDescent="0.3">
      <c r="A1714" s="2" t="s">
        <v>146</v>
      </c>
      <c r="B1714" s="2" t="s">
        <v>8032</v>
      </c>
      <c r="C1714" s="2"/>
      <c r="D1714" s="2" t="s">
        <v>8033</v>
      </c>
      <c r="E1714" s="2" t="s">
        <v>39</v>
      </c>
      <c r="F1714" s="2"/>
      <c r="G1714" s="2"/>
      <c r="H1714" s="2"/>
      <c r="I1714" s="3">
        <f t="shared" si="26"/>
        <v>458</v>
      </c>
    </row>
    <row r="1715" spans="1:9" ht="60" x14ac:dyDescent="0.3">
      <c r="A1715" s="2" t="s">
        <v>146</v>
      </c>
      <c r="B1715" s="2" t="s">
        <v>4656</v>
      </c>
      <c r="C1715" s="2"/>
      <c r="D1715" s="2" t="s">
        <v>8036</v>
      </c>
      <c r="E1715" s="2" t="s">
        <v>39</v>
      </c>
      <c r="F1715" s="2"/>
      <c r="G1715" s="2"/>
      <c r="H1715" s="2" t="s">
        <v>646</v>
      </c>
      <c r="I1715" s="3">
        <f t="shared" si="26"/>
        <v>459</v>
      </c>
    </row>
    <row r="1716" spans="1:9" ht="60" x14ac:dyDescent="0.3">
      <c r="A1716" s="2" t="s">
        <v>146</v>
      </c>
      <c r="B1716" s="2" t="s">
        <v>7525</v>
      </c>
      <c r="C1716" s="2" t="s">
        <v>2057</v>
      </c>
      <c r="D1716" s="2" t="s">
        <v>8056</v>
      </c>
      <c r="E1716" s="2" t="s">
        <v>3700</v>
      </c>
      <c r="F1716" s="2"/>
      <c r="G1716" s="2"/>
      <c r="H1716" s="2"/>
      <c r="I1716" s="3">
        <f t="shared" si="26"/>
        <v>467</v>
      </c>
    </row>
    <row r="1717" spans="1:9" ht="60" x14ac:dyDescent="0.3">
      <c r="A1717" s="2" t="s">
        <v>146</v>
      </c>
      <c r="B1717" s="2" t="s">
        <v>8057</v>
      </c>
      <c r="C1717" s="2" t="s">
        <v>4830</v>
      </c>
      <c r="D1717" s="2" t="s">
        <v>8949</v>
      </c>
      <c r="E1717" s="2" t="s">
        <v>39</v>
      </c>
      <c r="F1717" s="2" t="s">
        <v>2281</v>
      </c>
      <c r="G1717" s="2" t="s">
        <v>1717</v>
      </c>
      <c r="H1717" s="2"/>
      <c r="I1717" s="3">
        <f t="shared" si="26"/>
        <v>466</v>
      </c>
    </row>
    <row r="1718" spans="1:9" ht="60" x14ac:dyDescent="0.3">
      <c r="A1718" s="2" t="s">
        <v>146</v>
      </c>
      <c r="B1718" s="2" t="s">
        <v>8059</v>
      </c>
      <c r="C1718" s="2" t="s">
        <v>8060</v>
      </c>
      <c r="D1718" s="2" t="s">
        <v>8061</v>
      </c>
      <c r="E1718" s="2" t="s">
        <v>39</v>
      </c>
      <c r="F1718" s="2"/>
      <c r="G1718" s="2"/>
      <c r="H1718" s="2" t="s">
        <v>194</v>
      </c>
      <c r="I1718" s="3">
        <f t="shared" si="26"/>
        <v>468</v>
      </c>
    </row>
    <row r="1719" spans="1:9" ht="60" x14ac:dyDescent="0.3">
      <c r="A1719" s="2" t="s">
        <v>146</v>
      </c>
      <c r="B1719" s="2" t="s">
        <v>8062</v>
      </c>
      <c r="C1719" s="2" t="s">
        <v>4373</v>
      </c>
      <c r="D1719" s="2" t="s">
        <v>8950</v>
      </c>
      <c r="E1719" s="2" t="s">
        <v>39</v>
      </c>
      <c r="F1719" s="2" t="s">
        <v>2281</v>
      </c>
      <c r="G1719" s="2" t="s">
        <v>1717</v>
      </c>
      <c r="H1719" s="2" t="s">
        <v>194</v>
      </c>
      <c r="I1719" s="3">
        <f t="shared" si="26"/>
        <v>466</v>
      </c>
    </row>
    <row r="1720" spans="1:9" ht="60" x14ac:dyDescent="0.3">
      <c r="A1720" s="2" t="s">
        <v>146</v>
      </c>
      <c r="B1720" s="2" t="s">
        <v>8066</v>
      </c>
      <c r="C1720" s="2"/>
      <c r="D1720" s="2" t="s">
        <v>8067</v>
      </c>
      <c r="E1720" s="2" t="s">
        <v>39</v>
      </c>
      <c r="F1720" s="2"/>
      <c r="G1720" s="2"/>
      <c r="H1720" s="2"/>
      <c r="I1720" s="3">
        <f t="shared" si="26"/>
        <v>468</v>
      </c>
    </row>
    <row r="1721" spans="1:9" ht="60" x14ac:dyDescent="0.3">
      <c r="A1721" s="2" t="s">
        <v>146</v>
      </c>
      <c r="B1721" s="2" t="s">
        <v>8070</v>
      </c>
      <c r="C1721" s="2"/>
      <c r="D1721" s="2" t="s">
        <v>8071</v>
      </c>
      <c r="E1721" s="2" t="s">
        <v>39</v>
      </c>
      <c r="F1721" s="2"/>
      <c r="G1721" s="2"/>
      <c r="H1721" s="2" t="s">
        <v>1644</v>
      </c>
      <c r="I1721" s="3">
        <f t="shared" si="26"/>
        <v>468</v>
      </c>
    </row>
    <row r="1722" spans="1:9" ht="60" x14ac:dyDescent="0.3">
      <c r="A1722" s="2" t="s">
        <v>146</v>
      </c>
      <c r="B1722" s="2" t="s">
        <v>8074</v>
      </c>
      <c r="C1722" s="2" t="s">
        <v>8075</v>
      </c>
      <c r="D1722" s="2" t="s">
        <v>8951</v>
      </c>
      <c r="E1722" s="2" t="s">
        <v>2218</v>
      </c>
      <c r="F1722" s="2" t="s">
        <v>4841</v>
      </c>
      <c r="G1722" s="2" t="s">
        <v>1717</v>
      </c>
      <c r="H1722" s="2" t="s">
        <v>646</v>
      </c>
      <c r="I1722" s="3">
        <f t="shared" si="26"/>
        <v>467</v>
      </c>
    </row>
    <row r="1723" spans="1:9" ht="60" x14ac:dyDescent="0.3">
      <c r="A1723" s="2" t="s">
        <v>146</v>
      </c>
      <c r="B1723" s="2" t="s">
        <v>3395</v>
      </c>
      <c r="C1723" s="2" t="s">
        <v>2063</v>
      </c>
      <c r="D1723" s="2" t="s">
        <v>8076</v>
      </c>
      <c r="E1723" s="2" t="s">
        <v>3980</v>
      </c>
      <c r="F1723" s="2"/>
      <c r="G1723" s="2" t="s">
        <v>1717</v>
      </c>
      <c r="H1723" s="2" t="s">
        <v>646</v>
      </c>
      <c r="I1723" s="3">
        <f t="shared" si="26"/>
        <v>470</v>
      </c>
    </row>
    <row r="1724" spans="1:9" ht="60" x14ac:dyDescent="0.3">
      <c r="A1724" s="2" t="s">
        <v>146</v>
      </c>
      <c r="B1724" s="2" t="s">
        <v>8077</v>
      </c>
      <c r="C1724" s="2" t="s">
        <v>515</v>
      </c>
      <c r="D1724" s="2" t="s">
        <v>8078</v>
      </c>
      <c r="E1724" s="2" t="s">
        <v>39</v>
      </c>
      <c r="F1724" s="2"/>
      <c r="G1724" s="2"/>
      <c r="H1724" s="2"/>
      <c r="I1724" s="3">
        <f t="shared" si="26"/>
        <v>470</v>
      </c>
    </row>
    <row r="1725" spans="1:9" ht="60" x14ac:dyDescent="0.3">
      <c r="A1725" s="2" t="s">
        <v>146</v>
      </c>
      <c r="B1725" s="2" t="s">
        <v>8083</v>
      </c>
      <c r="C1725" s="2" t="s">
        <v>8084</v>
      </c>
      <c r="D1725" s="2" t="s">
        <v>8952</v>
      </c>
      <c r="E1725" s="2" t="s">
        <v>39</v>
      </c>
      <c r="F1725" s="2" t="s">
        <v>1778</v>
      </c>
      <c r="G1725" s="2" t="s">
        <v>1717</v>
      </c>
      <c r="H1725" s="2" t="s">
        <v>646</v>
      </c>
      <c r="I1725" s="3">
        <f t="shared" si="26"/>
        <v>469</v>
      </c>
    </row>
    <row r="1726" spans="1:9" ht="60" x14ac:dyDescent="0.3">
      <c r="A1726" s="2" t="s">
        <v>146</v>
      </c>
      <c r="B1726" s="2" t="s">
        <v>8092</v>
      </c>
      <c r="C1726" s="2" t="s">
        <v>480</v>
      </c>
      <c r="D1726" s="2" t="s">
        <v>8093</v>
      </c>
      <c r="E1726" s="2" t="s">
        <v>39</v>
      </c>
      <c r="F1726" s="2"/>
      <c r="G1726" s="2"/>
      <c r="H1726" s="2" t="s">
        <v>646</v>
      </c>
      <c r="I1726" s="3">
        <f t="shared" si="26"/>
        <v>475</v>
      </c>
    </row>
    <row r="1727" spans="1:9" ht="60" x14ac:dyDescent="0.3">
      <c r="A1727" s="2" t="s">
        <v>146</v>
      </c>
      <c r="B1727" s="2" t="s">
        <v>8102</v>
      </c>
      <c r="C1727" s="2" t="s">
        <v>911</v>
      </c>
      <c r="D1727" s="2" t="s">
        <v>8103</v>
      </c>
      <c r="E1727" s="2" t="s">
        <v>39</v>
      </c>
      <c r="F1727" s="2"/>
      <c r="G1727" s="2" t="s">
        <v>1717</v>
      </c>
      <c r="H1727" s="2"/>
      <c r="I1727" s="3">
        <f t="shared" si="26"/>
        <v>477</v>
      </c>
    </row>
    <row r="1728" spans="1:9" ht="60" x14ac:dyDescent="0.3">
      <c r="A1728" s="2" t="s">
        <v>146</v>
      </c>
      <c r="B1728" s="2" t="s">
        <v>8105</v>
      </c>
      <c r="C1728" s="2" t="s">
        <v>35</v>
      </c>
      <c r="D1728" s="2" t="s">
        <v>8953</v>
      </c>
      <c r="E1728" s="2" t="s">
        <v>39</v>
      </c>
      <c r="F1728" s="2" t="s">
        <v>3082</v>
      </c>
      <c r="G1728" s="2" t="s">
        <v>1717</v>
      </c>
      <c r="H1728" s="2" t="s">
        <v>194</v>
      </c>
      <c r="I1728" s="3">
        <f t="shared" si="26"/>
        <v>474</v>
      </c>
    </row>
    <row r="1729" spans="1:9" ht="24" x14ac:dyDescent="0.3">
      <c r="A1729" s="2" t="s">
        <v>146</v>
      </c>
      <c r="B1729" s="2" t="s">
        <v>8106</v>
      </c>
      <c r="C1729" s="2" t="s">
        <v>4830</v>
      </c>
      <c r="D1729" s="2" t="s">
        <v>8954</v>
      </c>
      <c r="E1729" s="2" t="s">
        <v>39</v>
      </c>
      <c r="F1729" s="2" t="s">
        <v>2281</v>
      </c>
      <c r="G1729" s="2" t="s">
        <v>1717</v>
      </c>
      <c r="H1729" s="2"/>
      <c r="I1729" s="3">
        <v>479</v>
      </c>
    </row>
    <row r="1730" spans="1:9" ht="60" x14ac:dyDescent="0.3">
      <c r="A1730" s="2" t="s">
        <v>146</v>
      </c>
      <c r="B1730" s="2" t="s">
        <v>8109</v>
      </c>
      <c r="C1730" s="2" t="s">
        <v>8110</v>
      </c>
      <c r="D1730" s="2" t="s">
        <v>8111</v>
      </c>
      <c r="E1730" s="2" t="s">
        <v>39</v>
      </c>
      <c r="F1730" s="2"/>
      <c r="G1730" s="2" t="s">
        <v>1717</v>
      </c>
      <c r="H1730" s="2"/>
      <c r="I1730" s="3">
        <f t="shared" ref="I1730:I1740" si="27">LEN(D1730)</f>
        <v>479</v>
      </c>
    </row>
    <row r="1731" spans="1:9" ht="60" x14ac:dyDescent="0.3">
      <c r="A1731" s="2" t="s">
        <v>146</v>
      </c>
      <c r="B1731" s="2" t="s">
        <v>8113</v>
      </c>
      <c r="C1731" s="2" t="s">
        <v>437</v>
      </c>
      <c r="D1731" s="2" t="s">
        <v>8114</v>
      </c>
      <c r="E1731" s="2" t="s">
        <v>39</v>
      </c>
      <c r="F1731" s="2"/>
      <c r="G1731" s="2"/>
      <c r="H1731" s="2" t="s">
        <v>194</v>
      </c>
      <c r="I1731" s="3">
        <f t="shared" si="27"/>
        <v>481</v>
      </c>
    </row>
    <row r="1732" spans="1:9" ht="60" x14ac:dyDescent="0.3">
      <c r="A1732" s="2" t="s">
        <v>146</v>
      </c>
      <c r="B1732" s="2" t="s">
        <v>8116</v>
      </c>
      <c r="C1732" s="2" t="s">
        <v>1354</v>
      </c>
      <c r="D1732" s="2" t="s">
        <v>8117</v>
      </c>
      <c r="E1732" s="2" t="s">
        <v>674</v>
      </c>
      <c r="F1732" s="2"/>
      <c r="G1732" s="2" t="s">
        <v>1717</v>
      </c>
      <c r="H1732" s="2" t="s">
        <v>194</v>
      </c>
      <c r="I1732" s="3">
        <f t="shared" si="27"/>
        <v>483</v>
      </c>
    </row>
    <row r="1733" spans="1:9" ht="60" x14ac:dyDescent="0.3">
      <c r="A1733" s="2" t="s">
        <v>146</v>
      </c>
      <c r="B1733" s="2" t="s">
        <v>8119</v>
      </c>
      <c r="C1733" s="2" t="s">
        <v>437</v>
      </c>
      <c r="D1733" s="2" t="s">
        <v>9557</v>
      </c>
      <c r="E1733" s="2" t="s">
        <v>39</v>
      </c>
      <c r="F1733" s="2"/>
      <c r="G1733" s="2"/>
      <c r="H1733" s="2"/>
      <c r="I1733" s="3">
        <f t="shared" si="27"/>
        <v>481</v>
      </c>
    </row>
    <row r="1734" spans="1:9" ht="60" x14ac:dyDescent="0.3">
      <c r="A1734" s="2" t="s">
        <v>146</v>
      </c>
      <c r="B1734" s="2" t="s">
        <v>8127</v>
      </c>
      <c r="C1734" s="2" t="s">
        <v>8128</v>
      </c>
      <c r="D1734" s="2" t="s">
        <v>8129</v>
      </c>
      <c r="E1734" s="2" t="s">
        <v>1494</v>
      </c>
      <c r="F1734" s="2"/>
      <c r="G1734" s="2"/>
      <c r="H1734" s="2" t="s">
        <v>898</v>
      </c>
      <c r="I1734" s="3">
        <f t="shared" si="27"/>
        <v>487</v>
      </c>
    </row>
    <row r="1735" spans="1:9" ht="60" x14ac:dyDescent="0.3">
      <c r="A1735" s="2" t="s">
        <v>146</v>
      </c>
      <c r="B1735" s="2" t="s">
        <v>7235</v>
      </c>
      <c r="C1735" s="2" t="s">
        <v>6847</v>
      </c>
      <c r="D1735" s="2" t="s">
        <v>8137</v>
      </c>
      <c r="E1735" s="2" t="s">
        <v>39</v>
      </c>
      <c r="F1735" s="2"/>
      <c r="G1735" s="2"/>
      <c r="H1735" s="2"/>
      <c r="I1735" s="3">
        <f t="shared" si="27"/>
        <v>491</v>
      </c>
    </row>
    <row r="1736" spans="1:9" ht="60" x14ac:dyDescent="0.3">
      <c r="A1736" s="2" t="s">
        <v>146</v>
      </c>
      <c r="B1736" s="2" t="s">
        <v>2784</v>
      </c>
      <c r="C1736" s="2" t="s">
        <v>214</v>
      </c>
      <c r="D1736" s="2" t="s">
        <v>8138</v>
      </c>
      <c r="E1736" s="2" t="s">
        <v>39</v>
      </c>
      <c r="F1736" s="2"/>
      <c r="G1736" s="2"/>
      <c r="H1736" s="2"/>
      <c r="I1736" s="3">
        <f t="shared" si="27"/>
        <v>491</v>
      </c>
    </row>
    <row r="1737" spans="1:9" ht="60" x14ac:dyDescent="0.3">
      <c r="A1737" s="2" t="s">
        <v>146</v>
      </c>
      <c r="B1737" s="2" t="s">
        <v>8139</v>
      </c>
      <c r="C1737" s="2" t="s">
        <v>437</v>
      </c>
      <c r="D1737" s="2" t="s">
        <v>8140</v>
      </c>
      <c r="E1737" s="2" t="s">
        <v>39</v>
      </c>
      <c r="F1737" s="2"/>
      <c r="G1737" s="2"/>
      <c r="H1737" s="2"/>
      <c r="I1737" s="3">
        <f t="shared" si="27"/>
        <v>491</v>
      </c>
    </row>
    <row r="1738" spans="1:9" ht="60" x14ac:dyDescent="0.3">
      <c r="A1738" s="2" t="s">
        <v>146</v>
      </c>
      <c r="B1738" s="2" t="s">
        <v>4026</v>
      </c>
      <c r="C1738" s="2" t="s">
        <v>95</v>
      </c>
      <c r="D1738" s="2" t="s">
        <v>8955</v>
      </c>
      <c r="E1738" s="2" t="s">
        <v>39</v>
      </c>
      <c r="F1738" s="2" t="s">
        <v>1778</v>
      </c>
      <c r="G1738" s="2" t="s">
        <v>4507</v>
      </c>
      <c r="H1738" s="2" t="s">
        <v>1176</v>
      </c>
      <c r="I1738" s="3">
        <f t="shared" si="27"/>
        <v>490</v>
      </c>
    </row>
    <row r="1739" spans="1:9" ht="60" x14ac:dyDescent="0.3">
      <c r="A1739" s="2" t="s">
        <v>146</v>
      </c>
      <c r="B1739" s="2" t="s">
        <v>445</v>
      </c>
      <c r="C1739" s="2" t="s">
        <v>8148</v>
      </c>
      <c r="D1739" s="2" t="s">
        <v>8149</v>
      </c>
      <c r="E1739" s="2" t="s">
        <v>39</v>
      </c>
      <c r="F1739" s="2"/>
      <c r="G1739" s="2"/>
      <c r="H1739" s="2" t="s">
        <v>402</v>
      </c>
      <c r="I1739" s="3">
        <f t="shared" si="27"/>
        <v>494</v>
      </c>
    </row>
    <row r="1740" spans="1:9" ht="60" x14ac:dyDescent="0.3">
      <c r="A1740" s="2" t="s">
        <v>146</v>
      </c>
      <c r="B1740" s="2" t="s">
        <v>8156</v>
      </c>
      <c r="C1740" s="2"/>
      <c r="D1740" s="2" t="s">
        <v>8157</v>
      </c>
      <c r="E1740" s="2" t="s">
        <v>39</v>
      </c>
      <c r="F1740" s="2"/>
      <c r="G1740" s="2"/>
      <c r="H1740" s="2" t="s">
        <v>194</v>
      </c>
      <c r="I1740" s="3">
        <f t="shared" si="27"/>
        <v>496</v>
      </c>
    </row>
    <row r="1741" spans="1:9" ht="36" x14ac:dyDescent="0.3">
      <c r="A1741" s="2" t="s">
        <v>146</v>
      </c>
      <c r="B1741" s="2" t="s">
        <v>8158</v>
      </c>
      <c r="C1741" s="2" t="s">
        <v>2531</v>
      </c>
      <c r="D1741" s="2" t="s">
        <v>8956</v>
      </c>
      <c r="E1741" s="2" t="s">
        <v>39</v>
      </c>
      <c r="F1741" s="2" t="s">
        <v>2281</v>
      </c>
      <c r="G1741" s="2" t="s">
        <v>1717</v>
      </c>
      <c r="H1741" s="2"/>
      <c r="I1741" s="3">
        <v>497</v>
      </c>
    </row>
    <row r="1742" spans="1:9" ht="72" x14ac:dyDescent="0.3">
      <c r="A1742" s="2" t="s">
        <v>146</v>
      </c>
      <c r="B1742" s="2" t="s">
        <v>8161</v>
      </c>
      <c r="C1742" s="2" t="s">
        <v>81</v>
      </c>
      <c r="D1742" s="2" t="s">
        <v>8957</v>
      </c>
      <c r="E1742" s="2" t="s">
        <v>39</v>
      </c>
      <c r="F1742" s="2" t="s">
        <v>4117</v>
      </c>
      <c r="G1742" s="2" t="s">
        <v>1717</v>
      </c>
      <c r="H1742" s="2"/>
      <c r="I1742" s="3">
        <f t="shared" ref="I1742:I1773" si="28">LEN(D1742)</f>
        <v>498</v>
      </c>
    </row>
    <row r="1743" spans="1:9" ht="60" x14ac:dyDescent="0.3">
      <c r="A1743" s="2" t="s">
        <v>146</v>
      </c>
      <c r="B1743" s="2" t="s">
        <v>8164</v>
      </c>
      <c r="C1743" s="2" t="s">
        <v>437</v>
      </c>
      <c r="D1743" s="2" t="s">
        <v>8165</v>
      </c>
      <c r="E1743" s="2" t="s">
        <v>39</v>
      </c>
      <c r="F1743" s="2"/>
      <c r="G1743" s="2"/>
      <c r="H1743" s="2"/>
      <c r="I1743" s="3">
        <f t="shared" si="28"/>
        <v>500</v>
      </c>
    </row>
    <row r="1744" spans="1:9" ht="60" x14ac:dyDescent="0.3">
      <c r="A1744" s="2" t="s">
        <v>146</v>
      </c>
      <c r="B1744" s="2" t="s">
        <v>8168</v>
      </c>
      <c r="C1744" s="2"/>
      <c r="D1744" s="2" t="s">
        <v>8169</v>
      </c>
      <c r="E1744" s="2" t="s">
        <v>39</v>
      </c>
      <c r="F1744" s="2"/>
      <c r="G1744" s="2"/>
      <c r="H1744" s="2"/>
      <c r="I1744" s="3">
        <f t="shared" si="28"/>
        <v>501</v>
      </c>
    </row>
    <row r="1745" spans="1:9" ht="60" x14ac:dyDescent="0.3">
      <c r="A1745" s="2" t="s">
        <v>146</v>
      </c>
      <c r="B1745" s="2" t="s">
        <v>8179</v>
      </c>
      <c r="C1745" s="2" t="s">
        <v>229</v>
      </c>
      <c r="D1745" s="2" t="s">
        <v>8958</v>
      </c>
      <c r="E1745" s="2" t="s">
        <v>39</v>
      </c>
      <c r="F1745" s="2" t="s">
        <v>3082</v>
      </c>
      <c r="G1745" s="2" t="s">
        <v>1717</v>
      </c>
      <c r="H1745" s="2" t="s">
        <v>194</v>
      </c>
      <c r="I1745" s="3">
        <f t="shared" si="28"/>
        <v>504</v>
      </c>
    </row>
    <row r="1746" spans="1:9" ht="60" x14ac:dyDescent="0.3">
      <c r="A1746" s="2" t="s">
        <v>146</v>
      </c>
      <c r="B1746" s="2" t="s">
        <v>8180</v>
      </c>
      <c r="C1746" s="2" t="s">
        <v>8181</v>
      </c>
      <c r="D1746" s="2" t="s">
        <v>8959</v>
      </c>
      <c r="E1746" s="2" t="s">
        <v>39</v>
      </c>
      <c r="F1746" s="2" t="s">
        <v>1778</v>
      </c>
      <c r="G1746" s="2" t="s">
        <v>1717</v>
      </c>
      <c r="H1746" s="2"/>
      <c r="I1746" s="3">
        <f t="shared" si="28"/>
        <v>507</v>
      </c>
    </row>
    <row r="1747" spans="1:9" ht="72" x14ac:dyDescent="0.3">
      <c r="A1747" s="2" t="s">
        <v>146</v>
      </c>
      <c r="B1747" s="2" t="s">
        <v>8186</v>
      </c>
      <c r="C1747" s="2" t="s">
        <v>8187</v>
      </c>
      <c r="D1747" s="2" t="s">
        <v>8188</v>
      </c>
      <c r="E1747" s="2" t="s">
        <v>39</v>
      </c>
      <c r="F1747" s="2"/>
      <c r="G1747" s="2"/>
      <c r="H1747" s="2"/>
      <c r="I1747" s="3">
        <f t="shared" si="28"/>
        <v>514</v>
      </c>
    </row>
    <row r="1748" spans="1:9" ht="72" x14ac:dyDescent="0.3">
      <c r="A1748" s="2" t="s">
        <v>146</v>
      </c>
      <c r="B1748" s="2" t="s">
        <v>8197</v>
      </c>
      <c r="C1748" s="2" t="s">
        <v>6847</v>
      </c>
      <c r="D1748" s="2" t="s">
        <v>8198</v>
      </c>
      <c r="E1748" s="2" t="s">
        <v>39</v>
      </c>
      <c r="F1748" s="2"/>
      <c r="G1748" s="2"/>
      <c r="H1748" s="2"/>
      <c r="I1748" s="3">
        <f t="shared" si="28"/>
        <v>524</v>
      </c>
    </row>
    <row r="1749" spans="1:9" ht="72" x14ac:dyDescent="0.3">
      <c r="A1749" s="2" t="s">
        <v>146</v>
      </c>
      <c r="B1749" s="2" t="s">
        <v>8199</v>
      </c>
      <c r="C1749" s="2"/>
      <c r="D1749" s="2" t="s">
        <v>8200</v>
      </c>
      <c r="E1749" s="2" t="s">
        <v>468</v>
      </c>
      <c r="F1749" s="2"/>
      <c r="G1749" s="2" t="s">
        <v>1717</v>
      </c>
      <c r="H1749" s="2" t="s">
        <v>1176</v>
      </c>
      <c r="I1749" s="3">
        <f t="shared" si="28"/>
        <v>525</v>
      </c>
    </row>
    <row r="1750" spans="1:9" ht="72" x14ac:dyDescent="0.3">
      <c r="A1750" s="2" t="s">
        <v>146</v>
      </c>
      <c r="B1750" s="2" t="s">
        <v>8209</v>
      </c>
      <c r="C1750" s="2" t="s">
        <v>8210</v>
      </c>
      <c r="D1750" s="2" t="s">
        <v>8211</v>
      </c>
      <c r="E1750" s="2" t="s">
        <v>39</v>
      </c>
      <c r="F1750" s="2"/>
      <c r="G1750" s="2"/>
      <c r="H1750" s="2"/>
      <c r="I1750" s="3">
        <f t="shared" si="28"/>
        <v>530</v>
      </c>
    </row>
    <row r="1751" spans="1:9" ht="72" x14ac:dyDescent="0.3">
      <c r="A1751" s="2" t="s">
        <v>146</v>
      </c>
      <c r="B1751" s="2" t="s">
        <v>8212</v>
      </c>
      <c r="C1751" s="2"/>
      <c r="D1751" s="2" t="s">
        <v>8213</v>
      </c>
      <c r="E1751" s="2" t="s">
        <v>39</v>
      </c>
      <c r="F1751" s="2"/>
      <c r="G1751" s="2"/>
      <c r="H1751" s="2"/>
      <c r="I1751" s="3">
        <f t="shared" si="28"/>
        <v>532</v>
      </c>
    </row>
    <row r="1752" spans="1:9" ht="72" x14ac:dyDescent="0.3">
      <c r="A1752" s="2" t="s">
        <v>146</v>
      </c>
      <c r="B1752" s="2" t="s">
        <v>4685</v>
      </c>
      <c r="C1752" s="2"/>
      <c r="D1752" s="2" t="s">
        <v>8214</v>
      </c>
      <c r="E1752" s="2" t="s">
        <v>379</v>
      </c>
      <c r="F1752" s="2"/>
      <c r="G1752" s="2"/>
      <c r="H1752" s="2"/>
      <c r="I1752" s="3">
        <f t="shared" si="28"/>
        <v>532</v>
      </c>
    </row>
    <row r="1753" spans="1:9" ht="72" x14ac:dyDescent="0.3">
      <c r="A1753" s="2" t="s">
        <v>146</v>
      </c>
      <c r="B1753" s="2" t="s">
        <v>8215</v>
      </c>
      <c r="C1753" s="2" t="s">
        <v>8216</v>
      </c>
      <c r="D1753" s="2" t="s">
        <v>8960</v>
      </c>
      <c r="E1753" s="2" t="s">
        <v>2373</v>
      </c>
      <c r="F1753" s="2" t="s">
        <v>4117</v>
      </c>
      <c r="G1753" s="2" t="s">
        <v>350</v>
      </c>
      <c r="H1753" s="2"/>
      <c r="I1753" s="3">
        <f t="shared" si="28"/>
        <v>530</v>
      </c>
    </row>
    <row r="1754" spans="1:9" ht="72" x14ac:dyDescent="0.3">
      <c r="A1754" s="2" t="s">
        <v>146</v>
      </c>
      <c r="B1754" s="2" t="s">
        <v>8218</v>
      </c>
      <c r="C1754" s="2"/>
      <c r="D1754" s="2" t="s">
        <v>8219</v>
      </c>
      <c r="E1754" s="2" t="s">
        <v>39</v>
      </c>
      <c r="F1754" s="2"/>
      <c r="G1754" s="2"/>
      <c r="H1754" s="2"/>
      <c r="I1754" s="3">
        <f t="shared" si="28"/>
        <v>533</v>
      </c>
    </row>
    <row r="1755" spans="1:9" ht="72" x14ac:dyDescent="0.3">
      <c r="A1755" s="2" t="s">
        <v>146</v>
      </c>
      <c r="B1755" s="2" t="s">
        <v>8220</v>
      </c>
      <c r="C1755" s="2" t="s">
        <v>8221</v>
      </c>
      <c r="D1755" s="2" t="s">
        <v>8961</v>
      </c>
      <c r="E1755" s="2"/>
      <c r="F1755" s="2" t="s">
        <v>1778</v>
      </c>
      <c r="G1755" s="2" t="s">
        <v>1717</v>
      </c>
      <c r="H1755" s="2"/>
      <c r="I1755" s="3">
        <f t="shared" si="28"/>
        <v>531</v>
      </c>
    </row>
    <row r="1756" spans="1:9" ht="72" x14ac:dyDescent="0.3">
      <c r="A1756" s="2" t="s">
        <v>146</v>
      </c>
      <c r="B1756" s="2" t="s">
        <v>8231</v>
      </c>
      <c r="C1756" s="2" t="s">
        <v>8232</v>
      </c>
      <c r="D1756" s="2" t="s">
        <v>8233</v>
      </c>
      <c r="E1756" s="2" t="s">
        <v>39</v>
      </c>
      <c r="F1756" s="2"/>
      <c r="G1756" s="2"/>
      <c r="H1756" s="2" t="s">
        <v>8234</v>
      </c>
      <c r="I1756" s="3">
        <f t="shared" si="28"/>
        <v>539</v>
      </c>
    </row>
    <row r="1757" spans="1:9" ht="72" x14ac:dyDescent="0.3">
      <c r="A1757" s="2" t="s">
        <v>146</v>
      </c>
      <c r="B1757" s="2" t="s">
        <v>8237</v>
      </c>
      <c r="C1757" s="2"/>
      <c r="D1757" s="2" t="s">
        <v>8238</v>
      </c>
      <c r="E1757" s="2" t="s">
        <v>39</v>
      </c>
      <c r="F1757" s="2"/>
      <c r="G1757" s="2"/>
      <c r="H1757" s="2" t="s">
        <v>194</v>
      </c>
      <c r="I1757" s="3">
        <f t="shared" si="28"/>
        <v>540</v>
      </c>
    </row>
    <row r="1758" spans="1:9" ht="72" x14ac:dyDescent="0.3">
      <c r="A1758" s="2" t="s">
        <v>146</v>
      </c>
      <c r="B1758" s="2" t="s">
        <v>8239</v>
      </c>
      <c r="C1758" s="2" t="s">
        <v>8240</v>
      </c>
      <c r="D1758" s="2" t="s">
        <v>8962</v>
      </c>
      <c r="E1758" s="2" t="s">
        <v>39</v>
      </c>
      <c r="F1758" s="2" t="s">
        <v>3082</v>
      </c>
      <c r="G1758" s="2" t="s">
        <v>1717</v>
      </c>
      <c r="H1758" s="2"/>
      <c r="I1758" s="3">
        <f t="shared" si="28"/>
        <v>538</v>
      </c>
    </row>
    <row r="1759" spans="1:9" ht="72" x14ac:dyDescent="0.3">
      <c r="A1759" s="2" t="s">
        <v>146</v>
      </c>
      <c r="B1759" s="2" t="s">
        <v>8250</v>
      </c>
      <c r="C1759" s="2" t="s">
        <v>229</v>
      </c>
      <c r="D1759" s="2" t="s">
        <v>8251</v>
      </c>
      <c r="E1759" s="2" t="s">
        <v>39</v>
      </c>
      <c r="F1759" s="2"/>
      <c r="G1759" s="2"/>
      <c r="H1759" s="2"/>
      <c r="I1759" s="3">
        <f t="shared" si="28"/>
        <v>544</v>
      </c>
    </row>
    <row r="1760" spans="1:9" ht="72" x14ac:dyDescent="0.3">
      <c r="A1760" s="2" t="s">
        <v>146</v>
      </c>
      <c r="B1760" s="2" t="s">
        <v>8255</v>
      </c>
      <c r="C1760" s="2" t="s">
        <v>8256</v>
      </c>
      <c r="D1760" s="2" t="s">
        <v>8963</v>
      </c>
      <c r="E1760" s="2" t="s">
        <v>242</v>
      </c>
      <c r="F1760" s="2" t="s">
        <v>1778</v>
      </c>
      <c r="G1760" s="2" t="s">
        <v>1717</v>
      </c>
      <c r="H1760" s="2" t="s">
        <v>646</v>
      </c>
      <c r="I1760" s="3">
        <f t="shared" si="28"/>
        <v>543</v>
      </c>
    </row>
    <row r="1761" spans="1:9" ht="72" x14ac:dyDescent="0.3">
      <c r="A1761" s="2" t="s">
        <v>146</v>
      </c>
      <c r="B1761" s="2" t="s">
        <v>8258</v>
      </c>
      <c r="C1761" s="2" t="s">
        <v>8259</v>
      </c>
      <c r="D1761" s="2" t="s">
        <v>8964</v>
      </c>
      <c r="E1761" s="2" t="s">
        <v>39</v>
      </c>
      <c r="F1761" s="2" t="s">
        <v>2281</v>
      </c>
      <c r="G1761" s="2" t="s">
        <v>1717</v>
      </c>
      <c r="H1761" s="2" t="s">
        <v>8234</v>
      </c>
      <c r="I1761" s="3">
        <f t="shared" si="28"/>
        <v>544</v>
      </c>
    </row>
    <row r="1762" spans="1:9" ht="72" x14ac:dyDescent="0.3">
      <c r="A1762" s="2" t="s">
        <v>146</v>
      </c>
      <c r="B1762" s="2" t="s">
        <v>8260</v>
      </c>
      <c r="C1762" s="2"/>
      <c r="D1762" s="2" t="s">
        <v>8261</v>
      </c>
      <c r="E1762" s="2" t="s">
        <v>39</v>
      </c>
      <c r="F1762" s="2"/>
      <c r="G1762" s="2"/>
      <c r="H1762" s="2"/>
      <c r="I1762" s="3">
        <f t="shared" si="28"/>
        <v>546</v>
      </c>
    </row>
    <row r="1763" spans="1:9" ht="72" x14ac:dyDescent="0.3">
      <c r="A1763" s="2" t="s">
        <v>146</v>
      </c>
      <c r="B1763" s="2" t="s">
        <v>8264</v>
      </c>
      <c r="C1763" s="2" t="s">
        <v>214</v>
      </c>
      <c r="D1763" s="2" t="s">
        <v>8265</v>
      </c>
      <c r="E1763" s="2" t="s">
        <v>39</v>
      </c>
      <c r="F1763" s="2"/>
      <c r="G1763" s="2"/>
      <c r="H1763" s="2"/>
      <c r="I1763" s="3">
        <f t="shared" si="28"/>
        <v>549</v>
      </c>
    </row>
    <row r="1764" spans="1:9" ht="72" x14ac:dyDescent="0.3">
      <c r="A1764" s="2" t="s">
        <v>146</v>
      </c>
      <c r="B1764" s="2" t="s">
        <v>8268</v>
      </c>
      <c r="C1764" s="2"/>
      <c r="D1764" s="2" t="s">
        <v>8269</v>
      </c>
      <c r="E1764" s="2" t="s">
        <v>39</v>
      </c>
      <c r="F1764" s="2"/>
      <c r="G1764" s="2" t="s">
        <v>1717</v>
      </c>
      <c r="H1764" s="2"/>
      <c r="I1764" s="3">
        <f t="shared" si="28"/>
        <v>551</v>
      </c>
    </row>
    <row r="1765" spans="1:9" ht="72" x14ac:dyDescent="0.3">
      <c r="A1765" s="2" t="s">
        <v>146</v>
      </c>
      <c r="B1765" s="2" t="s">
        <v>8273</v>
      </c>
      <c r="C1765" s="2" t="s">
        <v>206</v>
      </c>
      <c r="D1765" s="2" t="s">
        <v>8274</v>
      </c>
      <c r="E1765" s="2" t="s">
        <v>2524</v>
      </c>
      <c r="F1765" s="2"/>
      <c r="G1765" s="2" t="s">
        <v>350</v>
      </c>
      <c r="H1765" s="2" t="s">
        <v>194</v>
      </c>
      <c r="I1765" s="3">
        <f t="shared" si="28"/>
        <v>554</v>
      </c>
    </row>
    <row r="1766" spans="1:9" ht="72" x14ac:dyDescent="0.3">
      <c r="A1766" s="2" t="s">
        <v>146</v>
      </c>
      <c r="B1766" s="2" t="s">
        <v>8291</v>
      </c>
      <c r="C1766" s="2" t="s">
        <v>8292</v>
      </c>
      <c r="D1766" s="2" t="s">
        <v>8965</v>
      </c>
      <c r="E1766" s="2" t="s">
        <v>39</v>
      </c>
      <c r="F1766" s="2" t="s">
        <v>2281</v>
      </c>
      <c r="G1766" s="2" t="s">
        <v>1717</v>
      </c>
      <c r="H1766" s="2" t="s">
        <v>8234</v>
      </c>
      <c r="I1766" s="3">
        <f t="shared" si="28"/>
        <v>560</v>
      </c>
    </row>
    <row r="1767" spans="1:9" ht="72" x14ac:dyDescent="0.3">
      <c r="A1767" s="2" t="s">
        <v>146</v>
      </c>
      <c r="B1767" s="2" t="s">
        <v>8303</v>
      </c>
      <c r="C1767" s="2" t="s">
        <v>8304</v>
      </c>
      <c r="D1767" s="2" t="s">
        <v>8966</v>
      </c>
      <c r="E1767" s="2" t="s">
        <v>39</v>
      </c>
      <c r="F1767" s="2" t="s">
        <v>2281</v>
      </c>
      <c r="G1767" s="2" t="s">
        <v>1717</v>
      </c>
      <c r="H1767" s="2" t="s">
        <v>8234</v>
      </c>
      <c r="I1767" s="3">
        <f t="shared" si="28"/>
        <v>563</v>
      </c>
    </row>
    <row r="1768" spans="1:9" ht="72" x14ac:dyDescent="0.3">
      <c r="A1768" s="2" t="s">
        <v>146</v>
      </c>
      <c r="B1768" s="2" t="s">
        <v>8316</v>
      </c>
      <c r="C1768" s="2" t="s">
        <v>250</v>
      </c>
      <c r="D1768" s="2" t="s">
        <v>8317</v>
      </c>
      <c r="E1768" s="2" t="s">
        <v>39</v>
      </c>
      <c r="F1768" s="2"/>
      <c r="G1768" s="2"/>
      <c r="H1768" s="2" t="s">
        <v>1176</v>
      </c>
      <c r="I1768" s="3">
        <f t="shared" si="28"/>
        <v>569</v>
      </c>
    </row>
    <row r="1769" spans="1:9" ht="72" x14ac:dyDescent="0.3">
      <c r="A1769" s="2" t="s">
        <v>146</v>
      </c>
      <c r="B1769" s="2" t="s">
        <v>8318</v>
      </c>
      <c r="C1769" s="2" t="s">
        <v>8319</v>
      </c>
      <c r="D1769" s="2" t="s">
        <v>8967</v>
      </c>
      <c r="E1769" s="2" t="s">
        <v>39</v>
      </c>
      <c r="F1769" s="2" t="s">
        <v>2281</v>
      </c>
      <c r="G1769" s="2" t="s">
        <v>1717</v>
      </c>
      <c r="H1769" s="2" t="s">
        <v>8234</v>
      </c>
      <c r="I1769" s="3">
        <f t="shared" si="28"/>
        <v>567</v>
      </c>
    </row>
    <row r="1770" spans="1:9" ht="72" x14ac:dyDescent="0.3">
      <c r="A1770" s="2" t="s">
        <v>146</v>
      </c>
      <c r="B1770" s="2" t="s">
        <v>8321</v>
      </c>
      <c r="C1770" s="2" t="s">
        <v>8322</v>
      </c>
      <c r="D1770" s="2" t="s">
        <v>8968</v>
      </c>
      <c r="E1770" s="2" t="s">
        <v>39</v>
      </c>
      <c r="F1770" s="2" t="s">
        <v>2281</v>
      </c>
      <c r="G1770" s="2" t="s">
        <v>1717</v>
      </c>
      <c r="H1770" s="2" t="s">
        <v>8234</v>
      </c>
      <c r="I1770" s="3">
        <f t="shared" si="28"/>
        <v>571</v>
      </c>
    </row>
    <row r="1771" spans="1:9" ht="72" x14ac:dyDescent="0.3">
      <c r="A1771" s="2" t="s">
        <v>146</v>
      </c>
      <c r="B1771" s="2" t="s">
        <v>8324</v>
      </c>
      <c r="C1771" s="2"/>
      <c r="D1771" s="2" t="s">
        <v>8325</v>
      </c>
      <c r="E1771" s="2" t="s">
        <v>39</v>
      </c>
      <c r="F1771" s="2"/>
      <c r="G1771" s="2"/>
      <c r="H1771" s="2"/>
      <c r="I1771" s="3">
        <f t="shared" si="28"/>
        <v>576</v>
      </c>
    </row>
    <row r="1772" spans="1:9" ht="72" x14ac:dyDescent="0.3">
      <c r="A1772" s="2" t="s">
        <v>146</v>
      </c>
      <c r="B1772" s="2" t="s">
        <v>8326</v>
      </c>
      <c r="C1772" s="2" t="s">
        <v>1647</v>
      </c>
      <c r="D1772" s="2" t="s">
        <v>8327</v>
      </c>
      <c r="E1772" s="2" t="s">
        <v>39</v>
      </c>
      <c r="F1772" s="2"/>
      <c r="G1772" s="2"/>
      <c r="H1772" s="2" t="s">
        <v>1644</v>
      </c>
      <c r="I1772" s="3">
        <f t="shared" si="28"/>
        <v>576</v>
      </c>
    </row>
    <row r="1773" spans="1:9" ht="72" x14ac:dyDescent="0.3">
      <c r="A1773" s="2" t="s">
        <v>146</v>
      </c>
      <c r="B1773" s="2" t="s">
        <v>8329</v>
      </c>
      <c r="C1773" s="2" t="s">
        <v>8330</v>
      </c>
      <c r="D1773" s="2" t="s">
        <v>8969</v>
      </c>
      <c r="E1773" s="2" t="s">
        <v>2709</v>
      </c>
      <c r="F1773" s="2" t="s">
        <v>1778</v>
      </c>
      <c r="G1773" s="2" t="s">
        <v>1717</v>
      </c>
      <c r="H1773" s="2"/>
      <c r="I1773" s="3">
        <f t="shared" si="28"/>
        <v>579</v>
      </c>
    </row>
    <row r="1774" spans="1:9" ht="72" x14ac:dyDescent="0.3">
      <c r="A1774" s="2" t="s">
        <v>146</v>
      </c>
      <c r="B1774" s="2" t="s">
        <v>1443</v>
      </c>
      <c r="C1774" s="2" t="s">
        <v>500</v>
      </c>
      <c r="D1774" s="2" t="s">
        <v>8334</v>
      </c>
      <c r="E1774" s="2" t="s">
        <v>39</v>
      </c>
      <c r="F1774" s="2"/>
      <c r="G1774" s="2"/>
      <c r="H1774" s="2" t="s">
        <v>402</v>
      </c>
      <c r="I1774" s="3">
        <f t="shared" ref="I1774:I1805" si="29">LEN(D1774)</f>
        <v>586</v>
      </c>
    </row>
    <row r="1775" spans="1:9" ht="72" x14ac:dyDescent="0.3">
      <c r="A1775" s="2" t="s">
        <v>146</v>
      </c>
      <c r="B1775" s="2" t="s">
        <v>2222</v>
      </c>
      <c r="C1775" s="2" t="s">
        <v>8335</v>
      </c>
      <c r="D1775" s="2" t="s">
        <v>8336</v>
      </c>
      <c r="E1775" s="2" t="s">
        <v>1140</v>
      </c>
      <c r="F1775" s="2"/>
      <c r="G1775" s="2" t="s">
        <v>1717</v>
      </c>
      <c r="H1775" s="2" t="s">
        <v>898</v>
      </c>
      <c r="I1775" s="3">
        <f t="shared" si="29"/>
        <v>588</v>
      </c>
    </row>
    <row r="1776" spans="1:9" ht="72" x14ac:dyDescent="0.3">
      <c r="A1776" s="2" t="s">
        <v>146</v>
      </c>
      <c r="B1776" s="2" t="s">
        <v>8337</v>
      </c>
      <c r="C1776" s="2" t="s">
        <v>4797</v>
      </c>
      <c r="D1776" s="2" t="s">
        <v>8970</v>
      </c>
      <c r="E1776" s="2" t="s">
        <v>39</v>
      </c>
      <c r="F1776" s="2" t="s">
        <v>1778</v>
      </c>
      <c r="G1776" s="2" t="s">
        <v>1717</v>
      </c>
      <c r="H1776" s="2" t="s">
        <v>646</v>
      </c>
      <c r="I1776" s="3">
        <f t="shared" si="29"/>
        <v>586</v>
      </c>
    </row>
    <row r="1777" spans="1:9" ht="72" x14ac:dyDescent="0.3">
      <c r="A1777" s="2" t="s">
        <v>146</v>
      </c>
      <c r="B1777" s="2" t="s">
        <v>8345</v>
      </c>
      <c r="C1777" s="2" t="s">
        <v>8346</v>
      </c>
      <c r="D1777" s="2" t="s">
        <v>8971</v>
      </c>
      <c r="E1777" s="2" t="s">
        <v>39</v>
      </c>
      <c r="F1777" s="2" t="s">
        <v>2281</v>
      </c>
      <c r="G1777" s="2" t="s">
        <v>1717</v>
      </c>
      <c r="H1777" s="2" t="s">
        <v>8234</v>
      </c>
      <c r="I1777" s="3">
        <f t="shared" si="29"/>
        <v>593</v>
      </c>
    </row>
    <row r="1778" spans="1:9" ht="72" x14ac:dyDescent="0.3">
      <c r="A1778" s="2" t="s">
        <v>146</v>
      </c>
      <c r="B1778" s="2" t="s">
        <v>8353</v>
      </c>
      <c r="C1778" s="2" t="s">
        <v>8354</v>
      </c>
      <c r="D1778" s="2" t="s">
        <v>8355</v>
      </c>
      <c r="E1778" s="2" t="s">
        <v>39</v>
      </c>
      <c r="F1778" s="2"/>
      <c r="G1778" s="2"/>
      <c r="H1778" s="2" t="s">
        <v>8234</v>
      </c>
      <c r="I1778" s="3">
        <f t="shared" si="29"/>
        <v>598</v>
      </c>
    </row>
    <row r="1779" spans="1:9" ht="72" x14ac:dyDescent="0.3">
      <c r="A1779" s="2" t="s">
        <v>146</v>
      </c>
      <c r="B1779" s="2" t="s">
        <v>8356</v>
      </c>
      <c r="C1779" s="2" t="s">
        <v>8319</v>
      </c>
      <c r="D1779" s="2" t="s">
        <v>8972</v>
      </c>
      <c r="E1779" s="2" t="s">
        <v>39</v>
      </c>
      <c r="F1779" s="2" t="s">
        <v>2281</v>
      </c>
      <c r="G1779" s="2" t="s">
        <v>1717</v>
      </c>
      <c r="H1779" s="2" t="s">
        <v>8234</v>
      </c>
      <c r="I1779" s="3">
        <f t="shared" si="29"/>
        <v>597</v>
      </c>
    </row>
    <row r="1780" spans="1:9" ht="72" x14ac:dyDescent="0.3">
      <c r="A1780" s="2" t="s">
        <v>146</v>
      </c>
      <c r="B1780" s="2" t="s">
        <v>8375</v>
      </c>
      <c r="C1780" s="2"/>
      <c r="D1780" s="2" t="s">
        <v>8376</v>
      </c>
      <c r="E1780" s="2" t="s">
        <v>39</v>
      </c>
      <c r="F1780" s="2"/>
      <c r="G1780" s="2"/>
      <c r="H1780" s="2"/>
      <c r="I1780" s="3">
        <f t="shared" si="29"/>
        <v>613</v>
      </c>
    </row>
    <row r="1781" spans="1:9" ht="72" x14ac:dyDescent="0.3">
      <c r="A1781" s="2" t="s">
        <v>146</v>
      </c>
      <c r="B1781" s="2" t="s">
        <v>6116</v>
      </c>
      <c r="C1781" s="2" t="s">
        <v>3350</v>
      </c>
      <c r="D1781" s="2" t="s">
        <v>8973</v>
      </c>
      <c r="E1781" s="2" t="s">
        <v>39</v>
      </c>
      <c r="F1781" s="2" t="s">
        <v>3082</v>
      </c>
      <c r="G1781" s="2" t="s">
        <v>1717</v>
      </c>
      <c r="H1781" s="2" t="s">
        <v>646</v>
      </c>
      <c r="I1781" s="3">
        <f t="shared" si="29"/>
        <v>612</v>
      </c>
    </row>
    <row r="1782" spans="1:9" ht="84" x14ac:dyDescent="0.3">
      <c r="A1782" s="2" t="s">
        <v>146</v>
      </c>
      <c r="B1782" s="2" t="s">
        <v>8391</v>
      </c>
      <c r="C1782" s="2"/>
      <c r="D1782" s="2" t="s">
        <v>8392</v>
      </c>
      <c r="E1782" s="2" t="s">
        <v>39</v>
      </c>
      <c r="F1782" s="2"/>
      <c r="G1782" s="2"/>
      <c r="H1782" s="2" t="s">
        <v>1176</v>
      </c>
      <c r="I1782" s="3">
        <f t="shared" si="29"/>
        <v>620</v>
      </c>
    </row>
    <row r="1783" spans="1:9" ht="84" x14ac:dyDescent="0.3">
      <c r="A1783" s="2" t="s">
        <v>146</v>
      </c>
      <c r="B1783" s="2" t="s">
        <v>8393</v>
      </c>
      <c r="C1783" s="3"/>
      <c r="D1783" s="2" t="s">
        <v>8974</v>
      </c>
      <c r="E1783" s="2" t="s">
        <v>8394</v>
      </c>
      <c r="F1783" s="2" t="s">
        <v>8395</v>
      </c>
      <c r="G1783" s="2" t="s">
        <v>1717</v>
      </c>
      <c r="H1783" s="2" t="s">
        <v>646</v>
      </c>
      <c r="I1783" s="3">
        <f t="shared" si="29"/>
        <v>615</v>
      </c>
    </row>
    <row r="1784" spans="1:9" ht="84" x14ac:dyDescent="0.3">
      <c r="A1784" s="2" t="s">
        <v>146</v>
      </c>
      <c r="B1784" s="2" t="s">
        <v>8396</v>
      </c>
      <c r="C1784" s="2" t="s">
        <v>8281</v>
      </c>
      <c r="D1784" s="2" t="s">
        <v>8975</v>
      </c>
      <c r="E1784" s="2" t="s">
        <v>616</v>
      </c>
      <c r="F1784" s="2" t="s">
        <v>2281</v>
      </c>
      <c r="G1784" s="2" t="s">
        <v>1717</v>
      </c>
      <c r="H1784" s="2" t="s">
        <v>8234</v>
      </c>
      <c r="I1784" s="3">
        <f t="shared" si="29"/>
        <v>623</v>
      </c>
    </row>
    <row r="1785" spans="1:9" ht="72" x14ac:dyDescent="0.3">
      <c r="A1785" s="2" t="s">
        <v>146</v>
      </c>
      <c r="B1785" s="2" t="s">
        <v>8397</v>
      </c>
      <c r="C1785" s="2" t="s">
        <v>8322</v>
      </c>
      <c r="D1785" s="2" t="s">
        <v>8976</v>
      </c>
      <c r="E1785" s="2" t="s">
        <v>39</v>
      </c>
      <c r="F1785" s="2" t="s">
        <v>2281</v>
      </c>
      <c r="G1785" s="2" t="s">
        <v>1717</v>
      </c>
      <c r="H1785" s="2" t="s">
        <v>8234</v>
      </c>
      <c r="I1785" s="3">
        <f t="shared" si="29"/>
        <v>624</v>
      </c>
    </row>
    <row r="1786" spans="1:9" ht="84" x14ac:dyDescent="0.3">
      <c r="A1786" s="2" t="s">
        <v>146</v>
      </c>
      <c r="B1786" s="2" t="s">
        <v>8398</v>
      </c>
      <c r="C1786" s="2" t="s">
        <v>8399</v>
      </c>
      <c r="D1786" s="2" t="s">
        <v>8977</v>
      </c>
      <c r="E1786" s="2" t="s">
        <v>1494</v>
      </c>
      <c r="F1786" s="2" t="s">
        <v>350</v>
      </c>
      <c r="G1786" s="2" t="s">
        <v>1717</v>
      </c>
      <c r="H1786" s="2" t="s">
        <v>898</v>
      </c>
      <c r="I1786" s="3">
        <f t="shared" si="29"/>
        <v>625</v>
      </c>
    </row>
    <row r="1787" spans="1:9" ht="84" x14ac:dyDescent="0.3">
      <c r="A1787" s="2" t="s">
        <v>146</v>
      </c>
      <c r="B1787" s="2" t="s">
        <v>8403</v>
      </c>
      <c r="C1787" s="2"/>
      <c r="D1787" s="2" t="s">
        <v>8404</v>
      </c>
      <c r="E1787" s="2" t="s">
        <v>39</v>
      </c>
      <c r="F1787" s="2"/>
      <c r="G1787" s="2"/>
      <c r="H1787" s="2"/>
      <c r="I1787" s="3">
        <f t="shared" si="29"/>
        <v>629</v>
      </c>
    </row>
    <row r="1788" spans="1:9" ht="84" x14ac:dyDescent="0.3">
      <c r="A1788" s="2" t="s">
        <v>146</v>
      </c>
      <c r="B1788" s="2" t="s">
        <v>8405</v>
      </c>
      <c r="C1788" s="2"/>
      <c r="D1788" s="2" t="s">
        <v>8978</v>
      </c>
      <c r="E1788" s="2" t="s">
        <v>39</v>
      </c>
      <c r="F1788" s="2" t="s">
        <v>8402</v>
      </c>
      <c r="G1788" s="2" t="s">
        <v>1717</v>
      </c>
      <c r="H1788" s="2"/>
      <c r="I1788" s="3">
        <f t="shared" si="29"/>
        <v>629</v>
      </c>
    </row>
    <row r="1789" spans="1:9" ht="84" x14ac:dyDescent="0.3">
      <c r="A1789" s="2" t="s">
        <v>146</v>
      </c>
      <c r="B1789" s="2" t="s">
        <v>8409</v>
      </c>
      <c r="C1789" s="2" t="s">
        <v>535</v>
      </c>
      <c r="D1789" s="2" t="s">
        <v>8410</v>
      </c>
      <c r="E1789" s="2" t="s">
        <v>2524</v>
      </c>
      <c r="F1789" s="2"/>
      <c r="G1789" s="2"/>
      <c r="H1789" s="2" t="s">
        <v>537</v>
      </c>
      <c r="I1789" s="3">
        <f t="shared" si="29"/>
        <v>635</v>
      </c>
    </row>
    <row r="1790" spans="1:9" ht="84" x14ac:dyDescent="0.3">
      <c r="A1790" s="2" t="s">
        <v>146</v>
      </c>
      <c r="B1790" s="2" t="s">
        <v>8416</v>
      </c>
      <c r="C1790" s="2" t="s">
        <v>8281</v>
      </c>
      <c r="D1790" s="2" t="s">
        <v>8979</v>
      </c>
      <c r="E1790" s="2" t="s">
        <v>616</v>
      </c>
      <c r="F1790" s="2" t="s">
        <v>2281</v>
      </c>
      <c r="G1790" s="2" t="s">
        <v>1717</v>
      </c>
      <c r="H1790" s="2" t="s">
        <v>8234</v>
      </c>
      <c r="I1790" s="3">
        <f t="shared" si="29"/>
        <v>646</v>
      </c>
    </row>
    <row r="1791" spans="1:9" ht="84" x14ac:dyDescent="0.3">
      <c r="A1791" s="2" t="s">
        <v>146</v>
      </c>
      <c r="B1791" s="2" t="s">
        <v>8421</v>
      </c>
      <c r="C1791" s="2" t="s">
        <v>1354</v>
      </c>
      <c r="D1791" s="2" t="s">
        <v>8980</v>
      </c>
      <c r="E1791" s="2" t="s">
        <v>1188</v>
      </c>
      <c r="F1791" s="2" t="s">
        <v>4117</v>
      </c>
      <c r="G1791" s="2" t="s">
        <v>1717</v>
      </c>
      <c r="H1791" s="2" t="s">
        <v>194</v>
      </c>
      <c r="I1791" s="3">
        <f t="shared" si="29"/>
        <v>650</v>
      </c>
    </row>
    <row r="1792" spans="1:9" ht="84" x14ac:dyDescent="0.3">
      <c r="A1792" s="2" t="s">
        <v>146</v>
      </c>
      <c r="B1792" s="2" t="s">
        <v>8422</v>
      </c>
      <c r="C1792" s="2" t="s">
        <v>8319</v>
      </c>
      <c r="D1792" s="2" t="s">
        <v>8981</v>
      </c>
      <c r="E1792" s="2" t="s">
        <v>39</v>
      </c>
      <c r="F1792" s="2" t="s">
        <v>2281</v>
      </c>
      <c r="G1792" s="2" t="s">
        <v>1717</v>
      </c>
      <c r="H1792" s="2" t="s">
        <v>8234</v>
      </c>
      <c r="I1792" s="3">
        <f t="shared" si="29"/>
        <v>653</v>
      </c>
    </row>
    <row r="1793" spans="1:9" ht="84" x14ac:dyDescent="0.3">
      <c r="A1793" s="2" t="s">
        <v>146</v>
      </c>
      <c r="B1793" s="2" t="s">
        <v>8423</v>
      </c>
      <c r="C1793" s="2" t="s">
        <v>8292</v>
      </c>
      <c r="D1793" s="2" t="s">
        <v>8982</v>
      </c>
      <c r="E1793" s="2" t="s">
        <v>39</v>
      </c>
      <c r="F1793" s="2" t="s">
        <v>3082</v>
      </c>
      <c r="G1793" s="2" t="s">
        <v>1717</v>
      </c>
      <c r="H1793" s="2" t="s">
        <v>8234</v>
      </c>
      <c r="I1793" s="3">
        <f t="shared" si="29"/>
        <v>654</v>
      </c>
    </row>
    <row r="1794" spans="1:9" ht="84" x14ac:dyDescent="0.3">
      <c r="A1794" s="2" t="s">
        <v>146</v>
      </c>
      <c r="B1794" s="2" t="s">
        <v>8424</v>
      </c>
      <c r="C1794" s="2" t="s">
        <v>8425</v>
      </c>
      <c r="D1794" s="2" t="s">
        <v>8983</v>
      </c>
      <c r="E1794" s="2" t="s">
        <v>39</v>
      </c>
      <c r="F1794" s="2" t="s">
        <v>3082</v>
      </c>
      <c r="G1794" s="2" t="s">
        <v>1717</v>
      </c>
      <c r="H1794" s="2"/>
      <c r="I1794" s="3">
        <f t="shared" si="29"/>
        <v>655</v>
      </c>
    </row>
    <row r="1795" spans="1:9" ht="84" x14ac:dyDescent="0.3">
      <c r="A1795" s="2" t="s">
        <v>146</v>
      </c>
      <c r="B1795" s="2" t="s">
        <v>8428</v>
      </c>
      <c r="C1795" s="2" t="s">
        <v>437</v>
      </c>
      <c r="D1795" s="2" t="s">
        <v>8429</v>
      </c>
      <c r="E1795" s="2" t="s">
        <v>39</v>
      </c>
      <c r="F1795" s="2"/>
      <c r="G1795" s="2" t="s">
        <v>4507</v>
      </c>
      <c r="H1795" s="2" t="s">
        <v>646</v>
      </c>
      <c r="I1795" s="3">
        <f t="shared" si="29"/>
        <v>660</v>
      </c>
    </row>
    <row r="1796" spans="1:9" ht="84" x14ac:dyDescent="0.3">
      <c r="A1796" s="2" t="s">
        <v>146</v>
      </c>
      <c r="B1796" s="2" t="s">
        <v>8430</v>
      </c>
      <c r="C1796" s="2" t="s">
        <v>8431</v>
      </c>
      <c r="D1796" s="2" t="s">
        <v>8984</v>
      </c>
      <c r="E1796" s="2" t="s">
        <v>3545</v>
      </c>
      <c r="F1796" s="2" t="s">
        <v>4117</v>
      </c>
      <c r="G1796" s="2" t="s">
        <v>1717</v>
      </c>
      <c r="H1796" s="2" t="s">
        <v>537</v>
      </c>
      <c r="I1796" s="3">
        <f t="shared" si="29"/>
        <v>656</v>
      </c>
    </row>
    <row r="1797" spans="1:9" ht="84" x14ac:dyDescent="0.3">
      <c r="A1797" s="2" t="s">
        <v>146</v>
      </c>
      <c r="B1797" s="2" t="s">
        <v>8437</v>
      </c>
      <c r="C1797" s="2" t="s">
        <v>8240</v>
      </c>
      <c r="D1797" s="2" t="s">
        <v>8985</v>
      </c>
      <c r="E1797" s="2" t="s">
        <v>39</v>
      </c>
      <c r="F1797" s="2" t="s">
        <v>2281</v>
      </c>
      <c r="G1797" s="2" t="s">
        <v>1717</v>
      </c>
      <c r="H1797" s="2"/>
      <c r="I1797" s="3">
        <f t="shared" si="29"/>
        <v>665</v>
      </c>
    </row>
    <row r="1798" spans="1:9" ht="84" x14ac:dyDescent="0.3">
      <c r="A1798" s="2" t="s">
        <v>146</v>
      </c>
      <c r="B1798" s="2" t="s">
        <v>8396</v>
      </c>
      <c r="C1798" s="2" t="s">
        <v>8292</v>
      </c>
      <c r="D1798" s="2" t="s">
        <v>8986</v>
      </c>
      <c r="E1798" s="2" t="s">
        <v>39</v>
      </c>
      <c r="F1798" s="2" t="s">
        <v>1778</v>
      </c>
      <c r="G1798" s="2" t="s">
        <v>1717</v>
      </c>
      <c r="H1798" s="2" t="s">
        <v>8234</v>
      </c>
      <c r="I1798" s="3">
        <f t="shared" si="29"/>
        <v>666</v>
      </c>
    </row>
    <row r="1799" spans="1:9" ht="84" x14ac:dyDescent="0.3">
      <c r="A1799" s="2" t="s">
        <v>146</v>
      </c>
      <c r="B1799" s="2" t="s">
        <v>4324</v>
      </c>
      <c r="C1799" s="2" t="s">
        <v>8446</v>
      </c>
      <c r="D1799" s="2" t="s">
        <v>8987</v>
      </c>
      <c r="E1799" s="2" t="s">
        <v>39</v>
      </c>
      <c r="F1799" s="2" t="s">
        <v>1778</v>
      </c>
      <c r="G1799" s="2" t="s">
        <v>1717</v>
      </c>
      <c r="H1799" s="2" t="s">
        <v>8234</v>
      </c>
      <c r="I1799" s="3">
        <f t="shared" si="29"/>
        <v>671</v>
      </c>
    </row>
    <row r="1800" spans="1:9" ht="84" x14ac:dyDescent="0.3">
      <c r="A1800" s="2" t="s">
        <v>146</v>
      </c>
      <c r="B1800" s="2" t="s">
        <v>8447</v>
      </c>
      <c r="C1800" s="2" t="s">
        <v>8259</v>
      </c>
      <c r="D1800" s="2" t="s">
        <v>8988</v>
      </c>
      <c r="E1800" s="2" t="s">
        <v>39</v>
      </c>
      <c r="F1800" s="2" t="s">
        <v>3082</v>
      </c>
      <c r="G1800" s="2" t="s">
        <v>1717</v>
      </c>
      <c r="H1800" s="2" t="s">
        <v>8234</v>
      </c>
      <c r="I1800" s="3">
        <f t="shared" si="29"/>
        <v>672</v>
      </c>
    </row>
    <row r="1801" spans="1:9" ht="84" x14ac:dyDescent="0.3">
      <c r="A1801" s="2" t="s">
        <v>146</v>
      </c>
      <c r="B1801" s="2" t="s">
        <v>8449</v>
      </c>
      <c r="C1801" s="2" t="s">
        <v>8450</v>
      </c>
      <c r="D1801" s="2" t="s">
        <v>8989</v>
      </c>
      <c r="E1801" s="2" t="s">
        <v>39</v>
      </c>
      <c r="F1801" s="2" t="s">
        <v>350</v>
      </c>
      <c r="G1801" s="2" t="s">
        <v>1717</v>
      </c>
      <c r="H1801" s="2"/>
      <c r="I1801" s="3">
        <f t="shared" si="29"/>
        <v>680</v>
      </c>
    </row>
    <row r="1802" spans="1:9" ht="84" x14ac:dyDescent="0.3">
      <c r="A1802" s="2" t="s">
        <v>146</v>
      </c>
      <c r="B1802" s="2" t="s">
        <v>8454</v>
      </c>
      <c r="C1802" s="2" t="s">
        <v>4858</v>
      </c>
      <c r="D1802" s="2" t="s">
        <v>8455</v>
      </c>
      <c r="E1802" s="2" t="s">
        <v>39</v>
      </c>
      <c r="F1802" s="2"/>
      <c r="G1802" s="2"/>
      <c r="H1802" s="2"/>
      <c r="I1802" s="3">
        <f t="shared" si="29"/>
        <v>686</v>
      </c>
    </row>
    <row r="1803" spans="1:9" ht="84" x14ac:dyDescent="0.3">
      <c r="A1803" s="2" t="s">
        <v>146</v>
      </c>
      <c r="B1803" s="2" t="s">
        <v>8456</v>
      </c>
      <c r="C1803" s="2" t="s">
        <v>8354</v>
      </c>
      <c r="D1803" s="2" t="s">
        <v>8990</v>
      </c>
      <c r="E1803" s="2" t="s">
        <v>616</v>
      </c>
      <c r="F1803" s="2" t="s">
        <v>2281</v>
      </c>
      <c r="G1803" s="2" t="s">
        <v>1717</v>
      </c>
      <c r="H1803" s="2" t="s">
        <v>8234</v>
      </c>
      <c r="I1803" s="3">
        <f t="shared" si="29"/>
        <v>685</v>
      </c>
    </row>
    <row r="1804" spans="1:9" ht="84" x14ac:dyDescent="0.3">
      <c r="A1804" s="2" t="s">
        <v>146</v>
      </c>
      <c r="B1804" s="2" t="s">
        <v>8463</v>
      </c>
      <c r="C1804" s="2" t="s">
        <v>500</v>
      </c>
      <c r="D1804" s="2" t="s">
        <v>8464</v>
      </c>
      <c r="E1804" s="2" t="s">
        <v>39</v>
      </c>
      <c r="F1804" s="2"/>
      <c r="G1804" s="2"/>
      <c r="H1804" s="2" t="s">
        <v>194</v>
      </c>
      <c r="I1804" s="3">
        <f t="shared" si="29"/>
        <v>695</v>
      </c>
    </row>
    <row r="1805" spans="1:9" ht="84" x14ac:dyDescent="0.3">
      <c r="A1805" s="2" t="s">
        <v>146</v>
      </c>
      <c r="B1805" s="2" t="s">
        <v>8466</v>
      </c>
      <c r="C1805" s="2" t="s">
        <v>4840</v>
      </c>
      <c r="D1805" s="2" t="s">
        <v>8991</v>
      </c>
      <c r="E1805" s="2" t="s">
        <v>3209</v>
      </c>
      <c r="F1805" s="2" t="s">
        <v>1778</v>
      </c>
      <c r="G1805" s="2" t="s">
        <v>1717</v>
      </c>
      <c r="H1805" s="2"/>
      <c r="I1805" s="3">
        <f t="shared" si="29"/>
        <v>698</v>
      </c>
    </row>
    <row r="1806" spans="1:9" ht="84" x14ac:dyDescent="0.3">
      <c r="A1806" s="2" t="s">
        <v>146</v>
      </c>
      <c r="B1806" s="2" t="s">
        <v>8471</v>
      </c>
      <c r="C1806" s="2" t="s">
        <v>491</v>
      </c>
      <c r="D1806" s="2" t="s">
        <v>8472</v>
      </c>
      <c r="E1806" s="2" t="s">
        <v>39</v>
      </c>
      <c r="F1806" s="2"/>
      <c r="G1806" s="2" t="s">
        <v>4507</v>
      </c>
      <c r="H1806" s="2"/>
      <c r="I1806" s="3">
        <f t="shared" ref="I1806:I1836" si="30">LEN(D1806)</f>
        <v>707</v>
      </c>
    </row>
    <row r="1807" spans="1:9" ht="84" x14ac:dyDescent="0.3">
      <c r="A1807" s="2" t="s">
        <v>146</v>
      </c>
      <c r="B1807" s="2" t="s">
        <v>8018</v>
      </c>
      <c r="C1807" s="2" t="s">
        <v>3793</v>
      </c>
      <c r="D1807" s="2" t="s">
        <v>8473</v>
      </c>
      <c r="E1807" s="2" t="s">
        <v>39</v>
      </c>
      <c r="F1807" s="2"/>
      <c r="G1807" s="2"/>
      <c r="H1807" s="2"/>
      <c r="I1807" s="3">
        <f t="shared" si="30"/>
        <v>708</v>
      </c>
    </row>
    <row r="1808" spans="1:9" ht="84" x14ac:dyDescent="0.3">
      <c r="A1808" s="2" t="s">
        <v>146</v>
      </c>
      <c r="B1808" s="2" t="s">
        <v>8479</v>
      </c>
      <c r="C1808" s="2" t="s">
        <v>515</v>
      </c>
      <c r="D1808" s="2" t="s">
        <v>8480</v>
      </c>
      <c r="E1808" s="2" t="s">
        <v>39</v>
      </c>
      <c r="F1808" s="2"/>
      <c r="G1808" s="2" t="s">
        <v>1717</v>
      </c>
      <c r="H1808" s="2"/>
      <c r="I1808" s="3">
        <f t="shared" si="30"/>
        <v>710</v>
      </c>
    </row>
    <row r="1809" spans="1:9" ht="96" x14ac:dyDescent="0.3">
      <c r="A1809" s="2" t="s">
        <v>146</v>
      </c>
      <c r="B1809" s="2" t="s">
        <v>8487</v>
      </c>
      <c r="C1809" s="2" t="s">
        <v>8488</v>
      </c>
      <c r="D1809" s="2" t="s">
        <v>8489</v>
      </c>
      <c r="E1809" s="2" t="s">
        <v>39</v>
      </c>
      <c r="F1809" s="2"/>
      <c r="G1809" s="2"/>
      <c r="H1809" s="2"/>
      <c r="I1809" s="3">
        <f t="shared" si="30"/>
        <v>716</v>
      </c>
    </row>
    <row r="1810" spans="1:9" ht="96" x14ac:dyDescent="0.3">
      <c r="A1810" s="2" t="s">
        <v>146</v>
      </c>
      <c r="B1810" s="2" t="s">
        <v>8494</v>
      </c>
      <c r="C1810" s="2" t="s">
        <v>8495</v>
      </c>
      <c r="D1810" s="2" t="s">
        <v>8992</v>
      </c>
      <c r="E1810" s="2" t="s">
        <v>2524</v>
      </c>
      <c r="F1810" s="2" t="s">
        <v>1778</v>
      </c>
      <c r="G1810" s="2" t="s">
        <v>1717</v>
      </c>
      <c r="H1810" s="2" t="s">
        <v>8234</v>
      </c>
      <c r="I1810" s="3">
        <f t="shared" si="30"/>
        <v>727</v>
      </c>
    </row>
    <row r="1811" spans="1:9" ht="84" x14ac:dyDescent="0.3">
      <c r="A1811" s="2" t="s">
        <v>146</v>
      </c>
      <c r="B1811" s="2" t="s">
        <v>8496</v>
      </c>
      <c r="C1811" s="2" t="s">
        <v>181</v>
      </c>
      <c r="D1811" s="2" t="s">
        <v>8993</v>
      </c>
      <c r="E1811" s="2" t="s">
        <v>39</v>
      </c>
      <c r="F1811" s="2" t="s">
        <v>2281</v>
      </c>
      <c r="G1811" s="2" t="s">
        <v>1717</v>
      </c>
      <c r="H1811" s="2" t="s">
        <v>1176</v>
      </c>
      <c r="I1811" s="3">
        <f t="shared" si="30"/>
        <v>727</v>
      </c>
    </row>
    <row r="1812" spans="1:9" ht="96" x14ac:dyDescent="0.3">
      <c r="A1812" s="2" t="s">
        <v>146</v>
      </c>
      <c r="B1812" s="2" t="s">
        <v>2919</v>
      </c>
      <c r="C1812" s="2" t="s">
        <v>8498</v>
      </c>
      <c r="D1812" s="2" t="s">
        <v>8994</v>
      </c>
      <c r="E1812" s="2" t="s">
        <v>39</v>
      </c>
      <c r="F1812" s="2" t="s">
        <v>2281</v>
      </c>
      <c r="G1812" s="2" t="s">
        <v>1717</v>
      </c>
      <c r="H1812" s="2" t="s">
        <v>8234</v>
      </c>
      <c r="I1812" s="3">
        <f t="shared" si="30"/>
        <v>734</v>
      </c>
    </row>
    <row r="1813" spans="1:9" ht="96" x14ac:dyDescent="0.3">
      <c r="A1813" s="2" t="s">
        <v>146</v>
      </c>
      <c r="B1813" s="2" t="s">
        <v>8499</v>
      </c>
      <c r="C1813" s="2" t="s">
        <v>535</v>
      </c>
      <c r="D1813" s="2" t="s">
        <v>8500</v>
      </c>
      <c r="E1813" s="2" t="s">
        <v>39</v>
      </c>
      <c r="F1813" s="2"/>
      <c r="G1813" s="2"/>
      <c r="H1813" s="2" t="s">
        <v>537</v>
      </c>
      <c r="I1813" s="3">
        <f t="shared" si="30"/>
        <v>738</v>
      </c>
    </row>
    <row r="1814" spans="1:9" ht="96" x14ac:dyDescent="0.3">
      <c r="A1814" s="2" t="s">
        <v>146</v>
      </c>
      <c r="B1814" s="2" t="s">
        <v>8508</v>
      </c>
      <c r="C1814" s="2" t="s">
        <v>500</v>
      </c>
      <c r="D1814" s="2" t="s">
        <v>8509</v>
      </c>
      <c r="E1814" s="2" t="s">
        <v>3226</v>
      </c>
      <c r="F1814" s="2"/>
      <c r="G1814" s="2"/>
      <c r="H1814" s="2" t="s">
        <v>402</v>
      </c>
      <c r="I1814" s="3">
        <f t="shared" si="30"/>
        <v>760</v>
      </c>
    </row>
    <row r="1815" spans="1:9" ht="96" x14ac:dyDescent="0.3">
      <c r="A1815" s="2" t="s">
        <v>146</v>
      </c>
      <c r="B1815" s="2" t="s">
        <v>8516</v>
      </c>
      <c r="C1815" s="2" t="s">
        <v>7704</v>
      </c>
      <c r="D1815" s="2" t="s">
        <v>8995</v>
      </c>
      <c r="E1815" s="2" t="s">
        <v>39</v>
      </c>
      <c r="F1815" s="2" t="s">
        <v>350</v>
      </c>
      <c r="G1815" s="2" t="s">
        <v>1717</v>
      </c>
      <c r="H1815" s="2" t="s">
        <v>1176</v>
      </c>
      <c r="I1815" s="3">
        <f t="shared" si="30"/>
        <v>769</v>
      </c>
    </row>
    <row r="1816" spans="1:9" ht="96" x14ac:dyDescent="0.3">
      <c r="A1816" s="2" t="s">
        <v>146</v>
      </c>
      <c r="B1816" s="2" t="s">
        <v>7437</v>
      </c>
      <c r="C1816" s="2" t="s">
        <v>8517</v>
      </c>
      <c r="D1816" s="2" t="s">
        <v>8996</v>
      </c>
      <c r="E1816" s="2" t="s">
        <v>39</v>
      </c>
      <c r="F1816" s="2" t="s">
        <v>1778</v>
      </c>
      <c r="G1816" s="2" t="s">
        <v>1717</v>
      </c>
      <c r="H1816" s="2" t="s">
        <v>8234</v>
      </c>
      <c r="I1816" s="3">
        <f t="shared" si="30"/>
        <v>775</v>
      </c>
    </row>
    <row r="1817" spans="1:9" ht="96" x14ac:dyDescent="0.3">
      <c r="A1817" s="2" t="s">
        <v>146</v>
      </c>
      <c r="B1817" s="2" t="s">
        <v>8518</v>
      </c>
      <c r="C1817" s="2" t="s">
        <v>729</v>
      </c>
      <c r="D1817" s="2" t="s">
        <v>8519</v>
      </c>
      <c r="E1817" s="2" t="s">
        <v>8520</v>
      </c>
      <c r="F1817" s="2"/>
      <c r="G1817" s="2"/>
      <c r="H1817" s="2" t="s">
        <v>646</v>
      </c>
      <c r="I1817" s="3">
        <f t="shared" si="30"/>
        <v>781</v>
      </c>
    </row>
    <row r="1818" spans="1:9" ht="96" x14ac:dyDescent="0.3">
      <c r="A1818" s="2" t="s">
        <v>146</v>
      </c>
      <c r="B1818" s="2" t="s">
        <v>7235</v>
      </c>
      <c r="C1818" s="2" t="s">
        <v>6847</v>
      </c>
      <c r="D1818" s="2" t="s">
        <v>8529</v>
      </c>
      <c r="E1818" s="2" t="s">
        <v>39</v>
      </c>
      <c r="F1818" s="2"/>
      <c r="G1818" s="2" t="s">
        <v>1717</v>
      </c>
      <c r="H1818" s="2"/>
      <c r="I1818" s="3">
        <f t="shared" si="30"/>
        <v>799</v>
      </c>
    </row>
    <row r="1819" spans="1:9" ht="108" x14ac:dyDescent="0.3">
      <c r="A1819" s="2" t="s">
        <v>146</v>
      </c>
      <c r="B1819" s="2" t="s">
        <v>8530</v>
      </c>
      <c r="C1819" s="2" t="s">
        <v>8531</v>
      </c>
      <c r="D1819" s="2" t="s">
        <v>8532</v>
      </c>
      <c r="E1819" s="2" t="s">
        <v>39</v>
      </c>
      <c r="F1819" s="2"/>
      <c r="G1819" s="2"/>
      <c r="H1819" s="2" t="s">
        <v>646</v>
      </c>
      <c r="I1819" s="3">
        <f t="shared" si="30"/>
        <v>803</v>
      </c>
    </row>
    <row r="1820" spans="1:9" ht="96" x14ac:dyDescent="0.3">
      <c r="A1820" s="2" t="s">
        <v>146</v>
      </c>
      <c r="B1820" s="2" t="s">
        <v>7437</v>
      </c>
      <c r="C1820" s="2" t="s">
        <v>8517</v>
      </c>
      <c r="D1820" s="2" t="s">
        <v>8997</v>
      </c>
      <c r="E1820" s="2" t="s">
        <v>39</v>
      </c>
      <c r="F1820" s="2" t="s">
        <v>1778</v>
      </c>
      <c r="G1820" s="2" t="s">
        <v>1717</v>
      </c>
      <c r="H1820" s="2" t="s">
        <v>8234</v>
      </c>
      <c r="I1820" s="3">
        <f t="shared" si="30"/>
        <v>813</v>
      </c>
    </row>
    <row r="1821" spans="1:9" ht="108" x14ac:dyDescent="0.3">
      <c r="A1821" s="2" t="s">
        <v>146</v>
      </c>
      <c r="B1821" s="2" t="s">
        <v>8538</v>
      </c>
      <c r="C1821" s="2" t="s">
        <v>8539</v>
      </c>
      <c r="D1821" s="2" t="s">
        <v>8540</v>
      </c>
      <c r="E1821" s="2" t="s">
        <v>8026</v>
      </c>
      <c r="F1821" s="2"/>
      <c r="G1821" s="2"/>
      <c r="H1821" s="2" t="s">
        <v>646</v>
      </c>
      <c r="I1821" s="3">
        <f t="shared" si="30"/>
        <v>826</v>
      </c>
    </row>
    <row r="1822" spans="1:9" ht="108" x14ac:dyDescent="0.3">
      <c r="A1822" s="2" t="s">
        <v>146</v>
      </c>
      <c r="B1822" s="2" t="s">
        <v>8551</v>
      </c>
      <c r="C1822" s="2" t="s">
        <v>8552</v>
      </c>
      <c r="D1822" s="2" t="s">
        <v>8702</v>
      </c>
      <c r="E1822" s="2" t="s">
        <v>8553</v>
      </c>
      <c r="F1822" s="2"/>
      <c r="G1822" s="2"/>
      <c r="H1822" s="2" t="s">
        <v>216</v>
      </c>
      <c r="I1822" s="3">
        <f t="shared" si="30"/>
        <v>848</v>
      </c>
    </row>
    <row r="1823" spans="1:9" ht="108" x14ac:dyDescent="0.3">
      <c r="A1823" s="2" t="s">
        <v>146</v>
      </c>
      <c r="B1823" s="2" t="s">
        <v>8558</v>
      </c>
      <c r="C1823" s="2" t="s">
        <v>8559</v>
      </c>
      <c r="D1823" s="2" t="s">
        <v>8560</v>
      </c>
      <c r="E1823" s="2" t="s">
        <v>2709</v>
      </c>
      <c r="F1823" s="2"/>
      <c r="G1823" s="2"/>
      <c r="H1823" s="2" t="s">
        <v>898</v>
      </c>
      <c r="I1823" s="3">
        <f t="shared" si="30"/>
        <v>858</v>
      </c>
    </row>
    <row r="1824" spans="1:9" ht="108" x14ac:dyDescent="0.3">
      <c r="A1824" s="2" t="s">
        <v>146</v>
      </c>
      <c r="B1824" s="2" t="s">
        <v>8563</v>
      </c>
      <c r="C1824" s="2" t="s">
        <v>535</v>
      </c>
      <c r="D1824" s="2" t="s">
        <v>8564</v>
      </c>
      <c r="E1824" s="2" t="s">
        <v>39</v>
      </c>
      <c r="F1824" s="2"/>
      <c r="G1824" s="2"/>
      <c r="H1824" s="2" t="s">
        <v>1176</v>
      </c>
      <c r="I1824" s="3">
        <f t="shared" si="30"/>
        <v>875</v>
      </c>
    </row>
    <row r="1825" spans="1:9" ht="108" x14ac:dyDescent="0.3">
      <c r="A1825" s="2" t="s">
        <v>146</v>
      </c>
      <c r="B1825" s="2" t="s">
        <v>8567</v>
      </c>
      <c r="C1825" s="2"/>
      <c r="D1825" s="2" t="s">
        <v>8568</v>
      </c>
      <c r="E1825" s="2" t="s">
        <v>39</v>
      </c>
      <c r="F1825" s="2"/>
      <c r="G1825" s="2"/>
      <c r="H1825" s="2"/>
      <c r="I1825" s="3">
        <f t="shared" si="30"/>
        <v>877</v>
      </c>
    </row>
    <row r="1826" spans="1:9" ht="108" x14ac:dyDescent="0.3">
      <c r="A1826" s="2" t="s">
        <v>146</v>
      </c>
      <c r="B1826" s="2" t="s">
        <v>8569</v>
      </c>
      <c r="C1826" s="2"/>
      <c r="D1826" s="2" t="s">
        <v>8570</v>
      </c>
      <c r="E1826" s="2" t="s">
        <v>39</v>
      </c>
      <c r="F1826" s="2"/>
      <c r="G1826" s="2"/>
      <c r="H1826" s="2" t="s">
        <v>1176</v>
      </c>
      <c r="I1826" s="3">
        <f t="shared" si="30"/>
        <v>884</v>
      </c>
    </row>
    <row r="1827" spans="1:9" ht="108" x14ac:dyDescent="0.3">
      <c r="A1827" s="2" t="s">
        <v>146</v>
      </c>
      <c r="B1827" s="2" t="s">
        <v>8571</v>
      </c>
      <c r="C1827" s="2"/>
      <c r="D1827" s="2" t="s">
        <v>8572</v>
      </c>
      <c r="E1827" s="2" t="s">
        <v>39</v>
      </c>
      <c r="F1827" s="2"/>
      <c r="G1827" s="2"/>
      <c r="H1827" s="2" t="s">
        <v>646</v>
      </c>
      <c r="I1827" s="3">
        <f t="shared" si="30"/>
        <v>885</v>
      </c>
    </row>
    <row r="1828" spans="1:9" ht="108" x14ac:dyDescent="0.3">
      <c r="A1828" s="2" t="s">
        <v>146</v>
      </c>
      <c r="B1828" s="2" t="s">
        <v>8573</v>
      </c>
      <c r="C1828" s="2"/>
      <c r="D1828" s="2" t="s">
        <v>8998</v>
      </c>
      <c r="E1828" s="2" t="s">
        <v>39</v>
      </c>
      <c r="F1828" s="2" t="s">
        <v>2281</v>
      </c>
      <c r="G1828" s="2" t="s">
        <v>1717</v>
      </c>
      <c r="H1828" s="2" t="s">
        <v>646</v>
      </c>
      <c r="I1828" s="3">
        <f t="shared" si="30"/>
        <v>884</v>
      </c>
    </row>
    <row r="1829" spans="1:9" ht="108" x14ac:dyDescent="0.3">
      <c r="A1829" s="2" t="s">
        <v>146</v>
      </c>
      <c r="B1829" s="2" t="s">
        <v>8574</v>
      </c>
      <c r="C1829" s="2"/>
      <c r="D1829" s="2" t="s">
        <v>8575</v>
      </c>
      <c r="E1829" s="2" t="s">
        <v>39</v>
      </c>
      <c r="F1829" s="2"/>
      <c r="G1829" s="2"/>
      <c r="H1829" s="2" t="s">
        <v>194</v>
      </c>
      <c r="I1829" s="3">
        <f t="shared" si="30"/>
        <v>886</v>
      </c>
    </row>
    <row r="1830" spans="1:9" ht="120" x14ac:dyDescent="0.3">
      <c r="A1830" s="2" t="s">
        <v>146</v>
      </c>
      <c r="B1830" s="2" t="s">
        <v>7437</v>
      </c>
      <c r="C1830" s="2" t="s">
        <v>8517</v>
      </c>
      <c r="D1830" s="2" t="s">
        <v>8999</v>
      </c>
      <c r="E1830" s="2" t="s">
        <v>39</v>
      </c>
      <c r="F1830" s="2" t="s">
        <v>1778</v>
      </c>
      <c r="G1830" s="2" t="s">
        <v>1717</v>
      </c>
      <c r="H1830" s="2" t="s">
        <v>8234</v>
      </c>
      <c r="I1830" s="3">
        <f t="shared" si="30"/>
        <v>951</v>
      </c>
    </row>
    <row r="1831" spans="1:9" ht="120" x14ac:dyDescent="0.3">
      <c r="A1831" s="2" t="s">
        <v>146</v>
      </c>
      <c r="B1831" s="2" t="s">
        <v>8603</v>
      </c>
      <c r="C1831" s="2" t="s">
        <v>5142</v>
      </c>
      <c r="D1831" s="2" t="s">
        <v>8604</v>
      </c>
      <c r="E1831" s="2" t="s">
        <v>39</v>
      </c>
      <c r="F1831" s="2"/>
      <c r="G1831" s="2"/>
      <c r="H1831" s="2" t="s">
        <v>402</v>
      </c>
      <c r="I1831" s="3">
        <f t="shared" si="30"/>
        <v>1023</v>
      </c>
    </row>
    <row r="1832" spans="1:9" ht="132" x14ac:dyDescent="0.3">
      <c r="A1832" s="2" t="s">
        <v>146</v>
      </c>
      <c r="B1832" s="2" t="s">
        <v>8613</v>
      </c>
      <c r="C1832" s="2" t="s">
        <v>500</v>
      </c>
      <c r="D1832" s="2" t="s">
        <v>8614</v>
      </c>
      <c r="E1832" s="2" t="s">
        <v>39</v>
      </c>
      <c r="F1832" s="2"/>
      <c r="G1832" s="2"/>
      <c r="H1832" s="2" t="s">
        <v>402</v>
      </c>
      <c r="I1832" s="3">
        <f t="shared" si="30"/>
        <v>1062</v>
      </c>
    </row>
    <row r="1833" spans="1:9" ht="132" x14ac:dyDescent="0.3">
      <c r="A1833" s="2" t="s">
        <v>146</v>
      </c>
      <c r="B1833" s="2" t="s">
        <v>8615</v>
      </c>
      <c r="C1833" s="2" t="s">
        <v>8616</v>
      </c>
      <c r="D1833" s="2" t="s">
        <v>9000</v>
      </c>
      <c r="E1833" s="2" t="s">
        <v>5017</v>
      </c>
      <c r="F1833" s="2" t="s">
        <v>1778</v>
      </c>
      <c r="G1833" s="2" t="s">
        <v>1717</v>
      </c>
      <c r="H1833" s="2" t="s">
        <v>194</v>
      </c>
      <c r="I1833" s="3">
        <f t="shared" si="30"/>
        <v>1073</v>
      </c>
    </row>
    <row r="1834" spans="1:9" ht="144" x14ac:dyDescent="0.3">
      <c r="A1834" s="2" t="s">
        <v>146</v>
      </c>
      <c r="B1834" s="2" t="s">
        <v>8624</v>
      </c>
      <c r="C1834" s="2" t="s">
        <v>8625</v>
      </c>
      <c r="D1834" s="2" t="s">
        <v>9001</v>
      </c>
      <c r="E1834" s="2" t="s">
        <v>39</v>
      </c>
      <c r="F1834" s="2" t="s">
        <v>3082</v>
      </c>
      <c r="G1834" s="2" t="s">
        <v>1717</v>
      </c>
      <c r="H1834" s="2" t="s">
        <v>646</v>
      </c>
      <c r="I1834" s="3">
        <f t="shared" si="30"/>
        <v>1205</v>
      </c>
    </row>
    <row r="1835" spans="1:9" ht="180" x14ac:dyDescent="0.3">
      <c r="A1835" s="2" t="s">
        <v>146</v>
      </c>
      <c r="B1835" s="2" t="s">
        <v>8631</v>
      </c>
      <c r="C1835" s="2" t="s">
        <v>8632</v>
      </c>
      <c r="D1835" s="2" t="s">
        <v>9002</v>
      </c>
      <c r="E1835" s="2" t="s">
        <v>39</v>
      </c>
      <c r="F1835" s="2" t="s">
        <v>3082</v>
      </c>
      <c r="G1835" s="2" t="s">
        <v>1717</v>
      </c>
      <c r="H1835" s="2" t="s">
        <v>646</v>
      </c>
      <c r="I1835" s="3">
        <f t="shared" si="30"/>
        <v>1314</v>
      </c>
    </row>
    <row r="1836" spans="1:9" ht="180" x14ac:dyDescent="0.3">
      <c r="A1836" s="2" t="s">
        <v>146</v>
      </c>
      <c r="B1836" s="2" t="s">
        <v>8639</v>
      </c>
      <c r="C1836" s="2" t="s">
        <v>8640</v>
      </c>
      <c r="D1836" s="2" t="s">
        <v>9558</v>
      </c>
      <c r="E1836" s="2" t="s">
        <v>39</v>
      </c>
      <c r="F1836" s="2"/>
      <c r="G1836" s="2"/>
      <c r="H1836" s="2" t="s">
        <v>194</v>
      </c>
      <c r="I1836" s="3">
        <f t="shared" si="30"/>
        <v>1518</v>
      </c>
    </row>
  </sheetData>
  <autoFilter ref="A1:I1836" xr:uid="{00000000-0009-0000-0000-000000000000}">
    <sortState xmlns:xlrd2="http://schemas.microsoft.com/office/spreadsheetml/2017/richdata2" ref="A2:I1836">
      <sortCondition ref="A1:A1836"/>
    </sortState>
  </autoFilter>
  <conditionalFormatting sqref="H1:H1838">
    <cfRule type="notContainsBlanks" dxfId="11" priority="1">
      <formula>LEN(TRIM(H1))&gt;0</formula>
    </cfRule>
  </conditionalFormatting>
  <dataValidations count="2">
    <dataValidation type="list" allowBlank="1" sqref="H2:H1836" xr:uid="{F2B3EBB4-160C-44E7-B59A-4B37DDE440F5}">
      <formula1>#REF!</formula1>
    </dataValidation>
    <dataValidation type="list" allowBlank="1" showErrorMessage="1" sqref="C2:C1836" xr:uid="{02EC9AB1-8AF9-4AD5-BCAF-A09858F7E163}">
      <formula1>#REF!</formula1>
    </dataValidation>
  </dataValidations>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45874-F317-41B7-A1BA-11E4DD20F3DE}">
  <dimension ref="A1:I136"/>
  <sheetViews>
    <sheetView workbookViewId="0">
      <pane ySplit="1" topLeftCell="A109" activePane="bottomLeft" state="frozen"/>
      <selection pane="bottomLeft" activeCell="D137" sqref="D137"/>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682</v>
      </c>
      <c r="B2" s="2" t="s">
        <v>683</v>
      </c>
      <c r="C2" s="2" t="s">
        <v>408</v>
      </c>
      <c r="D2" s="2" t="s">
        <v>684</v>
      </c>
      <c r="E2" s="2"/>
      <c r="F2" s="2"/>
      <c r="G2" s="2"/>
      <c r="H2" s="2"/>
      <c r="I2" s="3">
        <f t="shared" ref="I2:I33" si="0">LEN(D2)</f>
        <v>46</v>
      </c>
    </row>
    <row r="3" spans="1:9" ht="24" x14ac:dyDescent="0.3">
      <c r="A3" s="2" t="s">
        <v>682</v>
      </c>
      <c r="B3" s="2" t="s">
        <v>939</v>
      </c>
      <c r="C3" s="2" t="s">
        <v>8731</v>
      </c>
      <c r="D3" s="2" t="s">
        <v>940</v>
      </c>
      <c r="E3" s="2" t="s">
        <v>39</v>
      </c>
      <c r="F3" s="2"/>
      <c r="G3" s="2"/>
      <c r="H3" s="2"/>
      <c r="I3" s="3">
        <f t="shared" si="0"/>
        <v>53</v>
      </c>
    </row>
    <row r="4" spans="1:9" ht="24" x14ac:dyDescent="0.3">
      <c r="A4" s="2" t="s">
        <v>682</v>
      </c>
      <c r="B4" s="2" t="s">
        <v>969</v>
      </c>
      <c r="C4" s="2" t="s">
        <v>8731</v>
      </c>
      <c r="D4" s="2" t="s">
        <v>970</v>
      </c>
      <c r="E4" s="2" t="s">
        <v>39</v>
      </c>
      <c r="F4" s="2"/>
      <c r="G4" s="2"/>
      <c r="H4" s="2"/>
      <c r="I4" s="3">
        <f t="shared" si="0"/>
        <v>54</v>
      </c>
    </row>
    <row r="5" spans="1:9" x14ac:dyDescent="0.3">
      <c r="A5" s="2" t="s">
        <v>682</v>
      </c>
      <c r="B5" s="2" t="s">
        <v>1160</v>
      </c>
      <c r="C5" s="2" t="s">
        <v>8731</v>
      </c>
      <c r="D5" s="2" t="s">
        <v>1161</v>
      </c>
      <c r="E5" s="2" t="s">
        <v>39</v>
      </c>
      <c r="F5" s="2"/>
      <c r="G5" s="2"/>
      <c r="H5" s="2"/>
      <c r="I5" s="3">
        <f t="shared" si="0"/>
        <v>58</v>
      </c>
    </row>
    <row r="6" spans="1:9" x14ac:dyDescent="0.3">
      <c r="A6" s="2" t="s">
        <v>682</v>
      </c>
      <c r="B6" s="2" t="s">
        <v>1222</v>
      </c>
      <c r="C6" s="2" t="s">
        <v>8731</v>
      </c>
      <c r="D6" s="2" t="s">
        <v>1223</v>
      </c>
      <c r="E6" s="2"/>
      <c r="F6" s="2"/>
      <c r="G6" s="2"/>
      <c r="H6" s="2"/>
      <c r="I6" s="3">
        <f t="shared" si="0"/>
        <v>59</v>
      </c>
    </row>
    <row r="7" spans="1:9" x14ac:dyDescent="0.3">
      <c r="A7" s="2" t="s">
        <v>682</v>
      </c>
      <c r="B7" s="2" t="s">
        <v>1277</v>
      </c>
      <c r="C7" s="2" t="s">
        <v>408</v>
      </c>
      <c r="D7" s="2" t="s">
        <v>1278</v>
      </c>
      <c r="E7" s="2"/>
      <c r="F7" s="2"/>
      <c r="G7" s="2"/>
      <c r="H7" s="2"/>
      <c r="I7" s="3">
        <f t="shared" si="0"/>
        <v>60</v>
      </c>
    </row>
    <row r="8" spans="1:9" x14ac:dyDescent="0.3">
      <c r="A8" s="2" t="s">
        <v>682</v>
      </c>
      <c r="B8" s="2" t="s">
        <v>1279</v>
      </c>
      <c r="C8" s="2" t="s">
        <v>8731</v>
      </c>
      <c r="D8" s="2" t="s">
        <v>1280</v>
      </c>
      <c r="E8" s="2" t="s">
        <v>39</v>
      </c>
      <c r="F8" s="2"/>
      <c r="G8" s="2"/>
      <c r="H8" s="2"/>
      <c r="I8" s="3">
        <f t="shared" si="0"/>
        <v>60</v>
      </c>
    </row>
    <row r="9" spans="1:9" x14ac:dyDescent="0.3">
      <c r="A9" s="2" t="s">
        <v>682</v>
      </c>
      <c r="B9" s="2" t="s">
        <v>1279</v>
      </c>
      <c r="C9" s="2" t="s">
        <v>9525</v>
      </c>
      <c r="D9" s="2" t="s">
        <v>1319</v>
      </c>
      <c r="E9" s="2"/>
      <c r="F9" s="2"/>
      <c r="G9" s="2"/>
      <c r="H9" s="2"/>
      <c r="I9" s="3">
        <f t="shared" si="0"/>
        <v>61</v>
      </c>
    </row>
    <row r="10" spans="1:9" x14ac:dyDescent="0.3">
      <c r="A10" s="2" t="s">
        <v>682</v>
      </c>
      <c r="B10" s="2" t="s">
        <v>1392</v>
      </c>
      <c r="C10" s="2" t="s">
        <v>408</v>
      </c>
      <c r="D10" s="2" t="s">
        <v>1393</v>
      </c>
      <c r="E10" s="2" t="s">
        <v>39</v>
      </c>
      <c r="F10" s="2"/>
      <c r="G10" s="2"/>
      <c r="H10" s="2"/>
      <c r="I10" s="3">
        <f t="shared" si="0"/>
        <v>62</v>
      </c>
    </row>
    <row r="11" spans="1:9" ht="24" x14ac:dyDescent="0.3">
      <c r="A11" s="2" t="s">
        <v>682</v>
      </c>
      <c r="B11" s="2" t="s">
        <v>1394</v>
      </c>
      <c r="C11" s="2" t="s">
        <v>8731</v>
      </c>
      <c r="D11" s="2" t="s">
        <v>1395</v>
      </c>
      <c r="E11" s="2" t="s">
        <v>39</v>
      </c>
      <c r="F11" s="2"/>
      <c r="G11" s="2"/>
      <c r="H11" s="2"/>
      <c r="I11" s="3">
        <f t="shared" si="0"/>
        <v>62</v>
      </c>
    </row>
    <row r="12" spans="1:9" x14ac:dyDescent="0.3">
      <c r="A12" s="2" t="s">
        <v>682</v>
      </c>
      <c r="B12" s="2" t="s">
        <v>1396</v>
      </c>
      <c r="C12" s="2" t="s">
        <v>9525</v>
      </c>
      <c r="D12" s="2" t="s">
        <v>1397</v>
      </c>
      <c r="E12" s="2"/>
      <c r="F12" s="2"/>
      <c r="G12" s="2"/>
      <c r="H12" s="2"/>
      <c r="I12" s="3">
        <f t="shared" si="0"/>
        <v>62</v>
      </c>
    </row>
    <row r="13" spans="1:9" x14ac:dyDescent="0.3">
      <c r="A13" s="2" t="s">
        <v>682</v>
      </c>
      <c r="B13" s="2" t="s">
        <v>1398</v>
      </c>
      <c r="C13" s="2" t="s">
        <v>8731</v>
      </c>
      <c r="D13" s="2" t="s">
        <v>1399</v>
      </c>
      <c r="E13" s="2" t="s">
        <v>39</v>
      </c>
      <c r="F13" s="2"/>
      <c r="G13" s="2"/>
      <c r="H13" s="2"/>
      <c r="I13" s="3">
        <f t="shared" si="0"/>
        <v>62</v>
      </c>
    </row>
    <row r="14" spans="1:9" x14ac:dyDescent="0.3">
      <c r="A14" s="2" t="s">
        <v>682</v>
      </c>
      <c r="B14" s="2" t="s">
        <v>1400</v>
      </c>
      <c r="C14" s="2" t="s">
        <v>9526</v>
      </c>
      <c r="D14" s="2" t="s">
        <v>1401</v>
      </c>
      <c r="E14" s="2"/>
      <c r="F14" s="2"/>
      <c r="G14" s="2"/>
      <c r="H14" s="2"/>
      <c r="I14" s="3">
        <f t="shared" si="0"/>
        <v>62</v>
      </c>
    </row>
    <row r="15" spans="1:9" x14ac:dyDescent="0.3">
      <c r="A15" s="2" t="s">
        <v>682</v>
      </c>
      <c r="B15" s="2" t="s">
        <v>1457</v>
      </c>
      <c r="C15" s="2" t="s">
        <v>8731</v>
      </c>
      <c r="D15" s="2" t="s">
        <v>1458</v>
      </c>
      <c r="E15" s="2" t="s">
        <v>39</v>
      </c>
      <c r="F15" s="2"/>
      <c r="G15" s="2"/>
      <c r="H15" s="2"/>
      <c r="I15" s="3">
        <f t="shared" si="0"/>
        <v>63</v>
      </c>
    </row>
    <row r="16" spans="1:9" x14ac:dyDescent="0.3">
      <c r="A16" s="2" t="s">
        <v>682</v>
      </c>
      <c r="B16" s="2" t="s">
        <v>1459</v>
      </c>
      <c r="C16" s="2" t="s">
        <v>8731</v>
      </c>
      <c r="D16" s="2" t="s">
        <v>1460</v>
      </c>
      <c r="E16" s="2" t="s">
        <v>39</v>
      </c>
      <c r="F16" s="2"/>
      <c r="G16" s="2"/>
      <c r="H16" s="2"/>
      <c r="I16" s="3">
        <f t="shared" si="0"/>
        <v>63</v>
      </c>
    </row>
    <row r="17" spans="1:9" x14ac:dyDescent="0.3">
      <c r="A17" s="2" t="s">
        <v>682</v>
      </c>
      <c r="B17" s="2" t="s">
        <v>1461</v>
      </c>
      <c r="C17" s="2" t="s">
        <v>8731</v>
      </c>
      <c r="D17" s="2" t="s">
        <v>1462</v>
      </c>
      <c r="E17" s="2" t="s">
        <v>39</v>
      </c>
      <c r="F17" s="2"/>
      <c r="G17" s="2"/>
      <c r="H17" s="2"/>
      <c r="I17" s="3">
        <f t="shared" si="0"/>
        <v>63</v>
      </c>
    </row>
    <row r="18" spans="1:9" x14ac:dyDescent="0.3">
      <c r="A18" s="2" t="s">
        <v>682</v>
      </c>
      <c r="B18" s="2" t="s">
        <v>1463</v>
      </c>
      <c r="C18" s="2" t="s">
        <v>8731</v>
      </c>
      <c r="D18" s="2" t="s">
        <v>1464</v>
      </c>
      <c r="E18" s="2" t="s">
        <v>39</v>
      </c>
      <c r="F18" s="2"/>
      <c r="G18" s="2"/>
      <c r="H18" s="2"/>
      <c r="I18" s="3">
        <f t="shared" si="0"/>
        <v>63</v>
      </c>
    </row>
    <row r="19" spans="1:9" ht="24" x14ac:dyDescent="0.3">
      <c r="A19" s="2" t="s">
        <v>682</v>
      </c>
      <c r="B19" s="2" t="s">
        <v>1465</v>
      </c>
      <c r="C19" s="2" t="s">
        <v>8731</v>
      </c>
      <c r="D19" s="2" t="s">
        <v>1466</v>
      </c>
      <c r="E19" s="2" t="s">
        <v>39</v>
      </c>
      <c r="F19" s="2"/>
      <c r="G19" s="2"/>
      <c r="H19" s="2"/>
      <c r="I19" s="3">
        <f t="shared" si="0"/>
        <v>63</v>
      </c>
    </row>
    <row r="20" spans="1:9" ht="24" x14ac:dyDescent="0.3">
      <c r="A20" s="2" t="s">
        <v>682</v>
      </c>
      <c r="B20" s="2" t="s">
        <v>1515</v>
      </c>
      <c r="C20" s="2" t="s">
        <v>9527</v>
      </c>
      <c r="D20" s="2" t="s">
        <v>1516</v>
      </c>
      <c r="E20" s="2"/>
      <c r="F20" s="2"/>
      <c r="G20" s="2"/>
      <c r="H20" s="2"/>
      <c r="I20" s="3">
        <f t="shared" si="0"/>
        <v>64</v>
      </c>
    </row>
    <row r="21" spans="1:9" x14ac:dyDescent="0.3">
      <c r="A21" s="2" t="s">
        <v>682</v>
      </c>
      <c r="B21" s="2" t="s">
        <v>1277</v>
      </c>
      <c r="C21" s="2" t="s">
        <v>408</v>
      </c>
      <c r="D21" s="2" t="s">
        <v>1565</v>
      </c>
      <c r="E21" s="2"/>
      <c r="F21" s="2"/>
      <c r="G21" s="2"/>
      <c r="H21" s="2"/>
      <c r="I21" s="3">
        <f t="shared" si="0"/>
        <v>65</v>
      </c>
    </row>
    <row r="22" spans="1:9" x14ac:dyDescent="0.3">
      <c r="A22" s="2" t="s">
        <v>682</v>
      </c>
      <c r="B22" s="2" t="s">
        <v>1566</v>
      </c>
      <c r="C22" s="2" t="s">
        <v>8731</v>
      </c>
      <c r="D22" s="2" t="s">
        <v>1567</v>
      </c>
      <c r="E22" s="2"/>
      <c r="F22" s="2"/>
      <c r="G22" s="2"/>
      <c r="H22" s="2"/>
      <c r="I22" s="3">
        <f t="shared" si="0"/>
        <v>65</v>
      </c>
    </row>
    <row r="23" spans="1:9" ht="24" x14ac:dyDescent="0.3">
      <c r="A23" s="2" t="s">
        <v>682</v>
      </c>
      <c r="B23" s="2" t="s">
        <v>1568</v>
      </c>
      <c r="C23" s="2" t="s">
        <v>8731</v>
      </c>
      <c r="D23" s="2" t="s">
        <v>1569</v>
      </c>
      <c r="E23" s="2" t="s">
        <v>39</v>
      </c>
      <c r="F23" s="2"/>
      <c r="G23" s="2"/>
      <c r="H23" s="2"/>
      <c r="I23" s="3">
        <f t="shared" si="0"/>
        <v>65</v>
      </c>
    </row>
    <row r="24" spans="1:9" x14ac:dyDescent="0.3">
      <c r="A24" s="2" t="s">
        <v>682</v>
      </c>
      <c r="B24" s="2" t="s">
        <v>1457</v>
      </c>
      <c r="C24" s="2" t="s">
        <v>8731</v>
      </c>
      <c r="D24" s="2" t="s">
        <v>1623</v>
      </c>
      <c r="E24" s="2" t="s">
        <v>39</v>
      </c>
      <c r="F24" s="2"/>
      <c r="G24" s="2"/>
      <c r="H24" s="2"/>
      <c r="I24" s="3">
        <f t="shared" si="0"/>
        <v>66</v>
      </c>
    </row>
    <row r="25" spans="1:9" ht="24" x14ac:dyDescent="0.3">
      <c r="A25" s="2" t="s">
        <v>682</v>
      </c>
      <c r="B25" s="2" t="s">
        <v>1624</v>
      </c>
      <c r="C25" s="2" t="s">
        <v>8731</v>
      </c>
      <c r="D25" s="2" t="s">
        <v>1625</v>
      </c>
      <c r="E25" s="2" t="s">
        <v>39</v>
      </c>
      <c r="F25" s="2"/>
      <c r="G25" s="2"/>
      <c r="H25" s="2"/>
      <c r="I25" s="3">
        <f t="shared" si="0"/>
        <v>66</v>
      </c>
    </row>
    <row r="26" spans="1:9" ht="24" x14ac:dyDescent="0.3">
      <c r="A26" s="2" t="s">
        <v>682</v>
      </c>
      <c r="B26" s="2" t="s">
        <v>1626</v>
      </c>
      <c r="C26" s="2" t="s">
        <v>8731</v>
      </c>
      <c r="D26" s="2" t="s">
        <v>1627</v>
      </c>
      <c r="E26" s="2"/>
      <c r="F26" s="2"/>
      <c r="G26" s="2"/>
      <c r="H26" s="2"/>
      <c r="I26" s="3">
        <f t="shared" si="0"/>
        <v>66</v>
      </c>
    </row>
    <row r="27" spans="1:9" x14ac:dyDescent="0.3">
      <c r="A27" s="2" t="s">
        <v>682</v>
      </c>
      <c r="B27" s="2" t="s">
        <v>1651</v>
      </c>
      <c r="C27" s="2" t="s">
        <v>408</v>
      </c>
      <c r="D27" s="2" t="s">
        <v>1652</v>
      </c>
      <c r="E27" s="2"/>
      <c r="F27" s="2"/>
      <c r="G27" s="2"/>
      <c r="H27" s="2"/>
      <c r="I27" s="3">
        <f t="shared" si="0"/>
        <v>67</v>
      </c>
    </row>
    <row r="28" spans="1:9" x14ac:dyDescent="0.3">
      <c r="A28" s="2" t="s">
        <v>682</v>
      </c>
      <c r="B28" s="2" t="s">
        <v>1392</v>
      </c>
      <c r="C28" s="2" t="s">
        <v>408</v>
      </c>
      <c r="D28" s="2" t="s">
        <v>1678</v>
      </c>
      <c r="E28" s="2"/>
      <c r="F28" s="2"/>
      <c r="G28" s="2"/>
      <c r="H28" s="2"/>
      <c r="I28" s="3">
        <f t="shared" si="0"/>
        <v>67</v>
      </c>
    </row>
    <row r="29" spans="1:9" ht="24" x14ac:dyDescent="0.3">
      <c r="A29" s="2" t="s">
        <v>682</v>
      </c>
      <c r="B29" s="2" t="s">
        <v>1795</v>
      </c>
      <c r="C29" s="2" t="s">
        <v>8731</v>
      </c>
      <c r="D29" s="2" t="s">
        <v>1796</v>
      </c>
      <c r="E29" s="2"/>
      <c r="F29" s="2"/>
      <c r="G29" s="2"/>
      <c r="H29" s="2"/>
      <c r="I29" s="3">
        <f t="shared" si="0"/>
        <v>69</v>
      </c>
    </row>
    <row r="30" spans="1:9" x14ac:dyDescent="0.3">
      <c r="A30" s="2" t="s">
        <v>682</v>
      </c>
      <c r="B30" s="2" t="s">
        <v>1914</v>
      </c>
      <c r="C30" s="2" t="s">
        <v>408</v>
      </c>
      <c r="D30" s="2" t="s">
        <v>1915</v>
      </c>
      <c r="E30" s="2"/>
      <c r="F30" s="2"/>
      <c r="G30" s="2"/>
      <c r="H30" s="2"/>
      <c r="I30" s="3">
        <f t="shared" si="0"/>
        <v>71</v>
      </c>
    </row>
    <row r="31" spans="1:9" x14ac:dyDescent="0.3">
      <c r="A31" s="2" t="s">
        <v>682</v>
      </c>
      <c r="B31" s="2" t="s">
        <v>1916</v>
      </c>
      <c r="C31" s="2" t="s">
        <v>8731</v>
      </c>
      <c r="D31" s="2" t="s">
        <v>1917</v>
      </c>
      <c r="E31" s="2"/>
      <c r="F31" s="2"/>
      <c r="G31" s="2"/>
      <c r="H31" s="2"/>
      <c r="I31" s="3">
        <f t="shared" si="0"/>
        <v>71</v>
      </c>
    </row>
    <row r="32" spans="1:9" ht="24" x14ac:dyDescent="0.3">
      <c r="A32" s="2" t="s">
        <v>682</v>
      </c>
      <c r="B32" s="2" t="s">
        <v>1918</v>
      </c>
      <c r="C32" s="2" t="s">
        <v>9528</v>
      </c>
      <c r="D32" s="2" t="s">
        <v>1919</v>
      </c>
      <c r="E32" s="2"/>
      <c r="F32" s="2"/>
      <c r="G32" s="2"/>
      <c r="H32" s="2"/>
      <c r="I32" s="3">
        <f t="shared" si="0"/>
        <v>71</v>
      </c>
    </row>
    <row r="33" spans="1:9" ht="24" x14ac:dyDescent="0.3">
      <c r="A33" s="2" t="s">
        <v>682</v>
      </c>
      <c r="B33" s="2" t="s">
        <v>1970</v>
      </c>
      <c r="C33" s="2" t="s">
        <v>8731</v>
      </c>
      <c r="D33" s="2" t="s">
        <v>1971</v>
      </c>
      <c r="E33" s="2"/>
      <c r="F33" s="2"/>
      <c r="G33" s="2"/>
      <c r="H33" s="2"/>
      <c r="I33" s="3">
        <f t="shared" si="0"/>
        <v>72</v>
      </c>
    </row>
    <row r="34" spans="1:9" ht="24" x14ac:dyDescent="0.3">
      <c r="A34" s="2" t="s">
        <v>682</v>
      </c>
      <c r="B34" s="2" t="s">
        <v>1972</v>
      </c>
      <c r="C34" s="2" t="s">
        <v>8731</v>
      </c>
      <c r="D34" s="2" t="s">
        <v>1973</v>
      </c>
      <c r="E34" s="2" t="s">
        <v>39</v>
      </c>
      <c r="F34" s="2"/>
      <c r="G34" s="2"/>
      <c r="H34" s="2"/>
      <c r="I34" s="3">
        <f t="shared" ref="I34:I65" si="1">LEN(D34)</f>
        <v>72</v>
      </c>
    </row>
    <row r="35" spans="1:9" ht="24" x14ac:dyDescent="0.3">
      <c r="A35" s="2" t="s">
        <v>682</v>
      </c>
      <c r="B35" s="2" t="s">
        <v>2030</v>
      </c>
      <c r="C35" s="2" t="s">
        <v>8731</v>
      </c>
      <c r="D35" s="2" t="s">
        <v>2031</v>
      </c>
      <c r="E35" s="2"/>
      <c r="F35" s="2"/>
      <c r="G35" s="2"/>
      <c r="H35" s="2"/>
      <c r="I35" s="3">
        <f t="shared" si="1"/>
        <v>73</v>
      </c>
    </row>
    <row r="36" spans="1:9" ht="24" x14ac:dyDescent="0.3">
      <c r="A36" s="2" t="s">
        <v>682</v>
      </c>
      <c r="B36" s="2" t="s">
        <v>2032</v>
      </c>
      <c r="C36" s="2" t="s">
        <v>8731</v>
      </c>
      <c r="D36" s="2" t="s">
        <v>2033</v>
      </c>
      <c r="E36" s="2"/>
      <c r="F36" s="2"/>
      <c r="G36" s="2"/>
      <c r="H36" s="2"/>
      <c r="I36" s="3">
        <f t="shared" si="1"/>
        <v>73</v>
      </c>
    </row>
    <row r="37" spans="1:9" ht="24" x14ac:dyDescent="0.3">
      <c r="A37" s="2" t="s">
        <v>682</v>
      </c>
      <c r="B37" s="2" t="s">
        <v>2034</v>
      </c>
      <c r="C37" s="2" t="s">
        <v>8731</v>
      </c>
      <c r="D37" s="2" t="s">
        <v>2035</v>
      </c>
      <c r="E37" s="2" t="s">
        <v>39</v>
      </c>
      <c r="F37" s="2"/>
      <c r="G37" s="2"/>
      <c r="H37" s="2"/>
      <c r="I37" s="3">
        <f t="shared" si="1"/>
        <v>73</v>
      </c>
    </row>
    <row r="38" spans="1:9" ht="24" x14ac:dyDescent="0.3">
      <c r="A38" s="2" t="s">
        <v>682</v>
      </c>
      <c r="B38" s="2" t="s">
        <v>2093</v>
      </c>
      <c r="C38" s="2" t="s">
        <v>8731</v>
      </c>
      <c r="D38" s="2" t="s">
        <v>2094</v>
      </c>
      <c r="E38" s="2" t="s">
        <v>39</v>
      </c>
      <c r="F38" s="2"/>
      <c r="G38" s="2"/>
      <c r="H38" s="2"/>
      <c r="I38" s="3">
        <f t="shared" si="1"/>
        <v>74</v>
      </c>
    </row>
    <row r="39" spans="1:9" ht="24" x14ac:dyDescent="0.3">
      <c r="A39" s="2" t="s">
        <v>682</v>
      </c>
      <c r="B39" s="2" t="s">
        <v>2206</v>
      </c>
      <c r="C39" s="2" t="s">
        <v>8731</v>
      </c>
      <c r="D39" s="2" t="s">
        <v>2207</v>
      </c>
      <c r="E39" s="2" t="s">
        <v>39</v>
      </c>
      <c r="F39" s="2"/>
      <c r="G39" s="2"/>
      <c r="H39" s="2"/>
      <c r="I39" s="3">
        <f t="shared" si="1"/>
        <v>76</v>
      </c>
    </row>
    <row r="40" spans="1:9" ht="24" x14ac:dyDescent="0.3">
      <c r="A40" s="2" t="s">
        <v>682</v>
      </c>
      <c r="B40" s="2" t="s">
        <v>2208</v>
      </c>
      <c r="C40" s="2" t="s">
        <v>8731</v>
      </c>
      <c r="D40" s="2" t="s">
        <v>2209</v>
      </c>
      <c r="E40" s="2"/>
      <c r="F40" s="2"/>
      <c r="G40" s="2"/>
      <c r="H40" s="2"/>
      <c r="I40" s="3">
        <f t="shared" si="1"/>
        <v>76</v>
      </c>
    </row>
    <row r="41" spans="1:9" ht="24" x14ac:dyDescent="0.3">
      <c r="A41" s="2" t="s">
        <v>682</v>
      </c>
      <c r="B41" s="2" t="s">
        <v>2210</v>
      </c>
      <c r="C41" s="2" t="s">
        <v>8731</v>
      </c>
      <c r="D41" s="2" t="s">
        <v>2211</v>
      </c>
      <c r="E41" s="2" t="s">
        <v>39</v>
      </c>
      <c r="F41" s="2"/>
      <c r="G41" s="2"/>
      <c r="H41" s="2"/>
      <c r="I41" s="3">
        <f t="shared" si="1"/>
        <v>76</v>
      </c>
    </row>
    <row r="42" spans="1:9" ht="24" x14ac:dyDescent="0.3">
      <c r="A42" s="2" t="s">
        <v>682</v>
      </c>
      <c r="B42" s="2" t="s">
        <v>2239</v>
      </c>
      <c r="C42" s="2" t="s">
        <v>9526</v>
      </c>
      <c r="D42" s="2" t="s">
        <v>2240</v>
      </c>
      <c r="E42" s="2" t="s">
        <v>39</v>
      </c>
      <c r="F42" s="2"/>
      <c r="G42" s="2"/>
      <c r="H42" s="2"/>
      <c r="I42" s="3">
        <f t="shared" si="1"/>
        <v>77</v>
      </c>
    </row>
    <row r="43" spans="1:9" ht="24" x14ac:dyDescent="0.3">
      <c r="A43" s="2" t="s">
        <v>682</v>
      </c>
      <c r="B43" s="2" t="s">
        <v>2241</v>
      </c>
      <c r="C43" s="2" t="s">
        <v>8731</v>
      </c>
      <c r="D43" s="2" t="s">
        <v>2242</v>
      </c>
      <c r="E43" s="2"/>
      <c r="F43" s="2"/>
      <c r="G43" s="2"/>
      <c r="H43" s="2"/>
      <c r="I43" s="3">
        <f t="shared" si="1"/>
        <v>77</v>
      </c>
    </row>
    <row r="44" spans="1:9" ht="24" x14ac:dyDescent="0.3">
      <c r="A44" s="2" t="s">
        <v>682</v>
      </c>
      <c r="B44" s="2" t="s">
        <v>2243</v>
      </c>
      <c r="C44" s="2" t="s">
        <v>9529</v>
      </c>
      <c r="D44" s="2" t="s">
        <v>2244</v>
      </c>
      <c r="E44" s="2" t="s">
        <v>39</v>
      </c>
      <c r="F44" s="2"/>
      <c r="G44" s="2"/>
      <c r="H44" s="2"/>
      <c r="I44" s="3">
        <f t="shared" si="1"/>
        <v>77</v>
      </c>
    </row>
    <row r="45" spans="1:9" x14ac:dyDescent="0.3">
      <c r="A45" s="2" t="s">
        <v>682</v>
      </c>
      <c r="B45" s="2" t="s">
        <v>2301</v>
      </c>
      <c r="C45" s="2" t="s">
        <v>408</v>
      </c>
      <c r="D45" s="2" t="s">
        <v>2302</v>
      </c>
      <c r="E45" s="2"/>
      <c r="F45" s="2"/>
      <c r="G45" s="2"/>
      <c r="H45" s="2"/>
      <c r="I45" s="3">
        <f t="shared" si="1"/>
        <v>78</v>
      </c>
    </row>
    <row r="46" spans="1:9" ht="24" x14ac:dyDescent="0.3">
      <c r="A46" s="2" t="s">
        <v>682</v>
      </c>
      <c r="B46" s="2" t="s">
        <v>2332</v>
      </c>
      <c r="C46" s="2" t="s">
        <v>8731</v>
      </c>
      <c r="D46" s="2" t="s">
        <v>2333</v>
      </c>
      <c r="E46" s="2"/>
      <c r="F46" s="2"/>
      <c r="G46" s="2"/>
      <c r="H46" s="2"/>
      <c r="I46" s="3">
        <f t="shared" si="1"/>
        <v>79</v>
      </c>
    </row>
    <row r="47" spans="1:9" ht="24" x14ac:dyDescent="0.3">
      <c r="A47" s="2" t="s">
        <v>682</v>
      </c>
      <c r="B47" s="2" t="s">
        <v>2334</v>
      </c>
      <c r="C47" s="2" t="s">
        <v>8731</v>
      </c>
      <c r="D47" s="2" t="s">
        <v>2335</v>
      </c>
      <c r="E47" s="2" t="s">
        <v>39</v>
      </c>
      <c r="F47" s="2"/>
      <c r="G47" s="2"/>
      <c r="H47" s="2"/>
      <c r="I47" s="3">
        <f t="shared" si="1"/>
        <v>79</v>
      </c>
    </row>
    <row r="48" spans="1:9" ht="36" x14ac:dyDescent="0.3">
      <c r="A48" s="2" t="s">
        <v>682</v>
      </c>
      <c r="B48" s="2" t="s">
        <v>2336</v>
      </c>
      <c r="C48" s="2" t="s">
        <v>9529</v>
      </c>
      <c r="D48" s="2" t="s">
        <v>2337</v>
      </c>
      <c r="E48" s="2" t="s">
        <v>39</v>
      </c>
      <c r="F48" s="2"/>
      <c r="G48" s="2"/>
      <c r="H48" s="2"/>
      <c r="I48" s="3">
        <f t="shared" si="1"/>
        <v>79</v>
      </c>
    </row>
    <row r="49" spans="1:9" ht="24" x14ac:dyDescent="0.3">
      <c r="A49" s="2" t="s">
        <v>682</v>
      </c>
      <c r="B49" s="2" t="s">
        <v>2406</v>
      </c>
      <c r="C49" s="2" t="s">
        <v>9525</v>
      </c>
      <c r="D49" s="2" t="s">
        <v>2407</v>
      </c>
      <c r="E49" s="2"/>
      <c r="F49" s="2"/>
      <c r="G49" s="2"/>
      <c r="H49" s="2"/>
      <c r="I49" s="3">
        <f t="shared" si="1"/>
        <v>81</v>
      </c>
    </row>
    <row r="50" spans="1:9" ht="24" x14ac:dyDescent="0.3">
      <c r="A50" s="2" t="s">
        <v>682</v>
      </c>
      <c r="B50" s="2" t="s">
        <v>2431</v>
      </c>
      <c r="C50" s="2" t="s">
        <v>8731</v>
      </c>
      <c r="D50" s="2" t="s">
        <v>2432</v>
      </c>
      <c r="E50" s="2"/>
      <c r="F50" s="2"/>
      <c r="G50" s="2"/>
      <c r="H50" s="2"/>
      <c r="I50" s="3">
        <f t="shared" si="1"/>
        <v>81</v>
      </c>
    </row>
    <row r="51" spans="1:9" ht="24" x14ac:dyDescent="0.3">
      <c r="A51" s="2" t="s">
        <v>682</v>
      </c>
      <c r="B51" s="2" t="s">
        <v>2433</v>
      </c>
      <c r="C51" s="2" t="s">
        <v>8731</v>
      </c>
      <c r="D51" s="2" t="s">
        <v>2434</v>
      </c>
      <c r="E51" s="2"/>
      <c r="F51" s="2"/>
      <c r="G51" s="2"/>
      <c r="H51" s="2"/>
      <c r="I51" s="3">
        <f t="shared" si="1"/>
        <v>81</v>
      </c>
    </row>
    <row r="52" spans="1:9" ht="24" x14ac:dyDescent="0.3">
      <c r="A52" s="2" t="s">
        <v>682</v>
      </c>
      <c r="B52" s="2" t="s">
        <v>2435</v>
      </c>
      <c r="C52" s="2" t="s">
        <v>8731</v>
      </c>
      <c r="D52" s="2" t="s">
        <v>2436</v>
      </c>
      <c r="E52" s="2" t="s">
        <v>39</v>
      </c>
      <c r="F52" s="2"/>
      <c r="G52" s="2"/>
      <c r="H52" s="2"/>
      <c r="I52" s="3">
        <f t="shared" si="1"/>
        <v>81</v>
      </c>
    </row>
    <row r="53" spans="1:9" ht="24" x14ac:dyDescent="0.3">
      <c r="A53" s="2" t="s">
        <v>682</v>
      </c>
      <c r="B53" s="2" t="s">
        <v>2437</v>
      </c>
      <c r="C53" s="2" t="s">
        <v>8731</v>
      </c>
      <c r="D53" s="2" t="s">
        <v>2438</v>
      </c>
      <c r="E53" s="2" t="s">
        <v>39</v>
      </c>
      <c r="F53" s="2"/>
      <c r="G53" s="2"/>
      <c r="H53" s="2"/>
      <c r="I53" s="3">
        <f t="shared" si="1"/>
        <v>81</v>
      </c>
    </row>
    <row r="54" spans="1:9" ht="24" x14ac:dyDescent="0.3">
      <c r="A54" s="2" t="s">
        <v>682</v>
      </c>
      <c r="B54" s="2" t="s">
        <v>2503</v>
      </c>
      <c r="C54" s="2" t="s">
        <v>8731</v>
      </c>
      <c r="D54" s="2" t="s">
        <v>2504</v>
      </c>
      <c r="E54" s="2"/>
      <c r="F54" s="2"/>
      <c r="G54" s="2"/>
      <c r="H54" s="2"/>
      <c r="I54" s="3">
        <f t="shared" si="1"/>
        <v>82</v>
      </c>
    </row>
    <row r="55" spans="1:9" ht="24" x14ac:dyDescent="0.3">
      <c r="A55" s="2" t="s">
        <v>682</v>
      </c>
      <c r="B55" s="2" t="s">
        <v>2505</v>
      </c>
      <c r="C55" s="2" t="s">
        <v>8731</v>
      </c>
      <c r="D55" s="2" t="s">
        <v>2506</v>
      </c>
      <c r="E55" s="2" t="s">
        <v>39</v>
      </c>
      <c r="F55" s="2"/>
      <c r="G55" s="2"/>
      <c r="H55" s="2"/>
      <c r="I55" s="3">
        <f t="shared" si="1"/>
        <v>82</v>
      </c>
    </row>
    <row r="56" spans="1:9" ht="24" x14ac:dyDescent="0.3">
      <c r="A56" s="2" t="s">
        <v>682</v>
      </c>
      <c r="B56" s="2" t="s">
        <v>2507</v>
      </c>
      <c r="C56" s="2" t="s">
        <v>8731</v>
      </c>
      <c r="D56" s="2" t="s">
        <v>2508</v>
      </c>
      <c r="E56" s="2" t="s">
        <v>39</v>
      </c>
      <c r="F56" s="2"/>
      <c r="G56" s="2"/>
      <c r="H56" s="2"/>
      <c r="I56" s="3">
        <f t="shared" si="1"/>
        <v>82</v>
      </c>
    </row>
    <row r="57" spans="1:9" ht="24" x14ac:dyDescent="0.3">
      <c r="A57" s="2" t="s">
        <v>682</v>
      </c>
      <c r="B57" s="2" t="s">
        <v>2560</v>
      </c>
      <c r="C57" s="2" t="s">
        <v>8731</v>
      </c>
      <c r="D57" s="2" t="s">
        <v>2561</v>
      </c>
      <c r="E57" s="2"/>
      <c r="F57" s="2"/>
      <c r="G57" s="2"/>
      <c r="H57" s="2"/>
      <c r="I57" s="3">
        <f t="shared" si="1"/>
        <v>83</v>
      </c>
    </row>
    <row r="58" spans="1:9" ht="24" x14ac:dyDescent="0.3">
      <c r="A58" s="2" t="s">
        <v>682</v>
      </c>
      <c r="B58" s="2" t="s">
        <v>2677</v>
      </c>
      <c r="C58" s="2" t="s">
        <v>8731</v>
      </c>
      <c r="D58" s="2" t="s">
        <v>2678</v>
      </c>
      <c r="E58" s="2" t="s">
        <v>39</v>
      </c>
      <c r="F58" s="2"/>
      <c r="G58" s="2"/>
      <c r="H58" s="2"/>
      <c r="I58" s="3">
        <f t="shared" si="1"/>
        <v>85</v>
      </c>
    </row>
    <row r="59" spans="1:9" ht="24" x14ac:dyDescent="0.3">
      <c r="A59" s="2" t="s">
        <v>682</v>
      </c>
      <c r="B59" s="2" t="s">
        <v>2741</v>
      </c>
      <c r="C59" s="2" t="s">
        <v>8731</v>
      </c>
      <c r="D59" s="2" t="s">
        <v>2742</v>
      </c>
      <c r="E59" s="2" t="s">
        <v>39</v>
      </c>
      <c r="F59" s="2"/>
      <c r="G59" s="2"/>
      <c r="H59" s="2"/>
      <c r="I59" s="3">
        <f t="shared" si="1"/>
        <v>86</v>
      </c>
    </row>
    <row r="60" spans="1:9" x14ac:dyDescent="0.3">
      <c r="A60" s="2" t="s">
        <v>682</v>
      </c>
      <c r="B60" s="2" t="s">
        <v>2850</v>
      </c>
      <c r="C60" s="2" t="s">
        <v>408</v>
      </c>
      <c r="D60" s="2" t="s">
        <v>2851</v>
      </c>
      <c r="E60" s="2"/>
      <c r="F60" s="2"/>
      <c r="G60" s="2"/>
      <c r="H60" s="2"/>
      <c r="I60" s="3">
        <f t="shared" si="1"/>
        <v>88</v>
      </c>
    </row>
    <row r="61" spans="1:9" ht="24" x14ac:dyDescent="0.3">
      <c r="A61" s="2" t="s">
        <v>682</v>
      </c>
      <c r="B61" s="2" t="s">
        <v>2852</v>
      </c>
      <c r="C61" s="2" t="s">
        <v>8731</v>
      </c>
      <c r="D61" s="2" t="s">
        <v>2853</v>
      </c>
      <c r="E61" s="2"/>
      <c r="F61" s="2"/>
      <c r="G61" s="2"/>
      <c r="H61" s="2"/>
      <c r="I61" s="3">
        <f t="shared" si="1"/>
        <v>88</v>
      </c>
    </row>
    <row r="62" spans="1:9" ht="24" x14ac:dyDescent="0.3">
      <c r="A62" s="2" t="s">
        <v>682</v>
      </c>
      <c r="B62" s="2" t="s">
        <v>2854</v>
      </c>
      <c r="C62" s="2" t="s">
        <v>8731</v>
      </c>
      <c r="D62" s="2" t="s">
        <v>2855</v>
      </c>
      <c r="E62" s="2" t="s">
        <v>39</v>
      </c>
      <c r="F62" s="2"/>
      <c r="G62" s="2"/>
      <c r="H62" s="2"/>
      <c r="I62" s="3">
        <f t="shared" si="1"/>
        <v>88</v>
      </c>
    </row>
    <row r="63" spans="1:9" ht="24" x14ac:dyDescent="0.3">
      <c r="A63" s="2" t="s">
        <v>682</v>
      </c>
      <c r="B63" s="2" t="s">
        <v>2905</v>
      </c>
      <c r="C63" s="2" t="s">
        <v>408</v>
      </c>
      <c r="D63" s="2" t="s">
        <v>2906</v>
      </c>
      <c r="E63" s="2"/>
      <c r="F63" s="2"/>
      <c r="G63" s="2"/>
      <c r="H63" s="2"/>
      <c r="I63" s="3">
        <f t="shared" si="1"/>
        <v>89</v>
      </c>
    </row>
    <row r="64" spans="1:9" ht="24" x14ac:dyDescent="0.3">
      <c r="A64" s="2" t="s">
        <v>682</v>
      </c>
      <c r="B64" s="2" t="s">
        <v>2907</v>
      </c>
      <c r="C64" s="2" t="s">
        <v>8731</v>
      </c>
      <c r="D64" s="2" t="s">
        <v>2908</v>
      </c>
      <c r="E64" s="2"/>
      <c r="F64" s="2"/>
      <c r="G64" s="2"/>
      <c r="H64" s="2"/>
      <c r="I64" s="3">
        <f t="shared" si="1"/>
        <v>89</v>
      </c>
    </row>
    <row r="65" spans="1:9" ht="24" x14ac:dyDescent="0.3">
      <c r="A65" s="2" t="s">
        <v>682</v>
      </c>
      <c r="B65" s="2" t="s">
        <v>2909</v>
      </c>
      <c r="C65" s="2" t="s">
        <v>8731</v>
      </c>
      <c r="D65" s="2" t="s">
        <v>2910</v>
      </c>
      <c r="E65" s="2"/>
      <c r="F65" s="2"/>
      <c r="G65" s="2"/>
      <c r="H65" s="2"/>
      <c r="I65" s="3">
        <f t="shared" si="1"/>
        <v>89</v>
      </c>
    </row>
    <row r="66" spans="1:9" ht="24" x14ac:dyDescent="0.3">
      <c r="A66" s="2" t="s">
        <v>682</v>
      </c>
      <c r="B66" s="2" t="s">
        <v>2911</v>
      </c>
      <c r="C66" s="2" t="s">
        <v>8731</v>
      </c>
      <c r="D66" s="2" t="s">
        <v>2912</v>
      </c>
      <c r="E66" s="2"/>
      <c r="F66" s="2"/>
      <c r="G66" s="2"/>
      <c r="H66" s="2"/>
      <c r="I66" s="3">
        <f t="shared" ref="I66:I97" si="2">LEN(D66)</f>
        <v>89</v>
      </c>
    </row>
    <row r="67" spans="1:9" ht="36" x14ac:dyDescent="0.3">
      <c r="A67" s="2" t="s">
        <v>682</v>
      </c>
      <c r="B67" s="2" t="s">
        <v>2913</v>
      </c>
      <c r="C67" s="2" t="s">
        <v>8731</v>
      </c>
      <c r="D67" s="2" t="s">
        <v>2914</v>
      </c>
      <c r="E67" s="2"/>
      <c r="F67" s="2"/>
      <c r="G67" s="2"/>
      <c r="H67" s="2"/>
      <c r="I67" s="3">
        <f t="shared" si="2"/>
        <v>89</v>
      </c>
    </row>
    <row r="68" spans="1:9" ht="24" x14ac:dyDescent="0.3">
      <c r="A68" s="2" t="s">
        <v>682</v>
      </c>
      <c r="B68" s="2" t="s">
        <v>2915</v>
      </c>
      <c r="C68" s="2" t="s">
        <v>8731</v>
      </c>
      <c r="D68" s="2" t="s">
        <v>2916</v>
      </c>
      <c r="E68" s="2"/>
      <c r="F68" s="2"/>
      <c r="G68" s="2"/>
      <c r="H68" s="2"/>
      <c r="I68" s="3">
        <f t="shared" si="2"/>
        <v>89</v>
      </c>
    </row>
    <row r="69" spans="1:9" ht="24" x14ac:dyDescent="0.3">
      <c r="A69" s="2" t="s">
        <v>682</v>
      </c>
      <c r="B69" s="2" t="s">
        <v>2917</v>
      </c>
      <c r="C69" s="2" t="s">
        <v>8731</v>
      </c>
      <c r="D69" s="2" t="s">
        <v>2918</v>
      </c>
      <c r="E69" s="2" t="s">
        <v>39</v>
      </c>
      <c r="F69" s="2"/>
      <c r="G69" s="2"/>
      <c r="H69" s="2"/>
      <c r="I69" s="3">
        <f t="shared" si="2"/>
        <v>89</v>
      </c>
    </row>
    <row r="70" spans="1:9" ht="36" x14ac:dyDescent="0.3">
      <c r="A70" s="2" t="s">
        <v>682</v>
      </c>
      <c r="B70" s="2" t="s">
        <v>2965</v>
      </c>
      <c r="C70" s="2" t="s">
        <v>8731</v>
      </c>
      <c r="D70" s="2" t="s">
        <v>2966</v>
      </c>
      <c r="E70" s="2" t="s">
        <v>39</v>
      </c>
      <c r="F70" s="2"/>
      <c r="G70" s="2"/>
      <c r="H70" s="2"/>
      <c r="I70" s="3">
        <f t="shared" si="2"/>
        <v>90</v>
      </c>
    </row>
    <row r="71" spans="1:9" ht="24" x14ac:dyDescent="0.3">
      <c r="A71" s="2" t="s">
        <v>682</v>
      </c>
      <c r="B71" s="2" t="s">
        <v>2967</v>
      </c>
      <c r="C71" s="2" t="s">
        <v>8731</v>
      </c>
      <c r="D71" s="2" t="s">
        <v>2968</v>
      </c>
      <c r="E71" s="2" t="s">
        <v>39</v>
      </c>
      <c r="F71" s="2"/>
      <c r="G71" s="2"/>
      <c r="H71" s="2"/>
      <c r="I71" s="3">
        <f t="shared" si="2"/>
        <v>90</v>
      </c>
    </row>
    <row r="72" spans="1:9" ht="24" x14ac:dyDescent="0.3">
      <c r="A72" s="2" t="s">
        <v>682</v>
      </c>
      <c r="B72" s="2" t="s">
        <v>2969</v>
      </c>
      <c r="C72" s="2" t="s">
        <v>8731</v>
      </c>
      <c r="D72" s="2" t="s">
        <v>2970</v>
      </c>
      <c r="E72" s="2" t="s">
        <v>39</v>
      </c>
      <c r="F72" s="2"/>
      <c r="G72" s="2"/>
      <c r="H72" s="2"/>
      <c r="I72" s="3">
        <f t="shared" si="2"/>
        <v>90</v>
      </c>
    </row>
    <row r="73" spans="1:9" ht="24" x14ac:dyDescent="0.3">
      <c r="A73" s="2" t="s">
        <v>682</v>
      </c>
      <c r="B73" s="2" t="s">
        <v>2971</v>
      </c>
      <c r="C73" s="2" t="s">
        <v>9529</v>
      </c>
      <c r="D73" s="2" t="s">
        <v>2972</v>
      </c>
      <c r="E73" s="2" t="s">
        <v>39</v>
      </c>
      <c r="F73" s="2"/>
      <c r="G73" s="2"/>
      <c r="H73" s="2"/>
      <c r="I73" s="3">
        <f t="shared" si="2"/>
        <v>90</v>
      </c>
    </row>
    <row r="74" spans="1:9" ht="24" x14ac:dyDescent="0.3">
      <c r="A74" s="2" t="s">
        <v>682</v>
      </c>
      <c r="B74" s="2" t="s">
        <v>3015</v>
      </c>
      <c r="C74" s="2" t="s">
        <v>8731</v>
      </c>
      <c r="D74" s="2" t="s">
        <v>3016</v>
      </c>
      <c r="E74" s="2"/>
      <c r="F74" s="2"/>
      <c r="G74" s="2"/>
      <c r="H74" s="2"/>
      <c r="I74" s="3">
        <f t="shared" si="2"/>
        <v>91</v>
      </c>
    </row>
    <row r="75" spans="1:9" ht="24" x14ac:dyDescent="0.3">
      <c r="A75" s="2" t="s">
        <v>682</v>
      </c>
      <c r="B75" s="2" t="s">
        <v>3055</v>
      </c>
      <c r="C75" s="2" t="s">
        <v>8731</v>
      </c>
      <c r="D75" s="2" t="s">
        <v>3056</v>
      </c>
      <c r="E75" s="2" t="s">
        <v>39</v>
      </c>
      <c r="F75" s="2"/>
      <c r="G75" s="2"/>
      <c r="H75" s="2"/>
      <c r="I75" s="3">
        <f t="shared" si="2"/>
        <v>92</v>
      </c>
    </row>
    <row r="76" spans="1:9" ht="24" x14ac:dyDescent="0.3">
      <c r="A76" s="2" t="s">
        <v>682</v>
      </c>
      <c r="B76" s="2" t="s">
        <v>3057</v>
      </c>
      <c r="C76" s="2" t="s">
        <v>8731</v>
      </c>
      <c r="D76" s="2" t="s">
        <v>3058</v>
      </c>
      <c r="E76" s="2"/>
      <c r="F76" s="2"/>
      <c r="G76" s="2"/>
      <c r="H76" s="2"/>
      <c r="I76" s="3">
        <f t="shared" si="2"/>
        <v>92</v>
      </c>
    </row>
    <row r="77" spans="1:9" ht="24" x14ac:dyDescent="0.3">
      <c r="A77" s="2" t="s">
        <v>682</v>
      </c>
      <c r="B77" s="2" t="s">
        <v>3059</v>
      </c>
      <c r="C77" s="2" t="s">
        <v>8731</v>
      </c>
      <c r="D77" s="2" t="s">
        <v>3060</v>
      </c>
      <c r="E77" s="2" t="s">
        <v>39</v>
      </c>
      <c r="F77" s="2"/>
      <c r="G77" s="2"/>
      <c r="H77" s="2"/>
      <c r="I77" s="3">
        <f t="shared" si="2"/>
        <v>92</v>
      </c>
    </row>
    <row r="78" spans="1:9" ht="24" x14ac:dyDescent="0.3">
      <c r="A78" s="2" t="s">
        <v>682</v>
      </c>
      <c r="B78" s="2" t="s">
        <v>3061</v>
      </c>
      <c r="C78" s="2" t="s">
        <v>8731</v>
      </c>
      <c r="D78" s="2" t="s">
        <v>3062</v>
      </c>
      <c r="E78" s="2" t="s">
        <v>39</v>
      </c>
      <c r="F78" s="2"/>
      <c r="G78" s="2"/>
      <c r="H78" s="2"/>
      <c r="I78" s="3">
        <f t="shared" si="2"/>
        <v>92</v>
      </c>
    </row>
    <row r="79" spans="1:9" ht="24" x14ac:dyDescent="0.3">
      <c r="A79" s="2" t="s">
        <v>682</v>
      </c>
      <c r="B79" s="2" t="s">
        <v>3092</v>
      </c>
      <c r="C79" s="2" t="s">
        <v>8731</v>
      </c>
      <c r="D79" s="2" t="s">
        <v>3093</v>
      </c>
      <c r="E79" s="2" t="s">
        <v>39</v>
      </c>
      <c r="F79" s="2"/>
      <c r="G79" s="2"/>
      <c r="H79" s="2"/>
      <c r="I79" s="3">
        <f t="shared" si="2"/>
        <v>93</v>
      </c>
    </row>
    <row r="80" spans="1:9" ht="24" x14ac:dyDescent="0.3">
      <c r="A80" s="2" t="s">
        <v>682</v>
      </c>
      <c r="B80" s="2" t="s">
        <v>3094</v>
      </c>
      <c r="C80" s="2" t="s">
        <v>8731</v>
      </c>
      <c r="D80" s="2" t="s">
        <v>3095</v>
      </c>
      <c r="E80" s="2" t="s">
        <v>39</v>
      </c>
      <c r="F80" s="2"/>
      <c r="G80" s="2"/>
      <c r="H80" s="2"/>
      <c r="I80" s="3">
        <f t="shared" si="2"/>
        <v>93</v>
      </c>
    </row>
    <row r="81" spans="1:9" ht="24" x14ac:dyDescent="0.3">
      <c r="A81" s="2" t="s">
        <v>682</v>
      </c>
      <c r="B81" s="2" t="s">
        <v>3096</v>
      </c>
      <c r="C81" s="2" t="s">
        <v>8731</v>
      </c>
      <c r="D81" s="2" t="s">
        <v>3097</v>
      </c>
      <c r="E81" s="2" t="s">
        <v>39</v>
      </c>
      <c r="F81" s="2"/>
      <c r="G81" s="2"/>
      <c r="H81" s="2"/>
      <c r="I81" s="3">
        <f t="shared" si="2"/>
        <v>93</v>
      </c>
    </row>
    <row r="82" spans="1:9" ht="24" x14ac:dyDescent="0.3">
      <c r="A82" s="2" t="s">
        <v>682</v>
      </c>
      <c r="B82" s="2" t="s">
        <v>3098</v>
      </c>
      <c r="C82" s="2" t="s">
        <v>8731</v>
      </c>
      <c r="D82" s="2" t="s">
        <v>3099</v>
      </c>
      <c r="E82" s="2" t="s">
        <v>39</v>
      </c>
      <c r="F82" s="2"/>
      <c r="G82" s="2"/>
      <c r="H82" s="2"/>
      <c r="I82" s="3">
        <f t="shared" si="2"/>
        <v>93</v>
      </c>
    </row>
    <row r="83" spans="1:9" ht="24" x14ac:dyDescent="0.3">
      <c r="A83" s="2" t="s">
        <v>682</v>
      </c>
      <c r="B83" s="2" t="s">
        <v>3100</v>
      </c>
      <c r="C83" s="2" t="s">
        <v>8731</v>
      </c>
      <c r="D83" s="2" t="s">
        <v>3101</v>
      </c>
      <c r="E83" s="2" t="s">
        <v>39</v>
      </c>
      <c r="F83" s="2"/>
      <c r="G83" s="2"/>
      <c r="H83" s="2"/>
      <c r="I83" s="3">
        <f t="shared" si="2"/>
        <v>93</v>
      </c>
    </row>
    <row r="84" spans="1:9" ht="24" x14ac:dyDescent="0.3">
      <c r="A84" s="2" t="s">
        <v>682</v>
      </c>
      <c r="B84" s="2" t="s">
        <v>3102</v>
      </c>
      <c r="C84" s="2" t="s">
        <v>8731</v>
      </c>
      <c r="D84" s="2" t="s">
        <v>3103</v>
      </c>
      <c r="E84" s="2" t="s">
        <v>2891</v>
      </c>
      <c r="F84" s="2"/>
      <c r="G84" s="2"/>
      <c r="H84" s="2"/>
      <c r="I84" s="3">
        <f t="shared" si="2"/>
        <v>93</v>
      </c>
    </row>
    <row r="85" spans="1:9" ht="36" x14ac:dyDescent="0.3">
      <c r="A85" s="2" t="s">
        <v>682</v>
      </c>
      <c r="B85" s="2" t="s">
        <v>3104</v>
      </c>
      <c r="C85" s="2" t="s">
        <v>8731</v>
      </c>
      <c r="D85" s="2" t="s">
        <v>3105</v>
      </c>
      <c r="E85" s="2" t="s">
        <v>39</v>
      </c>
      <c r="F85" s="2"/>
      <c r="G85" s="2"/>
      <c r="H85" s="2"/>
      <c r="I85" s="3">
        <f t="shared" si="2"/>
        <v>93</v>
      </c>
    </row>
    <row r="86" spans="1:9" ht="24" x14ac:dyDescent="0.3">
      <c r="A86" s="2" t="s">
        <v>682</v>
      </c>
      <c r="B86" s="2" t="s">
        <v>3150</v>
      </c>
      <c r="C86" s="2" t="s">
        <v>8731</v>
      </c>
      <c r="D86" s="2" t="s">
        <v>3151</v>
      </c>
      <c r="E86" s="2" t="s">
        <v>39</v>
      </c>
      <c r="F86" s="2"/>
      <c r="G86" s="2"/>
      <c r="H86" s="2"/>
      <c r="I86" s="3">
        <f t="shared" si="2"/>
        <v>94</v>
      </c>
    </row>
    <row r="87" spans="1:9" ht="24" x14ac:dyDescent="0.3">
      <c r="A87" s="2" t="s">
        <v>682</v>
      </c>
      <c r="B87" s="2" t="s">
        <v>3152</v>
      </c>
      <c r="C87" s="2" t="s">
        <v>8731</v>
      </c>
      <c r="D87" s="2" t="s">
        <v>3153</v>
      </c>
      <c r="E87" s="2"/>
      <c r="F87" s="2"/>
      <c r="G87" s="2"/>
      <c r="H87" s="2"/>
      <c r="I87" s="3">
        <f t="shared" si="2"/>
        <v>94</v>
      </c>
    </row>
    <row r="88" spans="1:9" ht="24" x14ac:dyDescent="0.3">
      <c r="A88" s="2" t="s">
        <v>682</v>
      </c>
      <c r="B88" s="2" t="s">
        <v>3154</v>
      </c>
      <c r="C88" s="2" t="s">
        <v>8731</v>
      </c>
      <c r="D88" s="2" t="s">
        <v>3155</v>
      </c>
      <c r="E88" s="2" t="s">
        <v>39</v>
      </c>
      <c r="F88" s="2"/>
      <c r="G88" s="2"/>
      <c r="H88" s="2"/>
      <c r="I88" s="3">
        <f t="shared" si="2"/>
        <v>94</v>
      </c>
    </row>
    <row r="89" spans="1:9" ht="24" x14ac:dyDescent="0.3">
      <c r="A89" s="2" t="s">
        <v>682</v>
      </c>
      <c r="B89" s="2" t="s">
        <v>3156</v>
      </c>
      <c r="C89" s="2" t="s">
        <v>8731</v>
      </c>
      <c r="D89" s="2" t="s">
        <v>3157</v>
      </c>
      <c r="E89" s="2" t="s">
        <v>39</v>
      </c>
      <c r="F89" s="2"/>
      <c r="G89" s="2"/>
      <c r="H89" s="2"/>
      <c r="I89" s="3">
        <f t="shared" si="2"/>
        <v>94</v>
      </c>
    </row>
    <row r="90" spans="1:9" ht="24" x14ac:dyDescent="0.3">
      <c r="A90" s="2" t="s">
        <v>682</v>
      </c>
      <c r="B90" s="2" t="s">
        <v>3189</v>
      </c>
      <c r="C90" s="2" t="s">
        <v>8731</v>
      </c>
      <c r="D90" s="2" t="s">
        <v>3190</v>
      </c>
      <c r="E90" s="2" t="s">
        <v>39</v>
      </c>
      <c r="F90" s="2"/>
      <c r="G90" s="2"/>
      <c r="H90" s="2"/>
      <c r="I90" s="3">
        <f t="shared" si="2"/>
        <v>95</v>
      </c>
    </row>
    <row r="91" spans="1:9" ht="24" x14ac:dyDescent="0.3">
      <c r="A91" s="2" t="s">
        <v>682</v>
      </c>
      <c r="B91" s="2" t="s">
        <v>3191</v>
      </c>
      <c r="C91" s="2" t="s">
        <v>9530</v>
      </c>
      <c r="D91" s="2" t="s">
        <v>3192</v>
      </c>
      <c r="E91" s="2"/>
      <c r="F91" s="2"/>
      <c r="G91" s="2"/>
      <c r="H91" s="2"/>
      <c r="I91" s="3">
        <f t="shared" si="2"/>
        <v>95</v>
      </c>
    </row>
    <row r="92" spans="1:9" x14ac:dyDescent="0.3">
      <c r="A92" s="2" t="s">
        <v>682</v>
      </c>
      <c r="B92" s="2" t="s">
        <v>3196</v>
      </c>
      <c r="C92" s="2" t="s">
        <v>408</v>
      </c>
      <c r="D92" s="2" t="s">
        <v>3197</v>
      </c>
      <c r="E92" s="2"/>
      <c r="F92" s="2"/>
      <c r="G92" s="2"/>
      <c r="H92" s="2"/>
      <c r="I92" s="3">
        <f t="shared" si="2"/>
        <v>95</v>
      </c>
    </row>
    <row r="93" spans="1:9" ht="36" x14ac:dyDescent="0.3">
      <c r="A93" s="2" t="s">
        <v>682</v>
      </c>
      <c r="B93" s="2" t="s">
        <v>3239</v>
      </c>
      <c r="C93" s="2" t="s">
        <v>8731</v>
      </c>
      <c r="D93" s="2" t="s">
        <v>3240</v>
      </c>
      <c r="E93" s="2" t="s">
        <v>39</v>
      </c>
      <c r="F93" s="2"/>
      <c r="G93" s="2"/>
      <c r="H93" s="2"/>
      <c r="I93" s="3">
        <f t="shared" si="2"/>
        <v>96</v>
      </c>
    </row>
    <row r="94" spans="1:9" ht="24" x14ac:dyDescent="0.3">
      <c r="A94" s="2" t="s">
        <v>682</v>
      </c>
      <c r="B94" s="2" t="s">
        <v>3287</v>
      </c>
      <c r="C94" s="2" t="s">
        <v>8731</v>
      </c>
      <c r="D94" s="2" t="s">
        <v>3288</v>
      </c>
      <c r="E94" s="2" t="s">
        <v>39</v>
      </c>
      <c r="F94" s="2"/>
      <c r="G94" s="2"/>
      <c r="H94" s="2"/>
      <c r="I94" s="3">
        <f t="shared" si="2"/>
        <v>97</v>
      </c>
    </row>
    <row r="95" spans="1:9" ht="24" x14ac:dyDescent="0.3">
      <c r="A95" s="2" t="s">
        <v>682</v>
      </c>
      <c r="B95" s="2" t="s">
        <v>3289</v>
      </c>
      <c r="C95" s="2" t="s">
        <v>8731</v>
      </c>
      <c r="D95" s="2" t="s">
        <v>3290</v>
      </c>
      <c r="E95" s="2"/>
      <c r="F95" s="2"/>
      <c r="G95" s="2"/>
      <c r="H95" s="2"/>
      <c r="I95" s="3">
        <f t="shared" si="2"/>
        <v>97</v>
      </c>
    </row>
    <row r="96" spans="1:9" ht="24" x14ac:dyDescent="0.3">
      <c r="A96" s="2" t="s">
        <v>682</v>
      </c>
      <c r="B96" s="2" t="s">
        <v>3291</v>
      </c>
      <c r="C96" s="2" t="s">
        <v>8731</v>
      </c>
      <c r="D96" s="2" t="s">
        <v>3292</v>
      </c>
      <c r="E96" s="2"/>
      <c r="F96" s="2"/>
      <c r="G96" s="2"/>
      <c r="H96" s="2"/>
      <c r="I96" s="3">
        <f t="shared" si="2"/>
        <v>97</v>
      </c>
    </row>
    <row r="97" spans="1:9" ht="24" x14ac:dyDescent="0.3">
      <c r="A97" s="2" t="s">
        <v>682</v>
      </c>
      <c r="B97" s="2" t="s">
        <v>3326</v>
      </c>
      <c r="C97" s="2" t="s">
        <v>8731</v>
      </c>
      <c r="D97" s="2" t="s">
        <v>3327</v>
      </c>
      <c r="E97" s="2" t="s">
        <v>39</v>
      </c>
      <c r="F97" s="2"/>
      <c r="G97" s="2"/>
      <c r="H97" s="2"/>
      <c r="I97" s="3">
        <f t="shared" si="2"/>
        <v>98</v>
      </c>
    </row>
    <row r="98" spans="1:9" ht="24" x14ac:dyDescent="0.3">
      <c r="A98" s="2" t="s">
        <v>682</v>
      </c>
      <c r="B98" s="2" t="s">
        <v>3328</v>
      </c>
      <c r="C98" s="2" t="s">
        <v>8731</v>
      </c>
      <c r="D98" s="2" t="s">
        <v>3329</v>
      </c>
      <c r="E98" s="2" t="s">
        <v>39</v>
      </c>
      <c r="F98" s="2"/>
      <c r="G98" s="2"/>
      <c r="H98" s="2"/>
      <c r="I98" s="3">
        <f t="shared" ref="I98:I129" si="3">LEN(D98)</f>
        <v>98</v>
      </c>
    </row>
    <row r="99" spans="1:9" ht="36" x14ac:dyDescent="0.3">
      <c r="A99" s="2" t="s">
        <v>682</v>
      </c>
      <c r="B99" s="2" t="s">
        <v>3367</v>
      </c>
      <c r="C99" s="2" t="s">
        <v>8731</v>
      </c>
      <c r="D99" s="2" t="s">
        <v>3368</v>
      </c>
      <c r="E99" s="2"/>
      <c r="F99" s="2"/>
      <c r="G99" s="2"/>
      <c r="H99" s="2"/>
      <c r="I99" s="3">
        <f t="shared" si="3"/>
        <v>99</v>
      </c>
    </row>
    <row r="100" spans="1:9" ht="24" x14ac:dyDescent="0.3">
      <c r="A100" s="2" t="s">
        <v>682</v>
      </c>
      <c r="B100" s="2" t="s">
        <v>3418</v>
      </c>
      <c r="C100" s="2" t="s">
        <v>8731</v>
      </c>
      <c r="D100" s="2" t="s">
        <v>3419</v>
      </c>
      <c r="E100" s="2"/>
      <c r="F100" s="2"/>
      <c r="G100" s="2"/>
      <c r="H100" s="2"/>
      <c r="I100" s="3">
        <f t="shared" si="3"/>
        <v>100</v>
      </c>
    </row>
    <row r="101" spans="1:9" ht="36" x14ac:dyDescent="0.3">
      <c r="A101" s="2" t="s">
        <v>682</v>
      </c>
      <c r="B101" s="2" t="s">
        <v>3460</v>
      </c>
      <c r="C101" s="2" t="s">
        <v>8731</v>
      </c>
      <c r="D101" s="2" t="s">
        <v>3461</v>
      </c>
      <c r="E101" s="2" t="s">
        <v>39</v>
      </c>
      <c r="F101" s="2"/>
      <c r="G101" s="2"/>
      <c r="H101" s="2"/>
      <c r="I101" s="3">
        <f t="shared" si="3"/>
        <v>101</v>
      </c>
    </row>
    <row r="102" spans="1:9" ht="36" x14ac:dyDescent="0.3">
      <c r="A102" s="2" t="s">
        <v>682</v>
      </c>
      <c r="B102" s="2" t="s">
        <v>3596</v>
      </c>
      <c r="C102" s="2" t="s">
        <v>8731</v>
      </c>
      <c r="D102" s="2" t="s">
        <v>3597</v>
      </c>
      <c r="E102" s="2" t="s">
        <v>39</v>
      </c>
      <c r="F102" s="2"/>
      <c r="G102" s="2"/>
      <c r="H102" s="2"/>
      <c r="I102" s="3">
        <f t="shared" si="3"/>
        <v>104</v>
      </c>
    </row>
    <row r="103" spans="1:9" ht="24" x14ac:dyDescent="0.3">
      <c r="A103" s="2" t="s">
        <v>682</v>
      </c>
      <c r="B103" s="2" t="s">
        <v>3598</v>
      </c>
      <c r="C103" s="2" t="s">
        <v>8731</v>
      </c>
      <c r="D103" s="2" t="s">
        <v>3599</v>
      </c>
      <c r="E103" s="2" t="s">
        <v>39</v>
      </c>
      <c r="F103" s="2"/>
      <c r="G103" s="2"/>
      <c r="H103" s="2"/>
      <c r="I103" s="3">
        <f t="shared" si="3"/>
        <v>104</v>
      </c>
    </row>
    <row r="104" spans="1:9" ht="24" x14ac:dyDescent="0.3">
      <c r="A104" s="2" t="s">
        <v>682</v>
      </c>
      <c r="B104" s="2" t="s">
        <v>3098</v>
      </c>
      <c r="C104" s="2" t="s">
        <v>8731</v>
      </c>
      <c r="D104" s="2" t="s">
        <v>3665</v>
      </c>
      <c r="E104" s="2" t="s">
        <v>39</v>
      </c>
      <c r="F104" s="2"/>
      <c r="G104" s="2"/>
      <c r="H104" s="2"/>
      <c r="I104" s="3">
        <f t="shared" si="3"/>
        <v>106</v>
      </c>
    </row>
    <row r="105" spans="1:9" ht="24" x14ac:dyDescent="0.3">
      <c r="A105" s="2" t="s">
        <v>682</v>
      </c>
      <c r="B105" s="2" t="s">
        <v>3666</v>
      </c>
      <c r="C105" s="2" t="s">
        <v>8731</v>
      </c>
      <c r="D105" s="2" t="s">
        <v>3667</v>
      </c>
      <c r="E105" s="2" t="s">
        <v>39</v>
      </c>
      <c r="F105" s="2"/>
      <c r="G105" s="2"/>
      <c r="H105" s="2"/>
      <c r="I105" s="3">
        <f t="shared" si="3"/>
        <v>106</v>
      </c>
    </row>
    <row r="106" spans="1:9" ht="24" x14ac:dyDescent="0.3">
      <c r="A106" s="2" t="s">
        <v>682</v>
      </c>
      <c r="B106" s="2" t="s">
        <v>3724</v>
      </c>
      <c r="C106" s="2" t="s">
        <v>8731</v>
      </c>
      <c r="D106" s="2" t="s">
        <v>3725</v>
      </c>
      <c r="E106" s="2"/>
      <c r="F106" s="2"/>
      <c r="G106" s="2"/>
      <c r="H106" s="2"/>
      <c r="I106" s="3">
        <f t="shared" si="3"/>
        <v>107</v>
      </c>
    </row>
    <row r="107" spans="1:9" ht="36" x14ac:dyDescent="0.3">
      <c r="A107" s="2" t="s">
        <v>682</v>
      </c>
      <c r="B107" s="2" t="s">
        <v>3726</v>
      </c>
      <c r="C107" s="2" t="s">
        <v>8731</v>
      </c>
      <c r="D107" s="2" t="s">
        <v>3727</v>
      </c>
      <c r="E107" s="2" t="s">
        <v>39</v>
      </c>
      <c r="F107" s="2"/>
      <c r="G107" s="2"/>
      <c r="H107" s="2"/>
      <c r="I107" s="3">
        <f t="shared" si="3"/>
        <v>107</v>
      </c>
    </row>
    <row r="108" spans="1:9" ht="36" x14ac:dyDescent="0.3">
      <c r="A108" s="2" t="s">
        <v>682</v>
      </c>
      <c r="B108" s="2" t="s">
        <v>3763</v>
      </c>
      <c r="C108" s="2" t="s">
        <v>8731</v>
      </c>
      <c r="D108" s="2" t="s">
        <v>3764</v>
      </c>
      <c r="E108" s="2" t="s">
        <v>39</v>
      </c>
      <c r="F108" s="2"/>
      <c r="G108" s="2"/>
      <c r="H108" s="2"/>
      <c r="I108" s="3">
        <f t="shared" si="3"/>
        <v>108</v>
      </c>
    </row>
    <row r="109" spans="1:9" ht="36" x14ac:dyDescent="0.3">
      <c r="A109" s="2" t="s">
        <v>682</v>
      </c>
      <c r="B109" s="2" t="s">
        <v>3765</v>
      </c>
      <c r="C109" s="2" t="s">
        <v>8731</v>
      </c>
      <c r="D109" s="2" t="s">
        <v>3766</v>
      </c>
      <c r="E109" s="2"/>
      <c r="F109" s="2"/>
      <c r="G109" s="2"/>
      <c r="H109" s="2"/>
      <c r="I109" s="3">
        <f t="shared" si="3"/>
        <v>108</v>
      </c>
    </row>
    <row r="110" spans="1:9" ht="24" x14ac:dyDescent="0.3">
      <c r="A110" s="2" t="s">
        <v>682</v>
      </c>
      <c r="B110" s="2" t="s">
        <v>3767</v>
      </c>
      <c r="C110" s="2" t="s">
        <v>8731</v>
      </c>
      <c r="D110" s="2" t="s">
        <v>3768</v>
      </c>
      <c r="E110" s="2"/>
      <c r="F110" s="2"/>
      <c r="G110" s="2"/>
      <c r="H110" s="2"/>
      <c r="I110" s="3">
        <f t="shared" si="3"/>
        <v>108</v>
      </c>
    </row>
    <row r="111" spans="1:9" ht="24" x14ac:dyDescent="0.3">
      <c r="A111" s="2" t="s">
        <v>682</v>
      </c>
      <c r="B111" s="2" t="s">
        <v>3811</v>
      </c>
      <c r="C111" s="2" t="s">
        <v>408</v>
      </c>
      <c r="D111" s="2" t="s">
        <v>3812</v>
      </c>
      <c r="E111" s="2"/>
      <c r="F111" s="2"/>
      <c r="G111" s="2"/>
      <c r="H111" s="2"/>
      <c r="I111" s="3">
        <f t="shared" si="3"/>
        <v>109</v>
      </c>
    </row>
    <row r="112" spans="1:9" ht="36" x14ac:dyDescent="0.3">
      <c r="A112" s="2" t="s">
        <v>682</v>
      </c>
      <c r="B112" s="2" t="s">
        <v>3813</v>
      </c>
      <c r="C112" s="2" t="s">
        <v>8731</v>
      </c>
      <c r="D112" s="2" t="s">
        <v>3814</v>
      </c>
      <c r="E112" s="2"/>
      <c r="F112" s="2"/>
      <c r="G112" s="2"/>
      <c r="H112" s="2"/>
      <c r="I112" s="3">
        <f t="shared" si="3"/>
        <v>109</v>
      </c>
    </row>
    <row r="113" spans="1:9" ht="24" x14ac:dyDescent="0.3">
      <c r="A113" s="2" t="s">
        <v>682</v>
      </c>
      <c r="B113" s="2" t="s">
        <v>3815</v>
      </c>
      <c r="C113" s="2" t="s">
        <v>8731</v>
      </c>
      <c r="D113" s="2" t="s">
        <v>3816</v>
      </c>
      <c r="E113" s="2" t="s">
        <v>39</v>
      </c>
      <c r="F113" s="2"/>
      <c r="G113" s="2"/>
      <c r="H113" s="2"/>
      <c r="I113" s="3">
        <f t="shared" si="3"/>
        <v>109</v>
      </c>
    </row>
    <row r="114" spans="1:9" ht="24" x14ac:dyDescent="0.3">
      <c r="A114" s="2" t="s">
        <v>682</v>
      </c>
      <c r="B114" s="2" t="s">
        <v>3851</v>
      </c>
      <c r="C114" s="2" t="s">
        <v>8731</v>
      </c>
      <c r="D114" s="2" t="s">
        <v>3852</v>
      </c>
      <c r="E114" s="2" t="s">
        <v>39</v>
      </c>
      <c r="F114" s="2"/>
      <c r="G114" s="2"/>
      <c r="H114" s="2"/>
      <c r="I114" s="3">
        <f t="shared" si="3"/>
        <v>110</v>
      </c>
    </row>
    <row r="115" spans="1:9" ht="36" x14ac:dyDescent="0.3">
      <c r="A115" s="2" t="s">
        <v>682</v>
      </c>
      <c r="B115" s="2" t="s">
        <v>3853</v>
      </c>
      <c r="C115" s="2" t="s">
        <v>8731</v>
      </c>
      <c r="D115" s="2" t="s">
        <v>3854</v>
      </c>
      <c r="E115" s="2" t="s">
        <v>39</v>
      </c>
      <c r="F115" s="2"/>
      <c r="G115" s="2"/>
      <c r="H115" s="2"/>
      <c r="I115" s="3">
        <f t="shared" si="3"/>
        <v>110</v>
      </c>
    </row>
    <row r="116" spans="1:9" ht="24" x14ac:dyDescent="0.3">
      <c r="A116" s="2" t="s">
        <v>682</v>
      </c>
      <c r="B116" s="2" t="s">
        <v>3883</v>
      </c>
      <c r="C116" s="2" t="s">
        <v>8731</v>
      </c>
      <c r="D116" s="2" t="s">
        <v>3884</v>
      </c>
      <c r="E116" s="2"/>
      <c r="F116" s="2"/>
      <c r="G116" s="2"/>
      <c r="H116" s="2"/>
      <c r="I116" s="3">
        <f t="shared" si="3"/>
        <v>111</v>
      </c>
    </row>
    <row r="117" spans="1:9" ht="24" x14ac:dyDescent="0.3">
      <c r="A117" s="2" t="s">
        <v>682</v>
      </c>
      <c r="B117" s="2" t="s">
        <v>3927</v>
      </c>
      <c r="C117" s="2" t="s">
        <v>8731</v>
      </c>
      <c r="D117" s="2" t="s">
        <v>3928</v>
      </c>
      <c r="E117" s="2"/>
      <c r="F117" s="2"/>
      <c r="G117" s="2"/>
      <c r="H117" s="2" t="s">
        <v>194</v>
      </c>
      <c r="I117" s="3">
        <f t="shared" si="3"/>
        <v>112</v>
      </c>
    </row>
    <row r="118" spans="1:9" ht="36" x14ac:dyDescent="0.3">
      <c r="A118" s="2" t="s">
        <v>682</v>
      </c>
      <c r="B118" s="2" t="s">
        <v>3974</v>
      </c>
      <c r="C118" s="2" t="s">
        <v>8731</v>
      </c>
      <c r="D118" s="2" t="s">
        <v>3975</v>
      </c>
      <c r="E118" s="2"/>
      <c r="F118" s="2"/>
      <c r="G118" s="2"/>
      <c r="H118" s="2"/>
      <c r="I118" s="3">
        <f t="shared" si="3"/>
        <v>113</v>
      </c>
    </row>
    <row r="119" spans="1:9" ht="24" x14ac:dyDescent="0.3">
      <c r="A119" s="2" t="s">
        <v>682</v>
      </c>
      <c r="B119" s="2" t="s">
        <v>4065</v>
      </c>
      <c r="C119" s="3" t="s">
        <v>408</v>
      </c>
      <c r="D119" s="2" t="s">
        <v>4066</v>
      </c>
      <c r="E119" s="2"/>
      <c r="F119" s="2"/>
      <c r="G119" s="2"/>
      <c r="H119" s="2"/>
      <c r="I119" s="3">
        <f t="shared" si="3"/>
        <v>116</v>
      </c>
    </row>
    <row r="120" spans="1:9" ht="36" x14ac:dyDescent="0.3">
      <c r="A120" s="2" t="s">
        <v>682</v>
      </c>
      <c r="B120" s="2" t="s">
        <v>4067</v>
      </c>
      <c r="C120" s="2" t="s">
        <v>8731</v>
      </c>
      <c r="D120" s="2" t="s">
        <v>4068</v>
      </c>
      <c r="E120" s="2"/>
      <c r="F120" s="2"/>
      <c r="G120" s="2"/>
      <c r="H120" s="2"/>
      <c r="I120" s="3">
        <f t="shared" si="3"/>
        <v>116</v>
      </c>
    </row>
    <row r="121" spans="1:9" ht="36" x14ac:dyDescent="0.3">
      <c r="A121" s="2" t="s">
        <v>682</v>
      </c>
      <c r="B121" s="2" t="s">
        <v>4109</v>
      </c>
      <c r="C121" s="2" t="s">
        <v>8731</v>
      </c>
      <c r="D121" s="2" t="s">
        <v>4110</v>
      </c>
      <c r="E121" s="2"/>
      <c r="F121" s="2"/>
      <c r="G121" s="2"/>
      <c r="H121" s="2"/>
      <c r="I121" s="3">
        <f t="shared" si="3"/>
        <v>117</v>
      </c>
    </row>
    <row r="122" spans="1:9" ht="24" x14ac:dyDescent="0.3">
      <c r="A122" s="2" t="s">
        <v>682</v>
      </c>
      <c r="B122" s="2" t="s">
        <v>4181</v>
      </c>
      <c r="C122" s="2" t="s">
        <v>8731</v>
      </c>
      <c r="D122" s="2" t="s">
        <v>4182</v>
      </c>
      <c r="E122" s="2" t="s">
        <v>39</v>
      </c>
      <c r="F122" s="2"/>
      <c r="G122" s="2"/>
      <c r="H122" s="2"/>
      <c r="I122" s="3">
        <f t="shared" si="3"/>
        <v>119</v>
      </c>
    </row>
    <row r="123" spans="1:9" ht="36" x14ac:dyDescent="0.3">
      <c r="A123" s="2" t="s">
        <v>682</v>
      </c>
      <c r="B123" s="2" t="s">
        <v>4355</v>
      </c>
      <c r="C123" s="2" t="s">
        <v>8731</v>
      </c>
      <c r="D123" s="2" t="s">
        <v>4356</v>
      </c>
      <c r="E123" s="2" t="s">
        <v>39</v>
      </c>
      <c r="F123" s="2"/>
      <c r="G123" s="2"/>
      <c r="H123" s="2"/>
      <c r="I123" s="3">
        <f t="shared" si="3"/>
        <v>124</v>
      </c>
    </row>
    <row r="124" spans="1:9" ht="24" x14ac:dyDescent="0.3">
      <c r="A124" s="2" t="s">
        <v>682</v>
      </c>
      <c r="B124" s="2" t="s">
        <v>4381</v>
      </c>
      <c r="C124" s="2" t="s">
        <v>408</v>
      </c>
      <c r="D124" s="2" t="s">
        <v>4382</v>
      </c>
      <c r="E124" s="2"/>
      <c r="F124" s="2"/>
      <c r="G124" s="2"/>
      <c r="H124" s="2"/>
      <c r="I124" s="3">
        <f t="shared" si="3"/>
        <v>125</v>
      </c>
    </row>
    <row r="125" spans="1:9" ht="36" x14ac:dyDescent="0.3">
      <c r="A125" s="2" t="s">
        <v>682</v>
      </c>
      <c r="B125" s="2" t="s">
        <v>4424</v>
      </c>
      <c r="C125" s="2" t="s">
        <v>8731</v>
      </c>
      <c r="D125" s="2" t="s">
        <v>4425</v>
      </c>
      <c r="E125" s="2" t="s">
        <v>39</v>
      </c>
      <c r="F125" s="2"/>
      <c r="G125" s="2"/>
      <c r="H125" s="2"/>
      <c r="I125" s="3">
        <f t="shared" si="3"/>
        <v>126</v>
      </c>
    </row>
    <row r="126" spans="1:9" ht="24" x14ac:dyDescent="0.3">
      <c r="A126" s="2" t="s">
        <v>682</v>
      </c>
      <c r="B126" s="2" t="s">
        <v>4531</v>
      </c>
      <c r="C126" s="2" t="s">
        <v>408</v>
      </c>
      <c r="D126" s="2" t="s">
        <v>4532</v>
      </c>
      <c r="E126" s="2"/>
      <c r="F126" s="2"/>
      <c r="G126" s="2"/>
      <c r="H126" s="2"/>
      <c r="I126" s="3">
        <f t="shared" si="3"/>
        <v>129</v>
      </c>
    </row>
    <row r="127" spans="1:9" ht="24" x14ac:dyDescent="0.3">
      <c r="A127" s="2" t="s">
        <v>682</v>
      </c>
      <c r="B127" s="2" t="s">
        <v>4381</v>
      </c>
      <c r="C127" s="2" t="s">
        <v>408</v>
      </c>
      <c r="D127" s="2" t="s">
        <v>4560</v>
      </c>
      <c r="E127" s="2"/>
      <c r="F127" s="2"/>
      <c r="G127" s="2"/>
      <c r="H127" s="2"/>
      <c r="I127" s="3">
        <f t="shared" si="3"/>
        <v>130</v>
      </c>
    </row>
    <row r="128" spans="1:9" ht="24" x14ac:dyDescent="0.3">
      <c r="A128" s="2" t="s">
        <v>682</v>
      </c>
      <c r="B128" s="2" t="s">
        <v>4666</v>
      </c>
      <c r="C128" s="2" t="s">
        <v>408</v>
      </c>
      <c r="D128" s="2" t="s">
        <v>4667</v>
      </c>
      <c r="E128" s="2"/>
      <c r="F128" s="2"/>
      <c r="G128" s="2"/>
      <c r="H128" s="2"/>
      <c r="I128" s="3">
        <f t="shared" si="3"/>
        <v>134</v>
      </c>
    </row>
    <row r="129" spans="1:9" ht="36" x14ac:dyDescent="0.3">
      <c r="A129" s="2" t="s">
        <v>682</v>
      </c>
      <c r="B129" s="2" t="s">
        <v>4750</v>
      </c>
      <c r="C129" s="2" t="s">
        <v>8731</v>
      </c>
      <c r="D129" s="2" t="s">
        <v>4751</v>
      </c>
      <c r="E129" s="2"/>
      <c r="F129" s="2"/>
      <c r="G129" s="2"/>
      <c r="H129" s="2"/>
      <c r="I129" s="3">
        <f t="shared" si="3"/>
        <v>137</v>
      </c>
    </row>
    <row r="130" spans="1:9" ht="36" x14ac:dyDescent="0.3">
      <c r="A130" s="2" t="s">
        <v>682</v>
      </c>
      <c r="B130" s="2" t="s">
        <v>4787</v>
      </c>
      <c r="C130" s="2" t="s">
        <v>8731</v>
      </c>
      <c r="D130" s="2" t="s">
        <v>4788</v>
      </c>
      <c r="E130" s="2" t="s">
        <v>39</v>
      </c>
      <c r="F130" s="2"/>
      <c r="G130" s="2"/>
      <c r="H130" s="2"/>
      <c r="I130" s="3">
        <f t="shared" ref="I130:I135" si="4">LEN(D130)</f>
        <v>138</v>
      </c>
    </row>
    <row r="131" spans="1:9" ht="24" x14ac:dyDescent="0.3">
      <c r="A131" s="2" t="s">
        <v>682</v>
      </c>
      <c r="B131" s="2" t="s">
        <v>4381</v>
      </c>
      <c r="C131" s="2" t="s">
        <v>408</v>
      </c>
      <c r="D131" s="2" t="s">
        <v>4856</v>
      </c>
      <c r="E131" s="2"/>
      <c r="F131" s="2"/>
      <c r="G131" s="2"/>
      <c r="H131" s="2"/>
      <c r="I131" s="3">
        <f t="shared" si="4"/>
        <v>140</v>
      </c>
    </row>
    <row r="132" spans="1:9" ht="36" x14ac:dyDescent="0.3">
      <c r="A132" s="2" t="s">
        <v>682</v>
      </c>
      <c r="B132" s="2" t="s">
        <v>4994</v>
      </c>
      <c r="C132" s="2" t="s">
        <v>8731</v>
      </c>
      <c r="D132" s="2" t="s">
        <v>4995</v>
      </c>
      <c r="E132" s="2"/>
      <c r="F132" s="2"/>
      <c r="G132" s="2"/>
      <c r="H132" s="2"/>
      <c r="I132" s="3">
        <f t="shared" si="4"/>
        <v>144</v>
      </c>
    </row>
    <row r="133" spans="1:9" ht="24" x14ac:dyDescent="0.3">
      <c r="A133" s="2" t="s">
        <v>682</v>
      </c>
      <c r="B133" s="2" t="s">
        <v>1463</v>
      </c>
      <c r="C133" s="2" t="s">
        <v>8731</v>
      </c>
      <c r="D133" s="2" t="s">
        <v>8732</v>
      </c>
      <c r="E133" s="2"/>
      <c r="F133" s="2"/>
      <c r="G133" s="2"/>
      <c r="H133" s="2"/>
      <c r="I133" s="3">
        <f t="shared" si="4"/>
        <v>147</v>
      </c>
    </row>
    <row r="134" spans="1:9" ht="24" x14ac:dyDescent="0.3">
      <c r="A134" s="2" t="s">
        <v>682</v>
      </c>
      <c r="B134" s="2" t="s">
        <v>5546</v>
      </c>
      <c r="C134" s="2" t="s">
        <v>408</v>
      </c>
      <c r="D134" s="2" t="s">
        <v>5547</v>
      </c>
      <c r="E134" s="2"/>
      <c r="F134" s="2"/>
      <c r="G134" s="2"/>
      <c r="H134" s="2"/>
      <c r="I134" s="3">
        <f t="shared" si="4"/>
        <v>166</v>
      </c>
    </row>
    <row r="135" spans="1:9" ht="24" x14ac:dyDescent="0.3">
      <c r="A135" s="2" t="s">
        <v>682</v>
      </c>
      <c r="B135" s="2" t="s">
        <v>6307</v>
      </c>
      <c r="C135" s="2" t="s">
        <v>408</v>
      </c>
      <c r="D135" s="2" t="s">
        <v>6308</v>
      </c>
      <c r="E135" s="2"/>
      <c r="F135" s="2"/>
      <c r="G135" s="2"/>
      <c r="H135" s="2"/>
      <c r="I135" s="3">
        <f t="shared" si="4"/>
        <v>211</v>
      </c>
    </row>
    <row r="136" spans="1:9" x14ac:dyDescent="0.3">
      <c r="A136" s="2"/>
      <c r="B136" s="2"/>
      <c r="C136" s="2"/>
    </row>
  </sheetData>
  <autoFilter ref="A1:I136" xr:uid="{00000000-0009-0000-0000-000000000000}">
    <sortState xmlns:xlrd2="http://schemas.microsoft.com/office/spreadsheetml/2017/richdata2" ref="A2:I135">
      <sortCondition ref="A1:A135"/>
    </sortState>
  </autoFilter>
  <conditionalFormatting sqref="H1:H137">
    <cfRule type="notContainsBlanks" dxfId="10" priority="1">
      <formula>LEN(TRIM(H1))&gt;0</formula>
    </cfRule>
  </conditionalFormatting>
  <dataValidations count="2">
    <dataValidation type="list" allowBlank="1" sqref="H2:H135" xr:uid="{BB66C671-9B91-4F5C-B6D7-F1FE1D2B7DF3}">
      <formula1>#REF!</formula1>
    </dataValidation>
    <dataValidation allowBlank="1" showErrorMessage="1" sqref="C2:C135" xr:uid="{FD35EBEA-A11A-4AA9-81B0-FA06C6784037}"/>
  </dataValidation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8ABC9-4724-4D0E-8DF6-46B4B6ACCC6B}">
  <dimension ref="A1:I472"/>
  <sheetViews>
    <sheetView topLeftCell="C1" workbookViewId="0">
      <pane ySplit="1" topLeftCell="A453" activePane="bottomLeft" state="frozen"/>
      <selection pane="bottomLeft" activeCell="D473" sqref="D473"/>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ht="24" x14ac:dyDescent="0.3">
      <c r="A2" s="2" t="s">
        <v>245</v>
      </c>
      <c r="B2" s="2" t="s">
        <v>4271</v>
      </c>
      <c r="C2" s="2" t="s">
        <v>2054</v>
      </c>
      <c r="D2" s="2" t="s">
        <v>9327</v>
      </c>
      <c r="E2" s="2"/>
      <c r="F2" s="2" t="s">
        <v>1778</v>
      </c>
      <c r="G2" s="2" t="s">
        <v>1717</v>
      </c>
      <c r="H2" s="2"/>
      <c r="I2" s="3">
        <f t="shared" ref="I2:I33" si="0">LEN(D2)</f>
        <v>140</v>
      </c>
    </row>
    <row r="3" spans="1:9" ht="24" x14ac:dyDescent="0.3">
      <c r="A3" s="2" t="s">
        <v>245</v>
      </c>
      <c r="B3" s="2" t="s">
        <v>4271</v>
      </c>
      <c r="C3" s="2" t="s">
        <v>2054</v>
      </c>
      <c r="D3" s="2" t="s">
        <v>4272</v>
      </c>
      <c r="E3" s="2" t="s">
        <v>39</v>
      </c>
      <c r="F3" s="2"/>
      <c r="G3" s="2"/>
      <c r="H3" s="2"/>
      <c r="I3" s="3">
        <f t="shared" si="0"/>
        <v>122</v>
      </c>
    </row>
    <row r="4" spans="1:9" x14ac:dyDescent="0.3">
      <c r="A4" s="2" t="s">
        <v>245</v>
      </c>
      <c r="B4" s="2" t="s">
        <v>2053</v>
      </c>
      <c r="C4" s="2" t="s">
        <v>2054</v>
      </c>
      <c r="D4" s="2" t="s">
        <v>2055</v>
      </c>
      <c r="E4" s="2"/>
      <c r="F4" s="2"/>
      <c r="G4" s="2"/>
      <c r="H4" s="2"/>
      <c r="I4" s="3">
        <f t="shared" si="0"/>
        <v>74</v>
      </c>
    </row>
    <row r="5" spans="1:9" ht="24" x14ac:dyDescent="0.3">
      <c r="A5" s="2" t="s">
        <v>245</v>
      </c>
      <c r="B5" s="2" t="s">
        <v>4864</v>
      </c>
      <c r="C5" s="2" t="s">
        <v>4865</v>
      </c>
      <c r="D5" s="2" t="s">
        <v>4866</v>
      </c>
      <c r="E5" s="2" t="s">
        <v>39</v>
      </c>
      <c r="F5" s="2"/>
      <c r="G5" s="2"/>
      <c r="H5" s="2"/>
      <c r="I5" s="3">
        <f t="shared" si="0"/>
        <v>141</v>
      </c>
    </row>
    <row r="6" spans="1:9" x14ac:dyDescent="0.3">
      <c r="A6" s="2" t="s">
        <v>245</v>
      </c>
      <c r="B6" s="2" t="s">
        <v>267</v>
      </c>
      <c r="C6" s="2" t="s">
        <v>268</v>
      </c>
      <c r="D6" s="2" t="s">
        <v>269</v>
      </c>
      <c r="E6" s="2"/>
      <c r="F6" s="2"/>
      <c r="G6" s="2"/>
      <c r="H6" s="2"/>
      <c r="I6" s="3">
        <f t="shared" si="0"/>
        <v>30</v>
      </c>
    </row>
    <row r="7" spans="1:9" x14ac:dyDescent="0.3">
      <c r="A7" s="2" t="s">
        <v>245</v>
      </c>
      <c r="B7" s="2" t="s">
        <v>270</v>
      </c>
      <c r="C7" s="2" t="s">
        <v>271</v>
      </c>
      <c r="D7" s="2" t="s">
        <v>269</v>
      </c>
      <c r="E7" s="2"/>
      <c r="F7" s="2"/>
      <c r="G7" s="2"/>
      <c r="H7" s="2"/>
      <c r="I7" s="3">
        <f t="shared" si="0"/>
        <v>30</v>
      </c>
    </row>
    <row r="8" spans="1:9" x14ac:dyDescent="0.3">
      <c r="A8" s="2" t="s">
        <v>245</v>
      </c>
      <c r="B8" s="2" t="s">
        <v>272</v>
      </c>
      <c r="C8" s="2" t="s">
        <v>273</v>
      </c>
      <c r="D8" s="2" t="s">
        <v>269</v>
      </c>
      <c r="E8" s="2"/>
      <c r="F8" s="2"/>
      <c r="G8" s="2"/>
      <c r="H8" s="2"/>
      <c r="I8" s="3">
        <f t="shared" si="0"/>
        <v>30</v>
      </c>
    </row>
    <row r="9" spans="1:9" ht="24" x14ac:dyDescent="0.3">
      <c r="A9" s="2" t="s">
        <v>245</v>
      </c>
      <c r="B9" s="2" t="s">
        <v>4536</v>
      </c>
      <c r="C9" s="2" t="s">
        <v>1371</v>
      </c>
      <c r="D9" s="2" t="s">
        <v>9328</v>
      </c>
      <c r="E9" s="2"/>
      <c r="F9" s="2" t="s">
        <v>350</v>
      </c>
      <c r="G9" s="2" t="s">
        <v>1717</v>
      </c>
      <c r="H9" s="2"/>
      <c r="I9" s="3">
        <f t="shared" si="0"/>
        <v>158</v>
      </c>
    </row>
    <row r="10" spans="1:9" ht="24" x14ac:dyDescent="0.3">
      <c r="A10" s="2" t="s">
        <v>245</v>
      </c>
      <c r="B10" s="2" t="s">
        <v>1634</v>
      </c>
      <c r="C10" s="2" t="s">
        <v>1371</v>
      </c>
      <c r="D10" s="2" t="s">
        <v>5445</v>
      </c>
      <c r="E10" s="2"/>
      <c r="F10" s="2"/>
      <c r="G10" s="2" t="s">
        <v>1717</v>
      </c>
      <c r="H10" s="2"/>
      <c r="I10" s="3">
        <f t="shared" si="0"/>
        <v>162</v>
      </c>
    </row>
    <row r="11" spans="1:9" ht="24" x14ac:dyDescent="0.3">
      <c r="A11" s="2" t="s">
        <v>245</v>
      </c>
      <c r="B11" s="2" t="s">
        <v>1634</v>
      </c>
      <c r="C11" s="2" t="s">
        <v>1371</v>
      </c>
      <c r="D11" s="2" t="s">
        <v>5162</v>
      </c>
      <c r="E11" s="2"/>
      <c r="F11" s="2"/>
      <c r="G11" s="2" t="s">
        <v>1717</v>
      </c>
      <c r="H11" s="2"/>
      <c r="I11" s="3">
        <f t="shared" si="0"/>
        <v>150</v>
      </c>
    </row>
    <row r="12" spans="1:9" ht="24" x14ac:dyDescent="0.3">
      <c r="A12" s="2" t="s">
        <v>245</v>
      </c>
      <c r="B12" s="2" t="s">
        <v>5091</v>
      </c>
      <c r="C12" s="2" t="s">
        <v>1371</v>
      </c>
      <c r="D12" s="2" t="s">
        <v>5092</v>
      </c>
      <c r="E12" s="2"/>
      <c r="F12" s="2"/>
      <c r="G12" s="2" t="s">
        <v>1717</v>
      </c>
      <c r="H12" s="2"/>
      <c r="I12" s="3">
        <f t="shared" si="0"/>
        <v>148</v>
      </c>
    </row>
    <row r="13" spans="1:9" x14ac:dyDescent="0.3">
      <c r="A13" s="2" t="s">
        <v>245</v>
      </c>
      <c r="B13" s="2" t="s">
        <v>511</v>
      </c>
      <c r="C13" s="2" t="s">
        <v>268</v>
      </c>
      <c r="D13" s="2" t="s">
        <v>858</v>
      </c>
      <c r="E13" s="2"/>
      <c r="F13" s="2"/>
      <c r="G13" s="2"/>
      <c r="H13" s="2"/>
      <c r="I13" s="3">
        <f t="shared" si="0"/>
        <v>52</v>
      </c>
    </row>
    <row r="14" spans="1:9" ht="24" x14ac:dyDescent="0.3">
      <c r="A14" s="2" t="s">
        <v>245</v>
      </c>
      <c r="B14" s="2" t="s">
        <v>4943</v>
      </c>
      <c r="C14" s="2" t="s">
        <v>1371</v>
      </c>
      <c r="D14" s="2" t="s">
        <v>9329</v>
      </c>
      <c r="E14" s="2"/>
      <c r="F14" s="2" t="s">
        <v>350</v>
      </c>
      <c r="G14" s="2" t="s">
        <v>1717</v>
      </c>
      <c r="H14" s="2"/>
      <c r="I14" s="3">
        <f t="shared" si="0"/>
        <v>141</v>
      </c>
    </row>
    <row r="15" spans="1:9" x14ac:dyDescent="0.3">
      <c r="A15" s="2" t="s">
        <v>245</v>
      </c>
      <c r="B15" s="2" t="s">
        <v>642</v>
      </c>
      <c r="C15" s="2" t="s">
        <v>268</v>
      </c>
      <c r="D15" s="2" t="s">
        <v>743</v>
      </c>
      <c r="E15" s="2"/>
      <c r="F15" s="2"/>
      <c r="G15" s="2"/>
      <c r="H15" s="2"/>
      <c r="I15" s="3">
        <f t="shared" si="0"/>
        <v>49</v>
      </c>
    </row>
    <row r="16" spans="1:9" x14ac:dyDescent="0.3">
      <c r="A16" s="2" t="s">
        <v>245</v>
      </c>
      <c r="B16" s="2" t="s">
        <v>1634</v>
      </c>
      <c r="C16" s="2" t="s">
        <v>345</v>
      </c>
      <c r="D16" s="2" t="s">
        <v>1635</v>
      </c>
      <c r="E16" s="2"/>
      <c r="F16" s="2"/>
      <c r="G16" s="2"/>
      <c r="H16" s="2"/>
      <c r="I16" s="3">
        <f t="shared" si="0"/>
        <v>67</v>
      </c>
    </row>
    <row r="17" spans="1:9" x14ac:dyDescent="0.3">
      <c r="A17" s="2" t="s">
        <v>245</v>
      </c>
      <c r="B17" s="2" t="s">
        <v>344</v>
      </c>
      <c r="C17" s="2" t="s">
        <v>345</v>
      </c>
      <c r="D17" s="2" t="s">
        <v>346</v>
      </c>
      <c r="E17" s="2"/>
      <c r="F17" s="2"/>
      <c r="G17" s="2"/>
      <c r="H17" s="2" t="s">
        <v>86</v>
      </c>
      <c r="I17" s="3">
        <f t="shared" si="0"/>
        <v>34</v>
      </c>
    </row>
    <row r="18" spans="1:9" x14ac:dyDescent="0.3">
      <c r="A18" s="2" t="s">
        <v>245</v>
      </c>
      <c r="B18" s="2" t="s">
        <v>893</v>
      </c>
      <c r="C18" s="2" t="s">
        <v>268</v>
      </c>
      <c r="D18" s="2" t="s">
        <v>894</v>
      </c>
      <c r="E18" s="2" t="s">
        <v>39</v>
      </c>
      <c r="F18" s="2"/>
      <c r="G18" s="2"/>
      <c r="H18" s="2"/>
      <c r="I18" s="3">
        <f t="shared" si="0"/>
        <v>53</v>
      </c>
    </row>
    <row r="19" spans="1:9" x14ac:dyDescent="0.3">
      <c r="A19" s="2" t="s">
        <v>245</v>
      </c>
      <c r="B19" s="2" t="s">
        <v>642</v>
      </c>
      <c r="C19" s="2" t="s">
        <v>268</v>
      </c>
      <c r="D19" s="2" t="s">
        <v>3247</v>
      </c>
      <c r="E19" s="2"/>
      <c r="F19" s="2"/>
      <c r="G19" s="2"/>
      <c r="H19" s="2"/>
      <c r="I19" s="3">
        <f t="shared" si="0"/>
        <v>97</v>
      </c>
    </row>
    <row r="20" spans="1:9" x14ac:dyDescent="0.3">
      <c r="A20" s="2" t="s">
        <v>245</v>
      </c>
      <c r="B20" s="2" t="s">
        <v>2467</v>
      </c>
      <c r="C20" s="2" t="s">
        <v>268</v>
      </c>
      <c r="D20" s="2" t="s">
        <v>2468</v>
      </c>
      <c r="E20" s="2"/>
      <c r="F20" s="2"/>
      <c r="G20" s="2"/>
      <c r="H20" s="2" t="s">
        <v>646</v>
      </c>
      <c r="I20" s="3">
        <f t="shared" si="0"/>
        <v>82</v>
      </c>
    </row>
    <row r="21" spans="1:9" x14ac:dyDescent="0.3">
      <c r="A21" s="2" t="s">
        <v>245</v>
      </c>
      <c r="B21" s="2" t="s">
        <v>1634</v>
      </c>
      <c r="C21" s="2" t="s">
        <v>268</v>
      </c>
      <c r="D21" s="2" t="s">
        <v>3248</v>
      </c>
      <c r="E21" s="2"/>
      <c r="F21" s="2"/>
      <c r="G21" s="2"/>
      <c r="H21" s="2"/>
      <c r="I21" s="3">
        <f t="shared" si="0"/>
        <v>97</v>
      </c>
    </row>
    <row r="22" spans="1:9" x14ac:dyDescent="0.3">
      <c r="A22" s="2" t="s">
        <v>245</v>
      </c>
      <c r="B22" s="2" t="s">
        <v>511</v>
      </c>
      <c r="C22" s="2" t="s">
        <v>512</v>
      </c>
      <c r="D22" s="2" t="s">
        <v>513</v>
      </c>
      <c r="E22" s="2"/>
      <c r="F22" s="2"/>
      <c r="G22" s="2"/>
      <c r="H22" s="2"/>
      <c r="I22" s="3">
        <f t="shared" si="0"/>
        <v>41</v>
      </c>
    </row>
    <row r="23" spans="1:9" ht="24" x14ac:dyDescent="0.3">
      <c r="A23" s="2" t="s">
        <v>245</v>
      </c>
      <c r="B23" s="2" t="s">
        <v>1634</v>
      </c>
      <c r="C23" s="2" t="s">
        <v>2582</v>
      </c>
      <c r="D23" s="2" t="s">
        <v>9330</v>
      </c>
      <c r="E23" s="2" t="s">
        <v>2136</v>
      </c>
      <c r="F23" s="2" t="s">
        <v>1778</v>
      </c>
      <c r="G23" s="2" t="s">
        <v>1717</v>
      </c>
      <c r="H23" s="2" t="s">
        <v>898</v>
      </c>
      <c r="I23" s="3">
        <f t="shared" si="0"/>
        <v>160</v>
      </c>
    </row>
    <row r="24" spans="1:9" ht="24" x14ac:dyDescent="0.3">
      <c r="A24" s="2" t="s">
        <v>245</v>
      </c>
      <c r="B24" s="2" t="s">
        <v>1634</v>
      </c>
      <c r="C24" s="2" t="s">
        <v>2582</v>
      </c>
      <c r="D24" s="2" t="s">
        <v>9331</v>
      </c>
      <c r="E24" s="2" t="s">
        <v>2524</v>
      </c>
      <c r="F24" s="2" t="s">
        <v>1778</v>
      </c>
      <c r="G24" s="2" t="s">
        <v>1717</v>
      </c>
      <c r="H24" s="2" t="s">
        <v>898</v>
      </c>
      <c r="I24" s="3">
        <f t="shared" si="0"/>
        <v>148</v>
      </c>
    </row>
    <row r="25" spans="1:9" ht="36" x14ac:dyDescent="0.3">
      <c r="A25" s="2" t="s">
        <v>245</v>
      </c>
      <c r="B25" s="2" t="s">
        <v>6845</v>
      </c>
      <c r="C25" s="2" t="s">
        <v>268</v>
      </c>
      <c r="D25" s="2" t="s">
        <v>9332</v>
      </c>
      <c r="E25" s="2" t="s">
        <v>39</v>
      </c>
      <c r="F25" s="2" t="s">
        <v>2281</v>
      </c>
      <c r="G25" s="2" t="s">
        <v>1717</v>
      </c>
      <c r="H25" s="2"/>
      <c r="I25" s="3">
        <f t="shared" si="0"/>
        <v>256</v>
      </c>
    </row>
    <row r="26" spans="1:9" ht="36" x14ac:dyDescent="0.3">
      <c r="A26" s="2" t="s">
        <v>245</v>
      </c>
      <c r="B26" s="2" t="s">
        <v>1634</v>
      </c>
      <c r="C26" s="2" t="s">
        <v>1371</v>
      </c>
      <c r="D26" s="2" t="s">
        <v>6571</v>
      </c>
      <c r="E26" s="2"/>
      <c r="F26" s="2"/>
      <c r="G26" s="2" t="s">
        <v>1717</v>
      </c>
      <c r="H26" s="2" t="s">
        <v>646</v>
      </c>
      <c r="I26" s="3">
        <f t="shared" si="0"/>
        <v>234</v>
      </c>
    </row>
    <row r="27" spans="1:9" ht="24" x14ac:dyDescent="0.3">
      <c r="A27" s="2" t="s">
        <v>245</v>
      </c>
      <c r="B27" s="2" t="s">
        <v>1634</v>
      </c>
      <c r="C27" s="2" t="s">
        <v>2582</v>
      </c>
      <c r="D27" s="2" t="s">
        <v>8713</v>
      </c>
      <c r="E27" s="2" t="s">
        <v>2136</v>
      </c>
      <c r="F27" s="2"/>
      <c r="G27" s="2"/>
      <c r="H27" s="2" t="s">
        <v>898</v>
      </c>
      <c r="I27" s="3">
        <f t="shared" si="0"/>
        <v>104</v>
      </c>
    </row>
    <row r="28" spans="1:9" ht="24" x14ac:dyDescent="0.3">
      <c r="A28" s="2" t="s">
        <v>245</v>
      </c>
      <c r="B28" s="2" t="s">
        <v>4623</v>
      </c>
      <c r="C28" s="2" t="s">
        <v>2582</v>
      </c>
      <c r="D28" s="2" t="s">
        <v>8714</v>
      </c>
      <c r="E28" s="2" t="s">
        <v>4624</v>
      </c>
      <c r="F28" s="2"/>
      <c r="G28" s="2"/>
      <c r="H28" s="2" t="s">
        <v>898</v>
      </c>
      <c r="I28" s="3">
        <f t="shared" si="0"/>
        <v>133</v>
      </c>
    </row>
    <row r="29" spans="1:9" x14ac:dyDescent="0.3">
      <c r="A29" s="2" t="s">
        <v>245</v>
      </c>
      <c r="B29" s="2" t="s">
        <v>642</v>
      </c>
      <c r="C29" s="2" t="s">
        <v>2582</v>
      </c>
      <c r="D29" s="2" t="s">
        <v>2583</v>
      </c>
      <c r="E29" s="2" t="s">
        <v>2524</v>
      </c>
      <c r="F29" s="2"/>
      <c r="G29" s="2"/>
      <c r="H29" s="2" t="s">
        <v>898</v>
      </c>
      <c r="I29" s="3">
        <f t="shared" si="0"/>
        <v>84</v>
      </c>
    </row>
    <row r="30" spans="1:9" x14ac:dyDescent="0.3">
      <c r="A30" s="2" t="s">
        <v>245</v>
      </c>
      <c r="B30" s="2" t="s">
        <v>1445</v>
      </c>
      <c r="C30" s="2" t="s">
        <v>2582</v>
      </c>
      <c r="D30" s="2" t="s">
        <v>2928</v>
      </c>
      <c r="E30" s="2" t="s">
        <v>2136</v>
      </c>
      <c r="F30" s="2"/>
      <c r="G30" s="2"/>
      <c r="H30" s="2" t="s">
        <v>898</v>
      </c>
      <c r="I30" s="3">
        <f t="shared" si="0"/>
        <v>90</v>
      </c>
    </row>
    <row r="31" spans="1:9" ht="24" x14ac:dyDescent="0.3">
      <c r="A31" s="2" t="s">
        <v>245</v>
      </c>
      <c r="B31" s="2" t="s">
        <v>1634</v>
      </c>
      <c r="C31" s="2" t="s">
        <v>2582</v>
      </c>
      <c r="D31" s="2" t="s">
        <v>5456</v>
      </c>
      <c r="E31" s="2" t="s">
        <v>2524</v>
      </c>
      <c r="F31" s="2"/>
      <c r="G31" s="2"/>
      <c r="H31" s="2" t="s">
        <v>194</v>
      </c>
      <c r="I31" s="3">
        <f t="shared" si="0"/>
        <v>163</v>
      </c>
    </row>
    <row r="32" spans="1:9" ht="24" x14ac:dyDescent="0.3">
      <c r="A32" s="2" t="s">
        <v>245</v>
      </c>
      <c r="B32" s="2" t="s">
        <v>3027</v>
      </c>
      <c r="C32" s="2" t="s">
        <v>2582</v>
      </c>
      <c r="D32" s="2" t="s">
        <v>3028</v>
      </c>
      <c r="E32" s="2" t="s">
        <v>2524</v>
      </c>
      <c r="F32" s="2"/>
      <c r="G32" s="2"/>
      <c r="H32" s="2" t="s">
        <v>898</v>
      </c>
      <c r="I32" s="3">
        <f t="shared" si="0"/>
        <v>92</v>
      </c>
    </row>
    <row r="33" spans="1:9" ht="24" x14ac:dyDescent="0.3">
      <c r="A33" s="2" t="s">
        <v>245</v>
      </c>
      <c r="B33" s="2" t="s">
        <v>642</v>
      </c>
      <c r="C33" s="2" t="s">
        <v>2582</v>
      </c>
      <c r="D33" s="2" t="s">
        <v>8715</v>
      </c>
      <c r="E33" s="2" t="s">
        <v>4625</v>
      </c>
      <c r="F33" s="2"/>
      <c r="G33" s="2"/>
      <c r="H33" s="2" t="s">
        <v>898</v>
      </c>
      <c r="I33" s="3">
        <f t="shared" si="0"/>
        <v>133</v>
      </c>
    </row>
    <row r="34" spans="1:9" ht="24" x14ac:dyDescent="0.3">
      <c r="A34" s="2" t="s">
        <v>245</v>
      </c>
      <c r="B34" s="2" t="s">
        <v>1321</v>
      </c>
      <c r="C34" s="2" t="s">
        <v>2582</v>
      </c>
      <c r="D34" s="2" t="s">
        <v>5163</v>
      </c>
      <c r="E34" s="2" t="s">
        <v>5164</v>
      </c>
      <c r="F34" s="2"/>
      <c r="G34" s="2"/>
      <c r="H34" s="2" t="s">
        <v>898</v>
      </c>
      <c r="I34" s="3">
        <f t="shared" ref="I34:I65" si="1">LEN(D34)</f>
        <v>150</v>
      </c>
    </row>
    <row r="35" spans="1:9" x14ac:dyDescent="0.3">
      <c r="A35" s="2" t="s">
        <v>245</v>
      </c>
      <c r="B35" s="2" t="s">
        <v>830</v>
      </c>
      <c r="C35" s="2" t="s">
        <v>1702</v>
      </c>
      <c r="D35" s="2" t="s">
        <v>1703</v>
      </c>
      <c r="E35" s="2"/>
      <c r="F35" s="2"/>
      <c r="G35" s="2"/>
      <c r="H35" s="2"/>
      <c r="I35" s="3">
        <f t="shared" si="1"/>
        <v>68</v>
      </c>
    </row>
    <row r="36" spans="1:9" x14ac:dyDescent="0.3">
      <c r="A36" s="2" t="s">
        <v>245</v>
      </c>
      <c r="B36" s="2" t="s">
        <v>2184</v>
      </c>
      <c r="C36" s="2" t="s">
        <v>2984</v>
      </c>
      <c r="D36" s="2" t="s">
        <v>2985</v>
      </c>
      <c r="E36" s="2"/>
      <c r="F36" s="2"/>
      <c r="G36" s="2"/>
      <c r="H36" s="2"/>
      <c r="I36" s="3">
        <f t="shared" si="1"/>
        <v>91</v>
      </c>
    </row>
    <row r="37" spans="1:9" ht="24" x14ac:dyDescent="0.3">
      <c r="A37" s="2" t="s">
        <v>245</v>
      </c>
      <c r="B37" s="2" t="s">
        <v>5882</v>
      </c>
      <c r="C37" s="2" t="s">
        <v>875</v>
      </c>
      <c r="D37" s="2" t="s">
        <v>5883</v>
      </c>
      <c r="E37" s="2" t="s">
        <v>39</v>
      </c>
      <c r="F37" s="2"/>
      <c r="G37" s="2" t="s">
        <v>350</v>
      </c>
      <c r="H37" s="2" t="s">
        <v>646</v>
      </c>
      <c r="I37" s="3">
        <f t="shared" si="1"/>
        <v>183</v>
      </c>
    </row>
    <row r="38" spans="1:9" ht="24" x14ac:dyDescent="0.3">
      <c r="A38" s="2" t="s">
        <v>245</v>
      </c>
      <c r="B38" s="2" t="s">
        <v>323</v>
      </c>
      <c r="C38" s="2" t="s">
        <v>875</v>
      </c>
      <c r="D38" s="2" t="s">
        <v>4079</v>
      </c>
      <c r="E38" s="2"/>
      <c r="F38" s="2"/>
      <c r="G38" s="2" t="s">
        <v>1717</v>
      </c>
      <c r="H38" s="2"/>
      <c r="I38" s="3">
        <f t="shared" si="1"/>
        <v>117</v>
      </c>
    </row>
    <row r="39" spans="1:9" x14ac:dyDescent="0.3">
      <c r="A39" s="2" t="s">
        <v>245</v>
      </c>
      <c r="B39" s="2" t="s">
        <v>3384</v>
      </c>
      <c r="C39" s="2" t="s">
        <v>3385</v>
      </c>
      <c r="D39" s="2" t="s">
        <v>3386</v>
      </c>
      <c r="E39" s="2"/>
      <c r="F39" s="2"/>
      <c r="G39" s="2"/>
      <c r="H39" s="2" t="s">
        <v>1644</v>
      </c>
      <c r="I39" s="3">
        <f t="shared" si="1"/>
        <v>100</v>
      </c>
    </row>
    <row r="40" spans="1:9" x14ac:dyDescent="0.3">
      <c r="A40" s="2" t="s">
        <v>245</v>
      </c>
      <c r="B40" s="2" t="s">
        <v>3252</v>
      </c>
      <c r="C40" s="2" t="s">
        <v>1642</v>
      </c>
      <c r="D40" s="2" t="s">
        <v>3253</v>
      </c>
      <c r="E40" s="2"/>
      <c r="F40" s="2"/>
      <c r="G40" s="2"/>
      <c r="H40" s="2" t="s">
        <v>1644</v>
      </c>
      <c r="I40" s="3">
        <f t="shared" si="1"/>
        <v>97</v>
      </c>
    </row>
    <row r="41" spans="1:9" x14ac:dyDescent="0.3">
      <c r="A41" s="2" t="s">
        <v>245</v>
      </c>
      <c r="B41" s="2" t="s">
        <v>1641</v>
      </c>
      <c r="C41" s="2" t="s">
        <v>1642</v>
      </c>
      <c r="D41" s="2" t="s">
        <v>1643</v>
      </c>
      <c r="E41" s="2"/>
      <c r="F41" s="2"/>
      <c r="G41" s="2"/>
      <c r="H41" s="2" t="s">
        <v>1644</v>
      </c>
      <c r="I41" s="3">
        <f t="shared" si="1"/>
        <v>67</v>
      </c>
    </row>
    <row r="42" spans="1:9" ht="24" x14ac:dyDescent="0.3">
      <c r="A42" s="2" t="s">
        <v>245</v>
      </c>
      <c r="B42" s="2" t="s">
        <v>827</v>
      </c>
      <c r="C42" s="2" t="s">
        <v>1642</v>
      </c>
      <c r="D42" s="2" t="s">
        <v>4676</v>
      </c>
      <c r="E42" s="2"/>
      <c r="F42" s="2"/>
      <c r="G42" s="2"/>
      <c r="H42" s="2" t="s">
        <v>1644</v>
      </c>
      <c r="I42" s="3">
        <f t="shared" si="1"/>
        <v>135</v>
      </c>
    </row>
    <row r="43" spans="1:9" ht="24" x14ac:dyDescent="0.3">
      <c r="A43" s="2" t="s">
        <v>245</v>
      </c>
      <c r="B43" s="2" t="s">
        <v>3244</v>
      </c>
      <c r="C43" s="2" t="s">
        <v>1642</v>
      </c>
      <c r="D43" s="2" t="s">
        <v>5224</v>
      </c>
      <c r="E43" s="2"/>
      <c r="F43" s="2"/>
      <c r="G43" s="2"/>
      <c r="H43" s="2" t="s">
        <v>1644</v>
      </c>
      <c r="I43" s="3">
        <f t="shared" si="1"/>
        <v>152</v>
      </c>
    </row>
    <row r="44" spans="1:9" ht="24" x14ac:dyDescent="0.3">
      <c r="A44" s="2" t="s">
        <v>245</v>
      </c>
      <c r="B44" s="2" t="s">
        <v>3387</v>
      </c>
      <c r="C44" s="2" t="s">
        <v>3388</v>
      </c>
      <c r="D44" s="2" t="s">
        <v>3389</v>
      </c>
      <c r="E44" s="2" t="s">
        <v>39</v>
      </c>
      <c r="F44" s="2"/>
      <c r="G44" s="2"/>
      <c r="H44" s="2"/>
      <c r="I44" s="3">
        <f t="shared" si="1"/>
        <v>100</v>
      </c>
    </row>
    <row r="45" spans="1:9" x14ac:dyDescent="0.3">
      <c r="A45" s="2" t="s">
        <v>245</v>
      </c>
      <c r="B45" s="2" t="s">
        <v>1641</v>
      </c>
      <c r="C45" s="2" t="s">
        <v>259</v>
      </c>
      <c r="D45" s="2" t="s">
        <v>2587</v>
      </c>
      <c r="E45" s="2"/>
      <c r="F45" s="2"/>
      <c r="G45" s="2"/>
      <c r="H45" s="2" t="s">
        <v>646</v>
      </c>
      <c r="I45" s="3">
        <f t="shared" si="1"/>
        <v>84</v>
      </c>
    </row>
    <row r="46" spans="1:9" ht="36" x14ac:dyDescent="0.3">
      <c r="A46" s="2" t="s">
        <v>245</v>
      </c>
      <c r="B46" s="2" t="s">
        <v>1321</v>
      </c>
      <c r="C46" s="2" t="s">
        <v>6854</v>
      </c>
      <c r="D46" s="2" t="s">
        <v>9333</v>
      </c>
      <c r="E46" s="2" t="s">
        <v>2524</v>
      </c>
      <c r="F46" s="2" t="s">
        <v>1778</v>
      </c>
      <c r="G46" s="2" t="s">
        <v>1717</v>
      </c>
      <c r="H46" s="2" t="s">
        <v>898</v>
      </c>
      <c r="I46" s="3">
        <f t="shared" si="1"/>
        <v>257</v>
      </c>
    </row>
    <row r="47" spans="1:9" ht="24" x14ac:dyDescent="0.3">
      <c r="A47" s="2" t="s">
        <v>245</v>
      </c>
      <c r="B47" s="2" t="s">
        <v>4728</v>
      </c>
      <c r="C47" s="2" t="s">
        <v>4729</v>
      </c>
      <c r="D47" s="2" t="s">
        <v>4730</v>
      </c>
      <c r="E47" s="2"/>
      <c r="F47" s="2"/>
      <c r="G47" s="2" t="s">
        <v>350</v>
      </c>
      <c r="H47" s="2"/>
      <c r="I47" s="3">
        <f t="shared" si="1"/>
        <v>137</v>
      </c>
    </row>
    <row r="48" spans="1:9" ht="36" x14ac:dyDescent="0.3">
      <c r="A48" s="2" t="s">
        <v>245</v>
      </c>
      <c r="B48" s="2" t="s">
        <v>3872</v>
      </c>
      <c r="C48" s="2" t="s">
        <v>1371</v>
      </c>
      <c r="D48" s="2" t="s">
        <v>8716</v>
      </c>
      <c r="E48" s="2" t="s">
        <v>1960</v>
      </c>
      <c r="F48" s="2"/>
      <c r="G48" s="2" t="s">
        <v>1717</v>
      </c>
      <c r="H48" s="2" t="s">
        <v>646</v>
      </c>
      <c r="I48" s="3">
        <f t="shared" si="1"/>
        <v>223</v>
      </c>
    </row>
    <row r="49" spans="1:9" ht="24" x14ac:dyDescent="0.3">
      <c r="A49" s="2" t="s">
        <v>245</v>
      </c>
      <c r="B49" s="2" t="s">
        <v>3395</v>
      </c>
      <c r="C49" s="2" t="s">
        <v>4729</v>
      </c>
      <c r="D49" s="2" t="s">
        <v>4731</v>
      </c>
      <c r="E49" s="2"/>
      <c r="F49" s="2"/>
      <c r="G49" s="2" t="s">
        <v>1717</v>
      </c>
      <c r="H49" s="2"/>
      <c r="I49" s="3">
        <f t="shared" si="1"/>
        <v>137</v>
      </c>
    </row>
    <row r="50" spans="1:9" ht="24" x14ac:dyDescent="0.3">
      <c r="A50" s="2" t="s">
        <v>245</v>
      </c>
      <c r="B50" s="2" t="s">
        <v>375</v>
      </c>
      <c r="C50" s="2" t="s">
        <v>1249</v>
      </c>
      <c r="D50" s="2" t="s">
        <v>4236</v>
      </c>
      <c r="E50" s="2"/>
      <c r="F50" s="2"/>
      <c r="G50" s="2" t="s">
        <v>1717</v>
      </c>
      <c r="H50" s="2"/>
      <c r="I50" s="3">
        <f t="shared" si="1"/>
        <v>121</v>
      </c>
    </row>
    <row r="51" spans="1:9" ht="36" x14ac:dyDescent="0.3">
      <c r="A51" s="2" t="s">
        <v>245</v>
      </c>
      <c r="B51" s="2" t="s">
        <v>7057</v>
      </c>
      <c r="C51" s="2" t="s">
        <v>1371</v>
      </c>
      <c r="D51" s="2" t="s">
        <v>8717</v>
      </c>
      <c r="E51" s="2" t="s">
        <v>4625</v>
      </c>
      <c r="F51" s="2"/>
      <c r="G51" s="2" t="s">
        <v>1717</v>
      </c>
      <c r="H51" s="2"/>
      <c r="I51" s="3">
        <f t="shared" si="1"/>
        <v>281</v>
      </c>
    </row>
    <row r="52" spans="1:9" ht="36" x14ac:dyDescent="0.3">
      <c r="A52" s="2" t="s">
        <v>245</v>
      </c>
      <c r="B52" s="2" t="s">
        <v>6646</v>
      </c>
      <c r="C52" s="2" t="s">
        <v>1371</v>
      </c>
      <c r="D52" s="2" t="s">
        <v>6647</v>
      </c>
      <c r="E52" s="2" t="s">
        <v>2524</v>
      </c>
      <c r="F52" s="2"/>
      <c r="G52" s="2" t="s">
        <v>1717</v>
      </c>
      <c r="H52" s="2"/>
      <c r="I52" s="3">
        <f t="shared" si="1"/>
        <v>240</v>
      </c>
    </row>
    <row r="53" spans="1:9" ht="24" x14ac:dyDescent="0.3">
      <c r="A53" s="2" t="s">
        <v>245</v>
      </c>
      <c r="B53" s="2" t="s">
        <v>4914</v>
      </c>
      <c r="C53" s="2" t="s">
        <v>875</v>
      </c>
      <c r="D53" s="2" t="s">
        <v>4915</v>
      </c>
      <c r="E53" s="2"/>
      <c r="F53" s="2"/>
      <c r="G53" s="2" t="s">
        <v>1717</v>
      </c>
      <c r="H53" s="2"/>
      <c r="I53" s="3">
        <f t="shared" si="1"/>
        <v>142</v>
      </c>
    </row>
    <row r="54" spans="1:9" ht="24" x14ac:dyDescent="0.3">
      <c r="A54" s="2" t="s">
        <v>245</v>
      </c>
      <c r="B54" s="2" t="s">
        <v>4914</v>
      </c>
      <c r="C54" s="2" t="s">
        <v>875</v>
      </c>
      <c r="D54" s="2" t="s">
        <v>5269</v>
      </c>
      <c r="E54" s="2"/>
      <c r="F54" s="2"/>
      <c r="G54" s="2" t="s">
        <v>1717</v>
      </c>
      <c r="H54" s="2"/>
      <c r="I54" s="3">
        <f t="shared" si="1"/>
        <v>154</v>
      </c>
    </row>
    <row r="55" spans="1:9" ht="36" x14ac:dyDescent="0.3">
      <c r="A55" s="2" t="s">
        <v>245</v>
      </c>
      <c r="B55" s="2" t="s">
        <v>6427</v>
      </c>
      <c r="C55" s="2" t="s">
        <v>1371</v>
      </c>
      <c r="D55" s="2" t="s">
        <v>6428</v>
      </c>
      <c r="E55" s="2"/>
      <c r="F55" s="2"/>
      <c r="G55" s="2" t="s">
        <v>1717</v>
      </c>
      <c r="H55" s="2" t="s">
        <v>646</v>
      </c>
      <c r="I55" s="3">
        <f t="shared" si="1"/>
        <v>221</v>
      </c>
    </row>
    <row r="56" spans="1:9" ht="24" x14ac:dyDescent="0.3">
      <c r="A56" s="2" t="s">
        <v>245</v>
      </c>
      <c r="B56" s="2" t="s">
        <v>4563</v>
      </c>
      <c r="C56" s="2" t="s">
        <v>1249</v>
      </c>
      <c r="D56" s="2" t="s">
        <v>4564</v>
      </c>
      <c r="E56" s="2"/>
      <c r="F56" s="2"/>
      <c r="G56" s="2" t="s">
        <v>1717</v>
      </c>
      <c r="H56" s="2" t="s">
        <v>646</v>
      </c>
      <c r="I56" s="3">
        <f t="shared" si="1"/>
        <v>131</v>
      </c>
    </row>
    <row r="57" spans="1:9" ht="24" x14ac:dyDescent="0.3">
      <c r="A57" s="2" t="s">
        <v>245</v>
      </c>
      <c r="B57" s="2" t="s">
        <v>258</v>
      </c>
      <c r="C57" s="2" t="s">
        <v>5752</v>
      </c>
      <c r="D57" s="2" t="s">
        <v>5753</v>
      </c>
      <c r="E57" s="2" t="s">
        <v>3643</v>
      </c>
      <c r="F57" s="2"/>
      <c r="G57" s="2"/>
      <c r="H57" s="2"/>
      <c r="I57" s="3">
        <f t="shared" si="1"/>
        <v>178</v>
      </c>
    </row>
    <row r="58" spans="1:9" ht="24" x14ac:dyDescent="0.3">
      <c r="A58" s="2" t="s">
        <v>245</v>
      </c>
      <c r="B58" s="2" t="s">
        <v>5505</v>
      </c>
      <c r="C58" s="2" t="s">
        <v>4365</v>
      </c>
      <c r="D58" s="2" t="s">
        <v>5506</v>
      </c>
      <c r="E58" s="2" t="s">
        <v>39</v>
      </c>
      <c r="F58" s="2"/>
      <c r="G58" s="2"/>
      <c r="H58" s="2"/>
      <c r="I58" s="3">
        <f t="shared" si="1"/>
        <v>165</v>
      </c>
    </row>
    <row r="59" spans="1:9" ht="24" x14ac:dyDescent="0.3">
      <c r="A59" s="2" t="s">
        <v>245</v>
      </c>
      <c r="B59" s="2" t="s">
        <v>5270</v>
      </c>
      <c r="C59" s="2" t="s">
        <v>4365</v>
      </c>
      <c r="D59" s="2" t="s">
        <v>5271</v>
      </c>
      <c r="E59" s="2" t="s">
        <v>39</v>
      </c>
      <c r="F59" s="2"/>
      <c r="G59" s="2"/>
      <c r="H59" s="2"/>
      <c r="I59" s="3">
        <f t="shared" si="1"/>
        <v>154</v>
      </c>
    </row>
    <row r="60" spans="1:9" ht="24" x14ac:dyDescent="0.3">
      <c r="A60" s="2" t="s">
        <v>245</v>
      </c>
      <c r="B60" s="2" t="s">
        <v>4364</v>
      </c>
      <c r="C60" s="2" t="s">
        <v>4365</v>
      </c>
      <c r="D60" s="2" t="s">
        <v>4366</v>
      </c>
      <c r="E60" s="2" t="s">
        <v>39</v>
      </c>
      <c r="F60" s="2"/>
      <c r="G60" s="2"/>
      <c r="H60" s="2"/>
      <c r="I60" s="3">
        <f t="shared" si="1"/>
        <v>125</v>
      </c>
    </row>
    <row r="61" spans="1:9" ht="24" x14ac:dyDescent="0.3">
      <c r="A61" s="2" t="s">
        <v>245</v>
      </c>
      <c r="B61" s="2" t="s">
        <v>5735</v>
      </c>
      <c r="C61" s="2" t="s">
        <v>4365</v>
      </c>
      <c r="D61" s="2" t="s">
        <v>5736</v>
      </c>
      <c r="E61" s="2" t="s">
        <v>39</v>
      </c>
      <c r="F61" s="2"/>
      <c r="G61" s="2"/>
      <c r="H61" s="2"/>
      <c r="I61" s="3">
        <f t="shared" si="1"/>
        <v>177</v>
      </c>
    </row>
    <row r="62" spans="1:9" ht="24" x14ac:dyDescent="0.3">
      <c r="A62" s="2" t="s">
        <v>245</v>
      </c>
      <c r="B62" s="2" t="s">
        <v>5823</v>
      </c>
      <c r="C62" s="2" t="s">
        <v>4365</v>
      </c>
      <c r="D62" s="2" t="s">
        <v>5824</v>
      </c>
      <c r="E62" s="2" t="s">
        <v>39</v>
      </c>
      <c r="F62" s="2"/>
      <c r="G62" s="2"/>
      <c r="H62" s="2"/>
      <c r="I62" s="3">
        <f t="shared" si="1"/>
        <v>181</v>
      </c>
    </row>
    <row r="63" spans="1:9" ht="24" x14ac:dyDescent="0.3">
      <c r="A63" s="2" t="s">
        <v>245</v>
      </c>
      <c r="B63" s="2" t="s">
        <v>5322</v>
      </c>
      <c r="C63" s="2" t="s">
        <v>1642</v>
      </c>
      <c r="D63" s="2" t="s">
        <v>5323</v>
      </c>
      <c r="E63" s="2"/>
      <c r="F63" s="2"/>
      <c r="G63" s="2"/>
      <c r="H63" s="2" t="s">
        <v>1644</v>
      </c>
      <c r="I63" s="3">
        <f t="shared" si="1"/>
        <v>156</v>
      </c>
    </row>
    <row r="64" spans="1:9" ht="24" x14ac:dyDescent="0.3">
      <c r="A64" s="2" t="s">
        <v>245</v>
      </c>
      <c r="B64" s="2" t="s">
        <v>1982</v>
      </c>
      <c r="C64" s="2" t="s">
        <v>1642</v>
      </c>
      <c r="D64" s="2" t="s">
        <v>5225</v>
      </c>
      <c r="E64" s="2"/>
      <c r="F64" s="2"/>
      <c r="G64" s="2"/>
      <c r="H64" s="2" t="s">
        <v>1644</v>
      </c>
      <c r="I64" s="3">
        <f t="shared" si="1"/>
        <v>152</v>
      </c>
    </row>
    <row r="65" spans="1:9" ht="24" x14ac:dyDescent="0.3">
      <c r="A65" s="2" t="s">
        <v>245</v>
      </c>
      <c r="B65" s="2" t="s">
        <v>4455</v>
      </c>
      <c r="C65" s="2" t="s">
        <v>1642</v>
      </c>
      <c r="D65" s="2" t="s">
        <v>4456</v>
      </c>
      <c r="E65" s="2"/>
      <c r="F65" s="2"/>
      <c r="G65" s="2"/>
      <c r="H65" s="2"/>
      <c r="I65" s="3">
        <f t="shared" si="1"/>
        <v>128</v>
      </c>
    </row>
    <row r="66" spans="1:9" ht="24" x14ac:dyDescent="0.3">
      <c r="A66" s="2" t="s">
        <v>245</v>
      </c>
      <c r="B66" s="2" t="s">
        <v>4598</v>
      </c>
      <c r="C66" s="2" t="s">
        <v>4599</v>
      </c>
      <c r="D66" s="2" t="s">
        <v>4600</v>
      </c>
      <c r="E66" s="2" t="s">
        <v>39</v>
      </c>
      <c r="F66" s="2"/>
      <c r="G66" s="2"/>
      <c r="H66" s="2"/>
      <c r="I66" s="3">
        <f t="shared" ref="I66:I97" si="2">LEN(D66)</f>
        <v>132</v>
      </c>
    </row>
    <row r="67" spans="1:9" ht="24" x14ac:dyDescent="0.3">
      <c r="A67" s="2" t="s">
        <v>245</v>
      </c>
      <c r="B67" s="2" t="s">
        <v>4679</v>
      </c>
      <c r="C67" s="2" t="s">
        <v>637</v>
      </c>
      <c r="D67" s="2" t="s">
        <v>4680</v>
      </c>
      <c r="E67" s="2"/>
      <c r="F67" s="2"/>
      <c r="G67" s="2"/>
      <c r="H67" s="2"/>
      <c r="I67" s="3">
        <f t="shared" si="2"/>
        <v>135</v>
      </c>
    </row>
    <row r="68" spans="1:9" ht="24" x14ac:dyDescent="0.3">
      <c r="A68" s="2" t="s">
        <v>245</v>
      </c>
      <c r="B68" s="2" t="s">
        <v>2042</v>
      </c>
      <c r="C68" s="2" t="s">
        <v>6104</v>
      </c>
      <c r="D68" s="2" t="s">
        <v>6105</v>
      </c>
      <c r="E68" s="2"/>
      <c r="F68" s="2"/>
      <c r="G68" s="2"/>
      <c r="H68" s="2"/>
      <c r="I68" s="3">
        <f t="shared" si="2"/>
        <v>198</v>
      </c>
    </row>
    <row r="69" spans="1:9" ht="24" x14ac:dyDescent="0.3">
      <c r="A69" s="2" t="s">
        <v>245</v>
      </c>
      <c r="B69" s="2" t="s">
        <v>4324</v>
      </c>
      <c r="C69" s="2" t="s">
        <v>4325</v>
      </c>
      <c r="D69" s="2" t="s">
        <v>4326</v>
      </c>
      <c r="E69" s="2" t="s">
        <v>39</v>
      </c>
      <c r="F69" s="2"/>
      <c r="G69" s="2"/>
      <c r="H69" s="2"/>
      <c r="I69" s="3">
        <f t="shared" si="2"/>
        <v>124</v>
      </c>
    </row>
    <row r="70" spans="1:9" ht="24" x14ac:dyDescent="0.3">
      <c r="A70" s="2" t="s">
        <v>245</v>
      </c>
      <c r="B70" s="2" t="s">
        <v>4945</v>
      </c>
      <c r="C70" s="2" t="s">
        <v>4084</v>
      </c>
      <c r="D70" s="2" t="s">
        <v>9334</v>
      </c>
      <c r="E70" s="2"/>
      <c r="F70" s="2" t="s">
        <v>1778</v>
      </c>
      <c r="G70" s="2" t="s">
        <v>1717</v>
      </c>
      <c r="H70" s="2"/>
      <c r="I70" s="3">
        <f t="shared" si="2"/>
        <v>141</v>
      </c>
    </row>
    <row r="71" spans="1:9" ht="24" x14ac:dyDescent="0.3">
      <c r="A71" s="2" t="s">
        <v>245</v>
      </c>
      <c r="B71" s="2" t="s">
        <v>4301</v>
      </c>
      <c r="C71" s="2" t="s">
        <v>4084</v>
      </c>
      <c r="D71" s="2" t="s">
        <v>4302</v>
      </c>
      <c r="E71" s="2"/>
      <c r="F71" s="2"/>
      <c r="G71" s="2"/>
      <c r="H71" s="2"/>
      <c r="I71" s="3">
        <f t="shared" si="2"/>
        <v>123</v>
      </c>
    </row>
    <row r="72" spans="1:9" ht="24" x14ac:dyDescent="0.3">
      <c r="A72" s="2" t="s">
        <v>245</v>
      </c>
      <c r="B72" s="2" t="s">
        <v>4681</v>
      </c>
      <c r="C72" s="2" t="s">
        <v>4084</v>
      </c>
      <c r="D72" s="2" t="s">
        <v>4682</v>
      </c>
      <c r="E72" s="2"/>
      <c r="F72" s="2"/>
      <c r="G72" s="2"/>
      <c r="H72" s="2"/>
      <c r="I72" s="3">
        <f t="shared" si="2"/>
        <v>135</v>
      </c>
    </row>
    <row r="73" spans="1:9" ht="24" x14ac:dyDescent="0.3">
      <c r="A73" s="2" t="s">
        <v>245</v>
      </c>
      <c r="B73" s="2" t="s">
        <v>4083</v>
      </c>
      <c r="C73" s="2" t="s">
        <v>4084</v>
      </c>
      <c r="D73" s="2" t="s">
        <v>4085</v>
      </c>
      <c r="E73" s="2" t="s">
        <v>39</v>
      </c>
      <c r="F73" s="2"/>
      <c r="G73" s="2"/>
      <c r="H73" s="2"/>
      <c r="I73" s="3">
        <f t="shared" si="2"/>
        <v>117</v>
      </c>
    </row>
    <row r="74" spans="1:9" ht="24" x14ac:dyDescent="0.3">
      <c r="A74" s="2" t="s">
        <v>245</v>
      </c>
      <c r="B74" s="2" t="s">
        <v>6022</v>
      </c>
      <c r="C74" s="2" t="s">
        <v>5637</v>
      </c>
      <c r="D74" s="2" t="s">
        <v>9335</v>
      </c>
      <c r="E74" s="2" t="s">
        <v>5017</v>
      </c>
      <c r="F74" s="2" t="s">
        <v>1778</v>
      </c>
      <c r="G74" s="2" t="s">
        <v>1717</v>
      </c>
      <c r="H74" s="2" t="s">
        <v>898</v>
      </c>
      <c r="I74" s="3">
        <f t="shared" si="2"/>
        <v>190</v>
      </c>
    </row>
    <row r="75" spans="1:9" ht="24" x14ac:dyDescent="0.3">
      <c r="A75" s="2" t="s">
        <v>245</v>
      </c>
      <c r="B75" s="2" t="s">
        <v>6047</v>
      </c>
      <c r="C75" s="2" t="s">
        <v>5637</v>
      </c>
      <c r="D75" s="2" t="s">
        <v>9336</v>
      </c>
      <c r="E75" s="2" t="s">
        <v>2709</v>
      </c>
      <c r="F75" s="2" t="s">
        <v>1778</v>
      </c>
      <c r="G75" s="2" t="s">
        <v>1717</v>
      </c>
      <c r="H75" s="2" t="s">
        <v>898</v>
      </c>
      <c r="I75" s="3">
        <f t="shared" si="2"/>
        <v>192</v>
      </c>
    </row>
    <row r="76" spans="1:9" ht="24" x14ac:dyDescent="0.3">
      <c r="A76" s="2" t="s">
        <v>245</v>
      </c>
      <c r="B76" s="2" t="s">
        <v>5850</v>
      </c>
      <c r="C76" s="2" t="s">
        <v>5851</v>
      </c>
      <c r="D76" s="2" t="s">
        <v>9337</v>
      </c>
      <c r="E76" s="2" t="s">
        <v>242</v>
      </c>
      <c r="F76" s="2" t="s">
        <v>1778</v>
      </c>
      <c r="G76" s="2" t="s">
        <v>1717</v>
      </c>
      <c r="H76" s="2"/>
      <c r="I76" s="3">
        <f t="shared" si="2"/>
        <v>180</v>
      </c>
    </row>
    <row r="77" spans="1:9" ht="24" x14ac:dyDescent="0.3">
      <c r="A77" s="2" t="s">
        <v>245</v>
      </c>
      <c r="B77" s="2" t="s">
        <v>5636</v>
      </c>
      <c r="C77" s="2" t="s">
        <v>5637</v>
      </c>
      <c r="D77" s="2" t="s">
        <v>5638</v>
      </c>
      <c r="E77" s="2" t="s">
        <v>5639</v>
      </c>
      <c r="F77" s="2"/>
      <c r="G77" s="2"/>
      <c r="H77" s="2" t="s">
        <v>898</v>
      </c>
      <c r="I77" s="3">
        <f t="shared" si="2"/>
        <v>172</v>
      </c>
    </row>
    <row r="78" spans="1:9" ht="24" x14ac:dyDescent="0.3">
      <c r="A78" s="2" t="s">
        <v>245</v>
      </c>
      <c r="B78" s="2" t="s">
        <v>5567</v>
      </c>
      <c r="C78" s="2" t="s">
        <v>4592</v>
      </c>
      <c r="D78" s="2" t="s">
        <v>5568</v>
      </c>
      <c r="E78" s="2"/>
      <c r="F78" s="2"/>
      <c r="G78" s="2"/>
      <c r="H78" s="2"/>
      <c r="I78" s="3">
        <f t="shared" si="2"/>
        <v>168</v>
      </c>
    </row>
    <row r="79" spans="1:9" ht="48" x14ac:dyDescent="0.3">
      <c r="A79" s="2" t="s">
        <v>245</v>
      </c>
      <c r="B79" s="2" t="s">
        <v>890</v>
      </c>
      <c r="C79" s="2" t="s">
        <v>891</v>
      </c>
      <c r="D79" s="2" t="s">
        <v>9338</v>
      </c>
      <c r="E79" s="2"/>
      <c r="F79" s="2" t="s">
        <v>1778</v>
      </c>
      <c r="G79" s="2" t="s">
        <v>1717</v>
      </c>
      <c r="H79" s="2" t="s">
        <v>646</v>
      </c>
      <c r="I79" s="3">
        <f t="shared" si="2"/>
        <v>372</v>
      </c>
    </row>
    <row r="80" spans="1:9" ht="24" x14ac:dyDescent="0.3">
      <c r="A80" s="2" t="s">
        <v>245</v>
      </c>
      <c r="B80" s="2" t="s">
        <v>2304</v>
      </c>
      <c r="C80" s="2" t="s">
        <v>5038</v>
      </c>
      <c r="D80" s="2" t="s">
        <v>9339</v>
      </c>
      <c r="E80" s="2" t="s">
        <v>242</v>
      </c>
      <c r="F80" s="2" t="s">
        <v>1778</v>
      </c>
      <c r="G80" s="2" t="s">
        <v>1717</v>
      </c>
      <c r="H80" s="2"/>
      <c r="I80" s="3">
        <f t="shared" si="2"/>
        <v>144</v>
      </c>
    </row>
    <row r="81" spans="1:9" ht="24" x14ac:dyDescent="0.3">
      <c r="A81" s="2" t="s">
        <v>245</v>
      </c>
      <c r="B81" s="2" t="s">
        <v>4086</v>
      </c>
      <c r="C81" s="2" t="s">
        <v>4087</v>
      </c>
      <c r="D81" s="2" t="s">
        <v>9340</v>
      </c>
      <c r="E81" s="2"/>
      <c r="F81" s="2" t="s">
        <v>1778</v>
      </c>
      <c r="G81" s="2" t="s">
        <v>1717</v>
      </c>
      <c r="H81" s="2"/>
      <c r="I81" s="3">
        <f t="shared" si="2"/>
        <v>115</v>
      </c>
    </row>
    <row r="82" spans="1:9" ht="24" x14ac:dyDescent="0.3">
      <c r="A82" s="2" t="s">
        <v>245</v>
      </c>
      <c r="B82" s="2" t="s">
        <v>4389</v>
      </c>
      <c r="C82" s="2" t="s">
        <v>1249</v>
      </c>
      <c r="D82" s="2" t="s">
        <v>4390</v>
      </c>
      <c r="E82" s="2"/>
      <c r="F82" s="2"/>
      <c r="G82" s="2" t="s">
        <v>1717</v>
      </c>
      <c r="H82" s="2" t="s">
        <v>646</v>
      </c>
      <c r="I82" s="3">
        <f t="shared" si="2"/>
        <v>126</v>
      </c>
    </row>
    <row r="83" spans="1:9" x14ac:dyDescent="0.3">
      <c r="A83" s="2" t="s">
        <v>245</v>
      </c>
      <c r="B83" s="2" t="s">
        <v>2268</v>
      </c>
      <c r="C83" s="2" t="s">
        <v>1249</v>
      </c>
      <c r="D83" s="2" t="s">
        <v>2269</v>
      </c>
      <c r="E83" s="2" t="s">
        <v>379</v>
      </c>
      <c r="F83" s="2"/>
      <c r="G83" s="2"/>
      <c r="H83" s="2" t="s">
        <v>646</v>
      </c>
      <c r="I83" s="3">
        <f t="shared" si="2"/>
        <v>78</v>
      </c>
    </row>
    <row r="84" spans="1:9" ht="24" x14ac:dyDescent="0.3">
      <c r="A84" s="2" t="s">
        <v>245</v>
      </c>
      <c r="B84" s="2" t="s">
        <v>2268</v>
      </c>
      <c r="C84" s="2" t="s">
        <v>1249</v>
      </c>
      <c r="D84" s="2" t="s">
        <v>4369</v>
      </c>
      <c r="E84" s="2"/>
      <c r="F84" s="2"/>
      <c r="G84" s="2"/>
      <c r="H84" s="2"/>
      <c r="I84" s="3">
        <f t="shared" si="2"/>
        <v>125</v>
      </c>
    </row>
    <row r="85" spans="1:9" ht="24" x14ac:dyDescent="0.3">
      <c r="A85" s="2" t="s">
        <v>245</v>
      </c>
      <c r="B85" s="2" t="s">
        <v>5350</v>
      </c>
      <c r="C85" s="2" t="s">
        <v>5351</v>
      </c>
      <c r="D85" s="2" t="s">
        <v>5352</v>
      </c>
      <c r="E85" s="2" t="s">
        <v>39</v>
      </c>
      <c r="F85" s="2"/>
      <c r="G85" s="2"/>
      <c r="H85" s="2"/>
      <c r="I85" s="3">
        <f t="shared" si="2"/>
        <v>157</v>
      </c>
    </row>
    <row r="86" spans="1:9" x14ac:dyDescent="0.3">
      <c r="A86" s="2" t="s">
        <v>245</v>
      </c>
      <c r="B86" s="2" t="s">
        <v>1248</v>
      </c>
      <c r="C86" s="2" t="s">
        <v>1249</v>
      </c>
      <c r="D86" s="2" t="s">
        <v>1250</v>
      </c>
      <c r="E86" s="2"/>
      <c r="F86" s="2"/>
      <c r="G86" s="2"/>
      <c r="H86" s="2"/>
      <c r="I86" s="3">
        <f t="shared" si="2"/>
        <v>60</v>
      </c>
    </row>
    <row r="87" spans="1:9" ht="48" x14ac:dyDescent="0.3">
      <c r="A87" s="2" t="s">
        <v>245</v>
      </c>
      <c r="B87" s="2" t="s">
        <v>7441</v>
      </c>
      <c r="C87" s="2" t="s">
        <v>994</v>
      </c>
      <c r="D87" s="2" t="s">
        <v>7442</v>
      </c>
      <c r="E87" s="2" t="s">
        <v>39</v>
      </c>
      <c r="F87" s="2"/>
      <c r="G87" s="2" t="s">
        <v>1717</v>
      </c>
      <c r="H87" s="2" t="s">
        <v>646</v>
      </c>
      <c r="I87" s="3">
        <f t="shared" si="2"/>
        <v>331</v>
      </c>
    </row>
    <row r="88" spans="1:9" ht="36" x14ac:dyDescent="0.3">
      <c r="A88" s="2" t="s">
        <v>245</v>
      </c>
      <c r="B88" s="2" t="s">
        <v>6884</v>
      </c>
      <c r="C88" s="2" t="s">
        <v>6885</v>
      </c>
      <c r="D88" s="2" t="s">
        <v>6886</v>
      </c>
      <c r="E88" s="2"/>
      <c r="F88" s="2"/>
      <c r="G88" s="2"/>
      <c r="H88" s="2" t="s">
        <v>646</v>
      </c>
      <c r="I88" s="3">
        <f t="shared" si="2"/>
        <v>262</v>
      </c>
    </row>
    <row r="89" spans="1:9" ht="24" x14ac:dyDescent="0.3">
      <c r="A89" s="2" t="s">
        <v>245</v>
      </c>
      <c r="B89" s="2" t="s">
        <v>4870</v>
      </c>
      <c r="C89" s="2" t="s">
        <v>1249</v>
      </c>
      <c r="D89" s="2" t="s">
        <v>4871</v>
      </c>
      <c r="E89" s="2"/>
      <c r="F89" s="2"/>
      <c r="G89" s="2" t="s">
        <v>1717</v>
      </c>
      <c r="H89" s="2"/>
      <c r="I89" s="3">
        <f t="shared" si="2"/>
        <v>141</v>
      </c>
    </row>
    <row r="90" spans="1:9" ht="24" x14ac:dyDescent="0.3">
      <c r="A90" s="2" t="s">
        <v>245</v>
      </c>
      <c r="B90" s="2" t="s">
        <v>5377</v>
      </c>
      <c r="C90" s="2" t="s">
        <v>994</v>
      </c>
      <c r="D90" s="2" t="s">
        <v>5378</v>
      </c>
      <c r="E90" s="2"/>
      <c r="F90" s="2"/>
      <c r="G90" s="2" t="s">
        <v>1717</v>
      </c>
      <c r="H90" s="2" t="s">
        <v>216</v>
      </c>
      <c r="I90" s="3">
        <f t="shared" si="2"/>
        <v>158</v>
      </c>
    </row>
    <row r="91" spans="1:9" x14ac:dyDescent="0.3">
      <c r="A91" s="2" t="s">
        <v>245</v>
      </c>
      <c r="B91" s="2" t="s">
        <v>2690</v>
      </c>
      <c r="C91" s="2" t="s">
        <v>2691</v>
      </c>
      <c r="D91" s="2" t="s">
        <v>2692</v>
      </c>
      <c r="E91" s="2" t="s">
        <v>2693</v>
      </c>
      <c r="F91" s="2"/>
      <c r="G91" s="2"/>
      <c r="H91" s="2" t="s">
        <v>898</v>
      </c>
      <c r="I91" s="3">
        <f t="shared" si="2"/>
        <v>86</v>
      </c>
    </row>
    <row r="92" spans="1:9" ht="24" x14ac:dyDescent="0.3">
      <c r="A92" s="2" t="s">
        <v>245</v>
      </c>
      <c r="B92" s="2" t="s">
        <v>4268</v>
      </c>
      <c r="C92" s="2" t="s">
        <v>4269</v>
      </c>
      <c r="D92" s="2" t="s">
        <v>4270</v>
      </c>
      <c r="E92" s="2"/>
      <c r="F92" s="2"/>
      <c r="G92" s="2"/>
      <c r="H92" s="2"/>
      <c r="I92" s="3">
        <f t="shared" si="2"/>
        <v>122</v>
      </c>
    </row>
    <row r="93" spans="1:9" ht="24" x14ac:dyDescent="0.3">
      <c r="A93" s="2" t="s">
        <v>245</v>
      </c>
      <c r="B93" s="2" t="s">
        <v>5943</v>
      </c>
      <c r="C93" s="2" t="s">
        <v>1249</v>
      </c>
      <c r="D93" s="2" t="s">
        <v>5944</v>
      </c>
      <c r="E93" s="2"/>
      <c r="F93" s="2"/>
      <c r="G93" s="2"/>
      <c r="H93" s="2"/>
      <c r="I93" s="3">
        <f t="shared" si="2"/>
        <v>187</v>
      </c>
    </row>
    <row r="94" spans="1:9" x14ac:dyDescent="0.3">
      <c r="A94" s="2" t="s">
        <v>245</v>
      </c>
      <c r="B94" s="2" t="s">
        <v>1292</v>
      </c>
      <c r="C94" s="2" t="s">
        <v>1293</v>
      </c>
      <c r="D94" s="2" t="s">
        <v>1294</v>
      </c>
      <c r="E94" s="2" t="s">
        <v>39</v>
      </c>
      <c r="F94" s="2"/>
      <c r="G94" s="2"/>
      <c r="H94" s="2"/>
      <c r="I94" s="3">
        <f t="shared" si="2"/>
        <v>61</v>
      </c>
    </row>
    <row r="95" spans="1:9" x14ac:dyDescent="0.3">
      <c r="A95" s="2" t="s">
        <v>245</v>
      </c>
      <c r="B95" s="2" t="s">
        <v>1649</v>
      </c>
      <c r="C95" s="2" t="s">
        <v>828</v>
      </c>
      <c r="D95" s="2" t="s">
        <v>1650</v>
      </c>
      <c r="E95" s="2"/>
      <c r="F95" s="2"/>
      <c r="G95" s="2"/>
      <c r="H95" s="2"/>
      <c r="I95" s="3">
        <f t="shared" si="2"/>
        <v>67</v>
      </c>
    </row>
    <row r="96" spans="1:9" ht="24" x14ac:dyDescent="0.3">
      <c r="A96" s="2" t="s">
        <v>245</v>
      </c>
      <c r="B96" s="2" t="s">
        <v>6048</v>
      </c>
      <c r="C96" s="2" t="s">
        <v>6049</v>
      </c>
      <c r="D96" s="2" t="s">
        <v>6050</v>
      </c>
      <c r="E96" s="2"/>
      <c r="F96" s="2"/>
      <c r="G96" s="2"/>
      <c r="H96" s="2"/>
      <c r="I96" s="3">
        <f t="shared" si="2"/>
        <v>194</v>
      </c>
    </row>
    <row r="97" spans="1:9" ht="72" x14ac:dyDescent="0.3">
      <c r="A97" s="2" t="s">
        <v>245</v>
      </c>
      <c r="B97" s="2" t="s">
        <v>8241</v>
      </c>
      <c r="C97" s="2" t="s">
        <v>8242</v>
      </c>
      <c r="D97" s="2" t="s">
        <v>9341</v>
      </c>
      <c r="E97" s="2" t="s">
        <v>8243</v>
      </c>
      <c r="F97" s="2" t="s">
        <v>1778</v>
      </c>
      <c r="G97" s="2" t="s">
        <v>350</v>
      </c>
      <c r="H97" s="2" t="s">
        <v>537</v>
      </c>
      <c r="I97" s="3">
        <f t="shared" si="2"/>
        <v>539</v>
      </c>
    </row>
    <row r="98" spans="1:9" ht="24" x14ac:dyDescent="0.3">
      <c r="A98" s="2" t="s">
        <v>245</v>
      </c>
      <c r="B98" s="2" t="s">
        <v>2072</v>
      </c>
      <c r="C98" s="2" t="s">
        <v>2073</v>
      </c>
      <c r="D98" s="2" t="s">
        <v>2074</v>
      </c>
      <c r="E98" s="2"/>
      <c r="F98" s="2"/>
      <c r="G98" s="2"/>
      <c r="H98" s="2"/>
      <c r="I98" s="3">
        <f t="shared" ref="I98:I131" si="3">LEN(D98)</f>
        <v>74</v>
      </c>
    </row>
    <row r="99" spans="1:9" x14ac:dyDescent="0.3">
      <c r="A99" s="2" t="s">
        <v>245</v>
      </c>
      <c r="B99" s="2" t="s">
        <v>1177</v>
      </c>
      <c r="C99" s="2" t="s">
        <v>1178</v>
      </c>
      <c r="D99" s="2" t="s">
        <v>1179</v>
      </c>
      <c r="E99" s="2"/>
      <c r="F99" s="2"/>
      <c r="G99" s="2"/>
      <c r="H99" s="2"/>
      <c r="I99" s="3">
        <f t="shared" si="3"/>
        <v>59</v>
      </c>
    </row>
    <row r="100" spans="1:9" x14ac:dyDescent="0.3">
      <c r="A100" s="2" t="s">
        <v>245</v>
      </c>
      <c r="B100" s="2" t="s">
        <v>336</v>
      </c>
      <c r="C100" s="2" t="s">
        <v>337</v>
      </c>
      <c r="D100" s="2" t="s">
        <v>3298</v>
      </c>
      <c r="E100" s="2"/>
      <c r="F100" s="2"/>
      <c r="G100" s="2"/>
      <c r="H100" s="2"/>
      <c r="I100" s="3">
        <f t="shared" si="3"/>
        <v>98</v>
      </c>
    </row>
    <row r="101" spans="1:9" ht="24" x14ac:dyDescent="0.3">
      <c r="A101" s="2" t="s">
        <v>245</v>
      </c>
      <c r="B101" s="2" t="s">
        <v>4916</v>
      </c>
      <c r="C101" s="2" t="s">
        <v>4917</v>
      </c>
      <c r="D101" s="2" t="s">
        <v>4918</v>
      </c>
      <c r="E101" s="2" t="s">
        <v>39</v>
      </c>
      <c r="F101" s="2"/>
      <c r="G101" s="2"/>
      <c r="H101" s="2"/>
      <c r="I101" s="3">
        <f t="shared" si="3"/>
        <v>142</v>
      </c>
    </row>
    <row r="102" spans="1:9" x14ac:dyDescent="0.3">
      <c r="A102" s="2" t="s">
        <v>245</v>
      </c>
      <c r="B102" s="2" t="s">
        <v>569</v>
      </c>
      <c r="C102" s="2" t="s">
        <v>570</v>
      </c>
      <c r="D102" s="2" t="s">
        <v>571</v>
      </c>
      <c r="E102" s="2" t="s">
        <v>39</v>
      </c>
      <c r="F102" s="2"/>
      <c r="G102" s="2"/>
      <c r="H102" s="2"/>
      <c r="I102" s="3">
        <f t="shared" si="3"/>
        <v>43</v>
      </c>
    </row>
    <row r="103" spans="1:9" ht="36" x14ac:dyDescent="0.3">
      <c r="A103" s="2" t="s">
        <v>245</v>
      </c>
      <c r="B103" s="2" t="s">
        <v>6760</v>
      </c>
      <c r="C103" s="2" t="s">
        <v>222</v>
      </c>
      <c r="D103" s="2" t="s">
        <v>9342</v>
      </c>
      <c r="E103" s="2" t="s">
        <v>39</v>
      </c>
      <c r="F103" s="2" t="s">
        <v>1778</v>
      </c>
      <c r="G103" s="2" t="s">
        <v>1717</v>
      </c>
      <c r="H103" s="2" t="s">
        <v>646</v>
      </c>
      <c r="I103" s="3">
        <f t="shared" si="3"/>
        <v>250</v>
      </c>
    </row>
    <row r="104" spans="1:9" ht="24" x14ac:dyDescent="0.3">
      <c r="A104" s="2" t="s">
        <v>245</v>
      </c>
      <c r="B104" s="2" t="s">
        <v>5232</v>
      </c>
      <c r="C104" s="2" t="s">
        <v>259</v>
      </c>
      <c r="D104" s="2" t="s">
        <v>9343</v>
      </c>
      <c r="E104" s="2" t="s">
        <v>39</v>
      </c>
      <c r="F104" s="2" t="s">
        <v>1778</v>
      </c>
      <c r="G104" s="2" t="s">
        <v>1717</v>
      </c>
      <c r="H104" s="2"/>
      <c r="I104" s="3">
        <f t="shared" si="3"/>
        <v>150</v>
      </c>
    </row>
    <row r="105" spans="1:9" ht="36" x14ac:dyDescent="0.3">
      <c r="A105" s="2" t="s">
        <v>245</v>
      </c>
      <c r="B105" s="2" t="s">
        <v>4964</v>
      </c>
      <c r="C105" s="2" t="s">
        <v>6863</v>
      </c>
      <c r="D105" s="2" t="s">
        <v>9344</v>
      </c>
      <c r="E105" s="2" t="s">
        <v>242</v>
      </c>
      <c r="F105" s="2" t="s">
        <v>1778</v>
      </c>
      <c r="G105" s="2" t="s">
        <v>1717</v>
      </c>
      <c r="H105" s="2" t="s">
        <v>194</v>
      </c>
      <c r="I105" s="3">
        <f t="shared" si="3"/>
        <v>258</v>
      </c>
    </row>
    <row r="106" spans="1:9" ht="48" x14ac:dyDescent="0.3">
      <c r="A106" s="2" t="s">
        <v>245</v>
      </c>
      <c r="B106" s="2" t="s">
        <v>7749</v>
      </c>
      <c r="C106" s="2" t="s">
        <v>6446</v>
      </c>
      <c r="D106" s="2" t="s">
        <v>9345</v>
      </c>
      <c r="E106" s="2" t="s">
        <v>39</v>
      </c>
      <c r="F106" s="2" t="s">
        <v>1778</v>
      </c>
      <c r="G106" s="2" t="s">
        <v>1717</v>
      </c>
      <c r="H106" s="2" t="s">
        <v>646</v>
      </c>
      <c r="I106" s="3">
        <f t="shared" si="3"/>
        <v>384</v>
      </c>
    </row>
    <row r="107" spans="1:9" ht="36" x14ac:dyDescent="0.3">
      <c r="A107" s="2" t="s">
        <v>245</v>
      </c>
      <c r="B107" s="2" t="s">
        <v>6716</v>
      </c>
      <c r="C107" s="2" t="s">
        <v>6717</v>
      </c>
      <c r="D107" s="2" t="s">
        <v>9346</v>
      </c>
      <c r="E107" s="2" t="s">
        <v>734</v>
      </c>
      <c r="F107" s="2" t="s">
        <v>1778</v>
      </c>
      <c r="G107" s="2" t="s">
        <v>1717</v>
      </c>
      <c r="H107" s="2" t="s">
        <v>646</v>
      </c>
      <c r="I107" s="3">
        <f t="shared" si="3"/>
        <v>247</v>
      </c>
    </row>
    <row r="108" spans="1:9" ht="36" x14ac:dyDescent="0.3">
      <c r="A108" s="2" t="s">
        <v>245</v>
      </c>
      <c r="B108" s="2" t="s">
        <v>3069</v>
      </c>
      <c r="C108" s="2" t="s">
        <v>6446</v>
      </c>
      <c r="D108" s="2" t="s">
        <v>9347</v>
      </c>
      <c r="E108" s="2" t="s">
        <v>39</v>
      </c>
      <c r="F108" s="2" t="s">
        <v>1778</v>
      </c>
      <c r="G108" s="2" t="s">
        <v>1717</v>
      </c>
      <c r="H108" s="2"/>
      <c r="I108" s="3">
        <f t="shared" si="3"/>
        <v>220</v>
      </c>
    </row>
    <row r="109" spans="1:9" ht="48" x14ac:dyDescent="0.3">
      <c r="A109" s="2" t="s">
        <v>245</v>
      </c>
      <c r="B109" s="2" t="s">
        <v>5375</v>
      </c>
      <c r="C109" s="2" t="s">
        <v>6446</v>
      </c>
      <c r="D109" s="2" t="s">
        <v>9348</v>
      </c>
      <c r="E109" s="2"/>
      <c r="F109" s="2" t="s">
        <v>1778</v>
      </c>
      <c r="G109" s="2" t="s">
        <v>1717</v>
      </c>
      <c r="H109" s="2" t="s">
        <v>646</v>
      </c>
      <c r="I109" s="3">
        <f t="shared" si="3"/>
        <v>321</v>
      </c>
    </row>
    <row r="110" spans="1:9" x14ac:dyDescent="0.3">
      <c r="A110" s="2" t="s">
        <v>245</v>
      </c>
      <c r="B110" s="2" t="s">
        <v>1982</v>
      </c>
      <c r="C110" s="2" t="s">
        <v>1983</v>
      </c>
      <c r="D110" s="2" t="s">
        <v>1984</v>
      </c>
      <c r="E110" s="2" t="s">
        <v>242</v>
      </c>
      <c r="F110" s="2"/>
      <c r="G110" s="2"/>
      <c r="H110" s="2"/>
      <c r="I110" s="3">
        <f t="shared" si="3"/>
        <v>73</v>
      </c>
    </row>
    <row r="111" spans="1:9" x14ac:dyDescent="0.3">
      <c r="A111" s="2" t="s">
        <v>245</v>
      </c>
      <c r="B111" s="2" t="s">
        <v>3254</v>
      </c>
      <c r="C111" s="2" t="s">
        <v>860</v>
      </c>
      <c r="D111" s="2" t="s">
        <v>3255</v>
      </c>
      <c r="E111" s="2" t="s">
        <v>39</v>
      </c>
      <c r="F111" s="2"/>
      <c r="G111" s="2"/>
      <c r="H111" s="2"/>
      <c r="I111" s="3">
        <f t="shared" si="3"/>
        <v>97</v>
      </c>
    </row>
    <row r="112" spans="1:9" ht="24" x14ac:dyDescent="0.3">
      <c r="A112" s="2" t="s">
        <v>245</v>
      </c>
      <c r="B112" s="2" t="s">
        <v>4304</v>
      </c>
      <c r="C112" s="2" t="s">
        <v>860</v>
      </c>
      <c r="D112" s="2" t="s">
        <v>4305</v>
      </c>
      <c r="E112" s="2"/>
      <c r="F112" s="2"/>
      <c r="G112" s="2"/>
      <c r="H112" s="2"/>
      <c r="I112" s="3">
        <f t="shared" si="3"/>
        <v>123</v>
      </c>
    </row>
    <row r="113" spans="1:9" ht="24" x14ac:dyDescent="0.3">
      <c r="A113" s="2" t="s">
        <v>245</v>
      </c>
      <c r="B113" s="2" t="s">
        <v>3785</v>
      </c>
      <c r="C113" s="2" t="s">
        <v>860</v>
      </c>
      <c r="D113" s="2" t="s">
        <v>3786</v>
      </c>
      <c r="E113" s="2" t="s">
        <v>39</v>
      </c>
      <c r="F113" s="2"/>
      <c r="G113" s="2"/>
      <c r="H113" s="2"/>
      <c r="I113" s="3">
        <f t="shared" si="3"/>
        <v>109</v>
      </c>
    </row>
    <row r="114" spans="1:9" ht="24" x14ac:dyDescent="0.3">
      <c r="A114" s="2" t="s">
        <v>245</v>
      </c>
      <c r="B114" s="2" t="s">
        <v>5172</v>
      </c>
      <c r="C114" s="2" t="s">
        <v>860</v>
      </c>
      <c r="D114" s="2" t="s">
        <v>5173</v>
      </c>
      <c r="E114" s="2" t="s">
        <v>39</v>
      </c>
      <c r="F114" s="2"/>
      <c r="G114" s="2"/>
      <c r="H114" s="2" t="s">
        <v>646</v>
      </c>
      <c r="I114" s="3">
        <f t="shared" si="3"/>
        <v>150</v>
      </c>
    </row>
    <row r="115" spans="1:9" x14ac:dyDescent="0.3">
      <c r="A115" s="2" t="s">
        <v>245</v>
      </c>
      <c r="B115" s="2" t="s">
        <v>3616</v>
      </c>
      <c r="C115" s="2" t="s">
        <v>860</v>
      </c>
      <c r="D115" s="2" t="s">
        <v>3617</v>
      </c>
      <c r="E115" s="2"/>
      <c r="F115" s="2"/>
      <c r="G115" s="2"/>
      <c r="H115" s="2"/>
      <c r="I115" s="3">
        <f t="shared" si="3"/>
        <v>105</v>
      </c>
    </row>
    <row r="116" spans="1:9" x14ac:dyDescent="0.3">
      <c r="A116" s="2" t="s">
        <v>245</v>
      </c>
      <c r="B116" s="2" t="s">
        <v>3299</v>
      </c>
      <c r="C116" s="2" t="s">
        <v>860</v>
      </c>
      <c r="D116" s="2" t="s">
        <v>3300</v>
      </c>
      <c r="E116" s="2"/>
      <c r="F116" s="2"/>
      <c r="G116" s="2"/>
      <c r="H116" s="2"/>
      <c r="I116" s="3">
        <f t="shared" si="3"/>
        <v>98</v>
      </c>
    </row>
    <row r="117" spans="1:9" x14ac:dyDescent="0.3">
      <c r="A117" s="2" t="s">
        <v>245</v>
      </c>
      <c r="B117" s="2" t="s">
        <v>859</v>
      </c>
      <c r="C117" s="2" t="s">
        <v>860</v>
      </c>
      <c r="D117" s="2" t="s">
        <v>861</v>
      </c>
      <c r="E117" s="2"/>
      <c r="F117" s="2"/>
      <c r="G117" s="2"/>
      <c r="H117" s="2"/>
      <c r="I117" s="3">
        <f t="shared" si="3"/>
        <v>52</v>
      </c>
    </row>
    <row r="118" spans="1:9" ht="24" x14ac:dyDescent="0.3">
      <c r="A118" s="2" t="s">
        <v>245</v>
      </c>
      <c r="B118" s="2" t="s">
        <v>4759</v>
      </c>
      <c r="C118" s="2" t="s">
        <v>1249</v>
      </c>
      <c r="D118" s="2" t="s">
        <v>4760</v>
      </c>
      <c r="E118" s="2"/>
      <c r="F118" s="2"/>
      <c r="G118" s="2" t="s">
        <v>1717</v>
      </c>
      <c r="H118" s="2"/>
      <c r="I118" s="3">
        <f t="shared" si="3"/>
        <v>138</v>
      </c>
    </row>
    <row r="119" spans="1:9" x14ac:dyDescent="0.3">
      <c r="A119" s="2" t="s">
        <v>245</v>
      </c>
      <c r="B119" s="2" t="s">
        <v>177</v>
      </c>
      <c r="C119" s="2" t="s">
        <v>178</v>
      </c>
      <c r="D119" s="2" t="s">
        <v>1340</v>
      </c>
      <c r="E119" s="2" t="s">
        <v>39</v>
      </c>
      <c r="F119" s="2"/>
      <c r="G119" s="2"/>
      <c r="H119" s="2"/>
      <c r="I119" s="3">
        <f t="shared" si="3"/>
        <v>62</v>
      </c>
    </row>
    <row r="120" spans="1:9" ht="24" x14ac:dyDescent="0.3">
      <c r="A120" s="2" t="s">
        <v>245</v>
      </c>
      <c r="B120" s="2" t="s">
        <v>3691</v>
      </c>
      <c r="C120" s="2" t="s">
        <v>3692</v>
      </c>
      <c r="D120" s="2" t="s">
        <v>3693</v>
      </c>
      <c r="E120" s="2"/>
      <c r="F120" s="2"/>
      <c r="G120" s="2"/>
      <c r="H120" s="2"/>
      <c r="I120" s="3">
        <f t="shared" si="3"/>
        <v>107</v>
      </c>
    </row>
    <row r="121" spans="1:9" ht="24" x14ac:dyDescent="0.3">
      <c r="A121" s="2" t="s">
        <v>245</v>
      </c>
      <c r="B121" s="2" t="s">
        <v>5785</v>
      </c>
      <c r="C121" s="2" t="s">
        <v>5786</v>
      </c>
      <c r="D121" s="2" t="s">
        <v>5787</v>
      </c>
      <c r="E121" s="2" t="s">
        <v>39</v>
      </c>
      <c r="F121" s="2"/>
      <c r="G121" s="2"/>
      <c r="H121" s="2"/>
      <c r="I121" s="3">
        <f t="shared" si="3"/>
        <v>179</v>
      </c>
    </row>
    <row r="122" spans="1:9" ht="36" x14ac:dyDescent="0.3">
      <c r="A122" s="2" t="s">
        <v>245</v>
      </c>
      <c r="B122" s="2" t="s">
        <v>6293</v>
      </c>
      <c r="C122" s="2" t="s">
        <v>6896</v>
      </c>
      <c r="D122" s="2" t="s">
        <v>9349</v>
      </c>
      <c r="E122" s="2" t="s">
        <v>6897</v>
      </c>
      <c r="F122" s="2" t="s">
        <v>1778</v>
      </c>
      <c r="G122" s="2" t="s">
        <v>1717</v>
      </c>
      <c r="H122" s="2"/>
      <c r="I122" s="3">
        <f t="shared" si="3"/>
        <v>261</v>
      </c>
    </row>
    <row r="123" spans="1:9" ht="24" x14ac:dyDescent="0.3">
      <c r="A123" s="2" t="s">
        <v>245</v>
      </c>
      <c r="B123" s="2" t="s">
        <v>4331</v>
      </c>
      <c r="C123" s="2" t="s">
        <v>1684</v>
      </c>
      <c r="D123" s="2" t="s">
        <v>4332</v>
      </c>
      <c r="E123" s="2"/>
      <c r="F123" s="2"/>
      <c r="G123" s="2"/>
      <c r="H123" s="2"/>
      <c r="I123" s="3">
        <f t="shared" si="3"/>
        <v>124</v>
      </c>
    </row>
    <row r="124" spans="1:9" ht="24" x14ac:dyDescent="0.3">
      <c r="A124" s="2" t="s">
        <v>245</v>
      </c>
      <c r="B124" s="2" t="s">
        <v>2821</v>
      </c>
      <c r="C124" s="2" t="s">
        <v>2822</v>
      </c>
      <c r="D124" s="2" t="s">
        <v>2823</v>
      </c>
      <c r="E124" s="2" t="s">
        <v>2824</v>
      </c>
      <c r="F124" s="2"/>
      <c r="G124" s="2"/>
      <c r="H124" s="2" t="s">
        <v>898</v>
      </c>
      <c r="I124" s="3">
        <f t="shared" si="3"/>
        <v>88</v>
      </c>
    </row>
    <row r="125" spans="1:9" ht="24" x14ac:dyDescent="0.3">
      <c r="A125" s="2" t="s">
        <v>245</v>
      </c>
      <c r="B125" s="2" t="s">
        <v>4464</v>
      </c>
      <c r="C125" s="2" t="s">
        <v>4465</v>
      </c>
      <c r="D125" s="2" t="s">
        <v>9350</v>
      </c>
      <c r="E125" s="2"/>
      <c r="F125" s="2" t="s">
        <v>1778</v>
      </c>
      <c r="G125" s="2" t="s">
        <v>1717</v>
      </c>
      <c r="H125" s="2"/>
      <c r="I125" s="3">
        <f t="shared" si="3"/>
        <v>126</v>
      </c>
    </row>
    <row r="126" spans="1:9" ht="24" x14ac:dyDescent="0.3">
      <c r="A126" s="2" t="s">
        <v>245</v>
      </c>
      <c r="B126" s="2" t="s">
        <v>2706</v>
      </c>
      <c r="C126" s="2" t="s">
        <v>2707</v>
      </c>
      <c r="D126" s="2" t="s">
        <v>2708</v>
      </c>
      <c r="E126" s="2" t="s">
        <v>2709</v>
      </c>
      <c r="F126" s="2"/>
      <c r="G126" s="2"/>
      <c r="H126" s="2" t="s">
        <v>898</v>
      </c>
      <c r="I126" s="3">
        <f t="shared" si="3"/>
        <v>86</v>
      </c>
    </row>
    <row r="127" spans="1:9" ht="24" x14ac:dyDescent="0.3">
      <c r="A127" s="2" t="s">
        <v>245</v>
      </c>
      <c r="B127" s="2" t="s">
        <v>5462</v>
      </c>
      <c r="C127" s="2" t="s">
        <v>5463</v>
      </c>
      <c r="D127" s="2" t="s">
        <v>9351</v>
      </c>
      <c r="E127" s="2" t="s">
        <v>211</v>
      </c>
      <c r="F127" s="2" t="s">
        <v>1778</v>
      </c>
      <c r="G127" s="2" t="s">
        <v>1717</v>
      </c>
      <c r="H127" s="2"/>
      <c r="I127" s="3">
        <f t="shared" si="3"/>
        <v>161</v>
      </c>
    </row>
    <row r="128" spans="1:9" ht="36" x14ac:dyDescent="0.3">
      <c r="A128" s="2" t="s">
        <v>245</v>
      </c>
      <c r="B128" s="2" t="s">
        <v>6431</v>
      </c>
      <c r="C128" s="2" t="s">
        <v>6432</v>
      </c>
      <c r="D128" s="2" t="s">
        <v>9352</v>
      </c>
      <c r="E128" s="2" t="s">
        <v>6433</v>
      </c>
      <c r="F128" s="2" t="s">
        <v>1778</v>
      </c>
      <c r="G128" s="2" t="s">
        <v>1717</v>
      </c>
      <c r="H128" s="2" t="s">
        <v>898</v>
      </c>
      <c r="I128" s="3">
        <f t="shared" si="3"/>
        <v>219</v>
      </c>
    </row>
    <row r="129" spans="1:9" ht="24" x14ac:dyDescent="0.3">
      <c r="A129" s="2" t="s">
        <v>245</v>
      </c>
      <c r="B129" s="2" t="s">
        <v>2706</v>
      </c>
      <c r="C129" s="2" t="s">
        <v>2707</v>
      </c>
      <c r="D129" s="2" t="s">
        <v>8718</v>
      </c>
      <c r="E129" s="2" t="s">
        <v>2568</v>
      </c>
      <c r="F129" s="2"/>
      <c r="G129" s="2"/>
      <c r="H129" s="2" t="s">
        <v>898</v>
      </c>
      <c r="I129" s="3">
        <f t="shared" si="3"/>
        <v>112</v>
      </c>
    </row>
    <row r="130" spans="1:9" ht="72" x14ac:dyDescent="0.3">
      <c r="A130" s="2" t="s">
        <v>245</v>
      </c>
      <c r="B130" s="2" t="s">
        <v>3769</v>
      </c>
      <c r="C130" s="2" t="s">
        <v>6391</v>
      </c>
      <c r="D130" s="2" t="s">
        <v>9353</v>
      </c>
      <c r="E130" s="2" t="s">
        <v>8195</v>
      </c>
      <c r="F130" s="2" t="s">
        <v>1778</v>
      </c>
      <c r="G130" s="2" t="s">
        <v>1717</v>
      </c>
      <c r="H130" s="2" t="s">
        <v>646</v>
      </c>
      <c r="I130" s="3">
        <f t="shared" si="3"/>
        <v>522</v>
      </c>
    </row>
    <row r="131" spans="1:9" ht="36" x14ac:dyDescent="0.3">
      <c r="A131" s="2" t="s">
        <v>245</v>
      </c>
      <c r="B131" s="2" t="s">
        <v>3384</v>
      </c>
      <c r="C131" s="2" t="s">
        <v>2519</v>
      </c>
      <c r="D131" s="2" t="s">
        <v>6518</v>
      </c>
      <c r="E131" s="2"/>
      <c r="F131" s="2"/>
      <c r="G131" s="2"/>
      <c r="H131" s="2" t="s">
        <v>1176</v>
      </c>
      <c r="I131" s="3">
        <f t="shared" si="3"/>
        <v>229</v>
      </c>
    </row>
    <row r="132" spans="1:9" ht="24" x14ac:dyDescent="0.3">
      <c r="A132" s="2" t="s">
        <v>245</v>
      </c>
      <c r="B132" s="2" t="s">
        <v>6716</v>
      </c>
      <c r="C132" s="2" t="s">
        <v>222</v>
      </c>
      <c r="D132" s="2" t="s">
        <v>8145</v>
      </c>
      <c r="E132" s="2"/>
      <c r="F132" s="2"/>
      <c r="G132" s="2"/>
      <c r="H132" s="2"/>
      <c r="I132" s="3">
        <v>494</v>
      </c>
    </row>
    <row r="133" spans="1:9" x14ac:dyDescent="0.3">
      <c r="A133" s="2" t="s">
        <v>245</v>
      </c>
      <c r="B133" s="2" t="s">
        <v>1825</v>
      </c>
      <c r="C133" s="2" t="s">
        <v>1826</v>
      </c>
      <c r="D133" s="2" t="s">
        <v>1827</v>
      </c>
      <c r="E133" s="2" t="s">
        <v>39</v>
      </c>
      <c r="F133" s="2"/>
      <c r="G133" s="2"/>
      <c r="H133" s="2"/>
      <c r="I133" s="3">
        <f>LEN(D133)</f>
        <v>70</v>
      </c>
    </row>
    <row r="134" spans="1:9" ht="24" x14ac:dyDescent="0.3">
      <c r="A134" s="2" t="s">
        <v>245</v>
      </c>
      <c r="B134" s="2" t="s">
        <v>1321</v>
      </c>
      <c r="C134" s="2" t="s">
        <v>1371</v>
      </c>
      <c r="D134" s="2" t="s">
        <v>4739</v>
      </c>
      <c r="E134" s="2"/>
      <c r="F134" s="2"/>
      <c r="G134" s="2"/>
      <c r="H134" s="2"/>
      <c r="I134" s="3">
        <f>LEN(D134)</f>
        <v>137</v>
      </c>
    </row>
    <row r="135" spans="1:9" ht="60" x14ac:dyDescent="0.3">
      <c r="A135" s="2" t="s">
        <v>245</v>
      </c>
      <c r="B135" s="2" t="s">
        <v>8153</v>
      </c>
      <c r="C135" s="2" t="s">
        <v>8154</v>
      </c>
      <c r="D135" s="2" t="s">
        <v>9354</v>
      </c>
      <c r="E135" s="2" t="s">
        <v>39</v>
      </c>
      <c r="F135" s="2" t="s">
        <v>1778</v>
      </c>
      <c r="G135" s="2" t="s">
        <v>1717</v>
      </c>
      <c r="H135" s="2" t="s">
        <v>646</v>
      </c>
      <c r="I135" s="3">
        <v>496</v>
      </c>
    </row>
    <row r="136" spans="1:9" ht="24" x14ac:dyDescent="0.3">
      <c r="A136" s="2" t="s">
        <v>245</v>
      </c>
      <c r="B136" s="2" t="s">
        <v>5887</v>
      </c>
      <c r="C136" s="2" t="s">
        <v>1178</v>
      </c>
      <c r="D136" s="2" t="s">
        <v>5888</v>
      </c>
      <c r="E136" s="2" t="s">
        <v>39</v>
      </c>
      <c r="F136" s="2"/>
      <c r="G136" s="2"/>
      <c r="H136" s="2"/>
      <c r="I136" s="3">
        <f>LEN(D136)</f>
        <v>183</v>
      </c>
    </row>
    <row r="137" spans="1:9" ht="36" x14ac:dyDescent="0.3">
      <c r="A137" s="2" t="s">
        <v>245</v>
      </c>
      <c r="B137" s="2" t="s">
        <v>6108</v>
      </c>
      <c r="C137" s="2" t="s">
        <v>1083</v>
      </c>
      <c r="D137" s="2" t="s">
        <v>9355</v>
      </c>
      <c r="E137" s="2" t="s">
        <v>3305</v>
      </c>
      <c r="F137" s="2" t="s">
        <v>1778</v>
      </c>
      <c r="G137" s="2" t="s">
        <v>1717</v>
      </c>
      <c r="H137" s="2"/>
      <c r="I137" s="3">
        <f>LEN(D137)</f>
        <v>196</v>
      </c>
    </row>
    <row r="138" spans="1:9" ht="24" x14ac:dyDescent="0.3">
      <c r="A138" s="2" t="s">
        <v>245</v>
      </c>
      <c r="B138" s="2" t="s">
        <v>3307</v>
      </c>
      <c r="C138" s="2" t="s">
        <v>823</v>
      </c>
      <c r="D138" s="2" t="s">
        <v>3308</v>
      </c>
      <c r="E138" s="2"/>
      <c r="F138" s="2"/>
      <c r="G138" s="2"/>
      <c r="H138" s="2"/>
      <c r="I138" s="3">
        <f>LEN(D138)</f>
        <v>98</v>
      </c>
    </row>
    <row r="139" spans="1:9" ht="48" x14ac:dyDescent="0.3">
      <c r="A139" s="2" t="s">
        <v>245</v>
      </c>
      <c r="B139" s="2" t="s">
        <v>8122</v>
      </c>
      <c r="C139" s="2" t="s">
        <v>2519</v>
      </c>
      <c r="D139" s="2" t="s">
        <v>8123</v>
      </c>
      <c r="E139" s="2"/>
      <c r="F139" s="2"/>
      <c r="G139" s="2"/>
      <c r="H139" s="2"/>
      <c r="I139" s="3">
        <v>485</v>
      </c>
    </row>
    <row r="140" spans="1:9" ht="24" x14ac:dyDescent="0.3">
      <c r="A140" s="2" t="s">
        <v>245</v>
      </c>
      <c r="B140" s="2" t="s">
        <v>4964</v>
      </c>
      <c r="C140" s="2" t="s">
        <v>4965</v>
      </c>
      <c r="D140" s="2" t="s">
        <v>4966</v>
      </c>
      <c r="E140" s="2" t="s">
        <v>242</v>
      </c>
      <c r="F140" s="2"/>
      <c r="G140" s="2"/>
      <c r="H140" s="2" t="s">
        <v>898</v>
      </c>
      <c r="I140" s="3">
        <f t="shared" ref="I140:I150" si="4">LEN(D140)</f>
        <v>143</v>
      </c>
    </row>
    <row r="141" spans="1:9" ht="24" x14ac:dyDescent="0.3">
      <c r="A141" s="2" t="s">
        <v>245</v>
      </c>
      <c r="B141" s="2" t="s">
        <v>5018</v>
      </c>
      <c r="C141" s="2" t="s">
        <v>1178</v>
      </c>
      <c r="D141" s="2" t="s">
        <v>5210</v>
      </c>
      <c r="E141" s="2" t="s">
        <v>39</v>
      </c>
      <c r="F141" s="2"/>
      <c r="G141" s="2"/>
      <c r="H141" s="2"/>
      <c r="I141" s="3">
        <f t="shared" si="4"/>
        <v>151</v>
      </c>
    </row>
    <row r="142" spans="1:9" ht="48" x14ac:dyDescent="0.3">
      <c r="A142" s="2" t="s">
        <v>245</v>
      </c>
      <c r="B142" s="2" t="s">
        <v>1982</v>
      </c>
      <c r="C142" s="2" t="s">
        <v>7340</v>
      </c>
      <c r="D142" s="2" t="s">
        <v>7341</v>
      </c>
      <c r="E142" s="2" t="s">
        <v>3643</v>
      </c>
      <c r="F142" s="2"/>
      <c r="G142" s="2"/>
      <c r="H142" s="2" t="s">
        <v>646</v>
      </c>
      <c r="I142" s="3">
        <f t="shared" si="4"/>
        <v>317</v>
      </c>
    </row>
    <row r="143" spans="1:9" ht="24" x14ac:dyDescent="0.3">
      <c r="A143" s="2" t="s">
        <v>245</v>
      </c>
      <c r="B143" s="2" t="s">
        <v>5702</v>
      </c>
      <c r="C143" s="2" t="s">
        <v>1983</v>
      </c>
      <c r="D143" s="2" t="s">
        <v>9356</v>
      </c>
      <c r="E143" s="2" t="s">
        <v>242</v>
      </c>
      <c r="F143" s="2" t="s">
        <v>1778</v>
      </c>
      <c r="G143" s="2" t="s">
        <v>1717</v>
      </c>
      <c r="H143" s="2"/>
      <c r="I143" s="3">
        <f t="shared" si="4"/>
        <v>173</v>
      </c>
    </row>
    <row r="144" spans="1:9" ht="24" x14ac:dyDescent="0.3">
      <c r="A144" s="2" t="s">
        <v>245</v>
      </c>
      <c r="B144" s="2" t="s">
        <v>4165</v>
      </c>
      <c r="C144" s="2" t="s">
        <v>1983</v>
      </c>
      <c r="D144" s="2" t="s">
        <v>4166</v>
      </c>
      <c r="E144" s="2" t="s">
        <v>3643</v>
      </c>
      <c r="F144" s="2"/>
      <c r="G144" s="2"/>
      <c r="H144" s="2"/>
      <c r="I144" s="3">
        <f t="shared" si="4"/>
        <v>119</v>
      </c>
    </row>
    <row r="145" spans="1:9" ht="24" x14ac:dyDescent="0.3">
      <c r="A145" s="2" t="s">
        <v>245</v>
      </c>
      <c r="B145" s="2" t="s">
        <v>5259</v>
      </c>
      <c r="C145" s="2" t="s">
        <v>1983</v>
      </c>
      <c r="D145" s="2" t="s">
        <v>5260</v>
      </c>
      <c r="E145" s="2" t="s">
        <v>3643</v>
      </c>
      <c r="F145" s="2"/>
      <c r="G145" s="2"/>
      <c r="H145" s="2"/>
      <c r="I145" s="3">
        <f t="shared" si="4"/>
        <v>153</v>
      </c>
    </row>
    <row r="146" spans="1:9" ht="24" x14ac:dyDescent="0.3">
      <c r="A146" s="2" t="s">
        <v>245</v>
      </c>
      <c r="B146" s="2" t="s">
        <v>1321</v>
      </c>
      <c r="C146" s="2" t="s">
        <v>1983</v>
      </c>
      <c r="D146" s="2" t="s">
        <v>9357</v>
      </c>
      <c r="E146" s="2" t="s">
        <v>3643</v>
      </c>
      <c r="F146" s="2" t="s">
        <v>1778</v>
      </c>
      <c r="G146" s="2" t="s">
        <v>1717</v>
      </c>
      <c r="H146" s="2" t="s">
        <v>646</v>
      </c>
      <c r="I146" s="3">
        <f t="shared" si="4"/>
        <v>170</v>
      </c>
    </row>
    <row r="147" spans="1:9" ht="24" x14ac:dyDescent="0.3">
      <c r="A147" s="2" t="s">
        <v>245</v>
      </c>
      <c r="B147" s="2" t="s">
        <v>827</v>
      </c>
      <c r="C147" s="2" t="s">
        <v>1983</v>
      </c>
      <c r="D147" s="2" t="s">
        <v>9358</v>
      </c>
      <c r="E147" s="2" t="s">
        <v>2709</v>
      </c>
      <c r="F147" s="2" t="s">
        <v>1778</v>
      </c>
      <c r="G147" s="2" t="s">
        <v>1717</v>
      </c>
      <c r="H147" s="2"/>
      <c r="I147" s="3">
        <f t="shared" si="4"/>
        <v>177</v>
      </c>
    </row>
    <row r="148" spans="1:9" ht="84" x14ac:dyDescent="0.3">
      <c r="A148" s="2" t="s">
        <v>245</v>
      </c>
      <c r="B148" s="2" t="s">
        <v>7989</v>
      </c>
      <c r="C148" s="2" t="s">
        <v>8441</v>
      </c>
      <c r="D148" s="2" t="s">
        <v>8442</v>
      </c>
      <c r="E148" s="2" t="s">
        <v>8443</v>
      </c>
      <c r="F148" s="2"/>
      <c r="G148" s="2"/>
      <c r="H148" s="2" t="s">
        <v>646</v>
      </c>
      <c r="I148" s="3">
        <f t="shared" si="4"/>
        <v>668</v>
      </c>
    </row>
    <row r="149" spans="1:9" x14ac:dyDescent="0.3">
      <c r="A149" s="2" t="s">
        <v>245</v>
      </c>
      <c r="B149" s="2" t="s">
        <v>1804</v>
      </c>
      <c r="C149" s="2" t="s">
        <v>2599</v>
      </c>
      <c r="D149" s="2" t="s">
        <v>2600</v>
      </c>
      <c r="E149" s="2" t="s">
        <v>39</v>
      </c>
      <c r="F149" s="2"/>
      <c r="G149" s="2"/>
      <c r="H149" s="2"/>
      <c r="I149" s="3">
        <f t="shared" si="4"/>
        <v>84</v>
      </c>
    </row>
    <row r="150" spans="1:9" ht="48" x14ac:dyDescent="0.3">
      <c r="A150" s="2" t="s">
        <v>245</v>
      </c>
      <c r="B150" s="2" t="s">
        <v>1804</v>
      </c>
      <c r="C150" s="2" t="s">
        <v>1805</v>
      </c>
      <c r="D150" s="2" t="s">
        <v>7720</v>
      </c>
      <c r="E150" s="2" t="s">
        <v>39</v>
      </c>
      <c r="F150" s="2"/>
      <c r="G150" s="2"/>
      <c r="H150" s="2" t="s">
        <v>646</v>
      </c>
      <c r="I150" s="3">
        <f t="shared" si="4"/>
        <v>381</v>
      </c>
    </row>
    <row r="151" spans="1:9" ht="60" x14ac:dyDescent="0.3">
      <c r="A151" s="2" t="s">
        <v>245</v>
      </c>
      <c r="B151" s="2" t="s">
        <v>1804</v>
      </c>
      <c r="C151" s="2" t="s">
        <v>1805</v>
      </c>
      <c r="D151" s="2" t="s">
        <v>9359</v>
      </c>
      <c r="E151" s="2" t="s">
        <v>39</v>
      </c>
      <c r="F151" s="2" t="s">
        <v>2281</v>
      </c>
      <c r="G151" s="2" t="s">
        <v>1717</v>
      </c>
      <c r="H151" s="2"/>
      <c r="I151" s="3">
        <v>431</v>
      </c>
    </row>
    <row r="152" spans="1:9" ht="48" x14ac:dyDescent="0.3">
      <c r="A152" s="2" t="s">
        <v>245</v>
      </c>
      <c r="B152" s="2" t="s">
        <v>1804</v>
      </c>
      <c r="C152" s="2" t="s">
        <v>1805</v>
      </c>
      <c r="D152" s="2" t="s">
        <v>7813</v>
      </c>
      <c r="E152" s="2" t="s">
        <v>39</v>
      </c>
      <c r="F152" s="2"/>
      <c r="G152" s="2"/>
      <c r="H152" s="2"/>
      <c r="I152" s="3">
        <f>LEN(D152)</f>
        <v>401</v>
      </c>
    </row>
    <row r="153" spans="1:9" x14ac:dyDescent="0.3">
      <c r="A153" s="2" t="s">
        <v>245</v>
      </c>
      <c r="B153" s="2" t="s">
        <v>8107</v>
      </c>
      <c r="C153" s="2" t="s">
        <v>1178</v>
      </c>
      <c r="D153" s="2" t="s">
        <v>8108</v>
      </c>
      <c r="E153" s="2" t="s">
        <v>39</v>
      </c>
      <c r="F153" s="2"/>
      <c r="G153" s="2"/>
      <c r="H153" s="2"/>
      <c r="I153" s="3">
        <v>479</v>
      </c>
    </row>
    <row r="154" spans="1:9" ht="36" x14ac:dyDescent="0.3">
      <c r="A154" s="2" t="s">
        <v>245</v>
      </c>
      <c r="B154" s="2" t="s">
        <v>6916</v>
      </c>
      <c r="C154" s="2" t="s">
        <v>6917</v>
      </c>
      <c r="D154" s="2" t="s">
        <v>6918</v>
      </c>
      <c r="E154" s="2" t="s">
        <v>39</v>
      </c>
      <c r="F154" s="2"/>
      <c r="G154" s="2"/>
      <c r="H154" s="2"/>
      <c r="I154" s="3">
        <f>LEN(D154)</f>
        <v>264</v>
      </c>
    </row>
    <row r="155" spans="1:9" ht="60" x14ac:dyDescent="0.3">
      <c r="A155" s="2" t="s">
        <v>245</v>
      </c>
      <c r="B155" s="2" t="s">
        <v>1804</v>
      </c>
      <c r="C155" s="2" t="s">
        <v>1805</v>
      </c>
      <c r="D155" s="2" t="s">
        <v>9360</v>
      </c>
      <c r="E155" s="2"/>
      <c r="F155" s="2"/>
      <c r="G155" s="2"/>
      <c r="H155" s="2"/>
      <c r="I155" s="3">
        <v>440</v>
      </c>
    </row>
    <row r="156" spans="1:9" ht="48" x14ac:dyDescent="0.3">
      <c r="A156" s="2" t="s">
        <v>245</v>
      </c>
      <c r="B156" s="2" t="s">
        <v>1804</v>
      </c>
      <c r="C156" s="2" t="s">
        <v>1805</v>
      </c>
      <c r="D156" s="2" t="s">
        <v>7626</v>
      </c>
      <c r="E156" s="2" t="s">
        <v>39</v>
      </c>
      <c r="F156" s="2"/>
      <c r="G156" s="2"/>
      <c r="H156" s="2"/>
      <c r="I156" s="3">
        <f t="shared" ref="I156:I187" si="5">LEN(D156)</f>
        <v>361</v>
      </c>
    </row>
    <row r="157" spans="1:9" ht="24" x14ac:dyDescent="0.3">
      <c r="A157" s="2" t="s">
        <v>245</v>
      </c>
      <c r="B157" s="2" t="s">
        <v>6204</v>
      </c>
      <c r="C157" s="2" t="s">
        <v>6205</v>
      </c>
      <c r="D157" s="2" t="s">
        <v>9361</v>
      </c>
      <c r="E157" s="2" t="s">
        <v>2709</v>
      </c>
      <c r="F157" s="2" t="s">
        <v>1778</v>
      </c>
      <c r="G157" s="2" t="s">
        <v>1717</v>
      </c>
      <c r="H157" s="2" t="s">
        <v>194</v>
      </c>
      <c r="I157" s="3">
        <f t="shared" si="5"/>
        <v>203</v>
      </c>
    </row>
    <row r="158" spans="1:9" ht="24" x14ac:dyDescent="0.3">
      <c r="A158" s="2" t="s">
        <v>245</v>
      </c>
      <c r="B158" s="2" t="s">
        <v>5018</v>
      </c>
      <c r="C158" s="2" t="s">
        <v>1178</v>
      </c>
      <c r="D158" s="2" t="s">
        <v>5019</v>
      </c>
      <c r="E158" s="2" t="s">
        <v>39</v>
      </c>
      <c r="F158" s="2"/>
      <c r="G158" s="2"/>
      <c r="H158" s="2"/>
      <c r="I158" s="3">
        <f t="shared" si="5"/>
        <v>145</v>
      </c>
    </row>
    <row r="159" spans="1:9" x14ac:dyDescent="0.3">
      <c r="A159" s="2" t="s">
        <v>245</v>
      </c>
      <c r="B159" s="2" t="s">
        <v>1991</v>
      </c>
      <c r="C159" s="2" t="s">
        <v>1992</v>
      </c>
      <c r="D159" s="2" t="s">
        <v>1993</v>
      </c>
      <c r="E159" s="2" t="s">
        <v>39</v>
      </c>
      <c r="F159" s="2"/>
      <c r="G159" s="2"/>
      <c r="H159" s="2"/>
      <c r="I159" s="3">
        <f t="shared" si="5"/>
        <v>73</v>
      </c>
    </row>
    <row r="160" spans="1:9" ht="36" x14ac:dyDescent="0.3">
      <c r="A160" s="2" t="s">
        <v>245</v>
      </c>
      <c r="B160" s="2" t="s">
        <v>4242</v>
      </c>
      <c r="C160" s="2" t="s">
        <v>4161</v>
      </c>
      <c r="D160" s="2" t="s">
        <v>6333</v>
      </c>
      <c r="E160" s="2" t="s">
        <v>39</v>
      </c>
      <c r="F160" s="2"/>
      <c r="G160" s="2"/>
      <c r="H160" s="2"/>
      <c r="I160" s="3">
        <f t="shared" si="5"/>
        <v>214</v>
      </c>
    </row>
    <row r="161" spans="1:9" ht="24" x14ac:dyDescent="0.3">
      <c r="A161" s="2" t="s">
        <v>245</v>
      </c>
      <c r="B161" s="2" t="s">
        <v>213</v>
      </c>
      <c r="C161" s="2" t="s">
        <v>4161</v>
      </c>
      <c r="D161" s="2" t="s">
        <v>5904</v>
      </c>
      <c r="E161" s="2" t="s">
        <v>39</v>
      </c>
      <c r="F161" s="2"/>
      <c r="G161" s="2"/>
      <c r="H161" s="2"/>
      <c r="I161" s="3">
        <f t="shared" si="5"/>
        <v>184</v>
      </c>
    </row>
    <row r="162" spans="1:9" ht="24" x14ac:dyDescent="0.3">
      <c r="A162" s="2" t="s">
        <v>245</v>
      </c>
      <c r="B162" s="2" t="s">
        <v>4943</v>
      </c>
      <c r="C162" s="2" t="s">
        <v>5103</v>
      </c>
      <c r="D162" s="2" t="s">
        <v>5104</v>
      </c>
      <c r="E162" s="2"/>
      <c r="F162" s="2"/>
      <c r="G162" s="2"/>
      <c r="H162" s="2"/>
      <c r="I162" s="3">
        <f t="shared" si="5"/>
        <v>148</v>
      </c>
    </row>
    <row r="163" spans="1:9" ht="24" x14ac:dyDescent="0.3">
      <c r="A163" s="2" t="s">
        <v>245</v>
      </c>
      <c r="B163" s="2" t="s">
        <v>2471</v>
      </c>
      <c r="C163" s="2" t="s">
        <v>268</v>
      </c>
      <c r="D163" s="2" t="s">
        <v>5719</v>
      </c>
      <c r="E163" s="2"/>
      <c r="F163" s="2"/>
      <c r="G163" s="2"/>
      <c r="H163" s="2"/>
      <c r="I163" s="3">
        <f t="shared" si="5"/>
        <v>176</v>
      </c>
    </row>
    <row r="164" spans="1:9" ht="60" x14ac:dyDescent="0.3">
      <c r="A164" s="2" t="s">
        <v>245</v>
      </c>
      <c r="B164" s="2" t="s">
        <v>4227</v>
      </c>
      <c r="C164" s="2" t="s">
        <v>823</v>
      </c>
      <c r="D164" s="2" t="s">
        <v>9362</v>
      </c>
      <c r="E164" s="2"/>
      <c r="F164" s="2" t="s">
        <v>7885</v>
      </c>
      <c r="G164" s="2" t="s">
        <v>1717</v>
      </c>
      <c r="H164" s="2" t="s">
        <v>646</v>
      </c>
      <c r="I164" s="3">
        <f t="shared" si="5"/>
        <v>417</v>
      </c>
    </row>
    <row r="165" spans="1:9" ht="24" x14ac:dyDescent="0.3">
      <c r="A165" s="2" t="s">
        <v>245</v>
      </c>
      <c r="B165" s="2" t="s">
        <v>3653</v>
      </c>
      <c r="C165" s="2" t="s">
        <v>342</v>
      </c>
      <c r="D165" s="2" t="s">
        <v>3654</v>
      </c>
      <c r="E165" s="2"/>
      <c r="F165" s="2"/>
      <c r="G165" s="2"/>
      <c r="H165" s="2"/>
      <c r="I165" s="3">
        <f t="shared" si="5"/>
        <v>106</v>
      </c>
    </row>
    <row r="166" spans="1:9" ht="24" x14ac:dyDescent="0.3">
      <c r="A166" s="2" t="s">
        <v>245</v>
      </c>
      <c r="B166" s="2" t="s">
        <v>2304</v>
      </c>
      <c r="C166" s="2" t="s">
        <v>4134</v>
      </c>
      <c r="D166" s="2" t="s">
        <v>4135</v>
      </c>
      <c r="E166" s="2"/>
      <c r="F166" s="2"/>
      <c r="G166" s="2"/>
      <c r="H166" s="2" t="s">
        <v>1644</v>
      </c>
      <c r="I166" s="3">
        <f t="shared" si="5"/>
        <v>118</v>
      </c>
    </row>
    <row r="167" spans="1:9" ht="36" x14ac:dyDescent="0.3">
      <c r="A167" s="2" t="s">
        <v>245</v>
      </c>
      <c r="B167" s="2" t="s">
        <v>6900</v>
      </c>
      <c r="C167" s="2" t="s">
        <v>4134</v>
      </c>
      <c r="D167" s="2" t="s">
        <v>6901</v>
      </c>
      <c r="E167" s="2"/>
      <c r="F167" s="2"/>
      <c r="G167" s="2"/>
      <c r="H167" s="2" t="s">
        <v>1644</v>
      </c>
      <c r="I167" s="3">
        <f t="shared" si="5"/>
        <v>263</v>
      </c>
    </row>
    <row r="168" spans="1:9" ht="24" x14ac:dyDescent="0.3">
      <c r="A168" s="2" t="s">
        <v>245</v>
      </c>
      <c r="B168" s="2" t="s">
        <v>4508</v>
      </c>
      <c r="C168" s="2" t="s">
        <v>4134</v>
      </c>
      <c r="D168" s="2" t="s">
        <v>4509</v>
      </c>
      <c r="E168" s="2"/>
      <c r="F168" s="2"/>
      <c r="G168" s="2"/>
      <c r="H168" s="2" t="s">
        <v>1644</v>
      </c>
      <c r="I168" s="3">
        <f t="shared" si="5"/>
        <v>129</v>
      </c>
    </row>
    <row r="169" spans="1:9" ht="24" x14ac:dyDescent="0.3">
      <c r="A169" s="2" t="s">
        <v>245</v>
      </c>
      <c r="B169" s="2" t="s">
        <v>4770</v>
      </c>
      <c r="C169" s="2" t="s">
        <v>4771</v>
      </c>
      <c r="D169" s="2" t="s">
        <v>9363</v>
      </c>
      <c r="E169" s="2"/>
      <c r="F169" s="2" t="s">
        <v>1778</v>
      </c>
      <c r="G169" s="2" t="s">
        <v>1717</v>
      </c>
      <c r="H169" s="2"/>
      <c r="I169" s="3">
        <f t="shared" si="5"/>
        <v>136</v>
      </c>
    </row>
    <row r="170" spans="1:9" x14ac:dyDescent="0.3">
      <c r="A170" s="2" t="s">
        <v>245</v>
      </c>
      <c r="B170" s="2" t="s">
        <v>830</v>
      </c>
      <c r="C170" s="2" t="s">
        <v>268</v>
      </c>
      <c r="D170" s="2" t="s">
        <v>831</v>
      </c>
      <c r="E170" s="2"/>
      <c r="F170" s="2"/>
      <c r="G170" s="2"/>
      <c r="H170" s="2"/>
      <c r="I170" s="3">
        <f t="shared" si="5"/>
        <v>51</v>
      </c>
    </row>
    <row r="171" spans="1:9" x14ac:dyDescent="0.3">
      <c r="A171" s="2" t="s">
        <v>245</v>
      </c>
      <c r="B171" s="2" t="s">
        <v>1634</v>
      </c>
      <c r="C171" s="2" t="s">
        <v>3490</v>
      </c>
      <c r="D171" s="2" t="s">
        <v>3491</v>
      </c>
      <c r="E171" s="2"/>
      <c r="F171" s="2"/>
      <c r="G171" s="2"/>
      <c r="H171" s="2"/>
      <c r="I171" s="3">
        <f t="shared" si="5"/>
        <v>102</v>
      </c>
    </row>
    <row r="172" spans="1:9" x14ac:dyDescent="0.3">
      <c r="A172" s="2" t="s">
        <v>245</v>
      </c>
      <c r="B172" s="2" t="s">
        <v>2716</v>
      </c>
      <c r="C172" s="2" t="s">
        <v>2717</v>
      </c>
      <c r="D172" s="2" t="s">
        <v>2718</v>
      </c>
      <c r="E172" s="2" t="s">
        <v>39</v>
      </c>
      <c r="F172" s="2"/>
      <c r="G172" s="2"/>
      <c r="H172" s="2"/>
      <c r="I172" s="3">
        <f t="shared" si="5"/>
        <v>86</v>
      </c>
    </row>
    <row r="173" spans="1:9" ht="24" x14ac:dyDescent="0.3">
      <c r="A173" s="2" t="s">
        <v>245</v>
      </c>
      <c r="B173" s="2" t="s">
        <v>6189</v>
      </c>
      <c r="C173" s="2" t="s">
        <v>3385</v>
      </c>
      <c r="D173" s="2" t="s">
        <v>6190</v>
      </c>
      <c r="E173" s="2"/>
      <c r="F173" s="2"/>
      <c r="G173" s="2"/>
      <c r="H173" s="2"/>
      <c r="I173" s="3">
        <f t="shared" si="5"/>
        <v>204</v>
      </c>
    </row>
    <row r="174" spans="1:9" ht="48" x14ac:dyDescent="0.3">
      <c r="A174" s="2" t="s">
        <v>245</v>
      </c>
      <c r="B174" s="2" t="s">
        <v>4227</v>
      </c>
      <c r="C174" s="2" t="s">
        <v>7353</v>
      </c>
      <c r="D174" s="2" t="s">
        <v>7354</v>
      </c>
      <c r="E174" s="2"/>
      <c r="F174" s="2"/>
      <c r="G174" s="2"/>
      <c r="H174" s="2" t="s">
        <v>646</v>
      </c>
      <c r="I174" s="3">
        <f t="shared" si="5"/>
        <v>319</v>
      </c>
    </row>
    <row r="175" spans="1:9" ht="24" x14ac:dyDescent="0.3">
      <c r="A175" s="2" t="s">
        <v>245</v>
      </c>
      <c r="B175" s="2" t="s">
        <v>6207</v>
      </c>
      <c r="C175" s="2" t="s">
        <v>4365</v>
      </c>
      <c r="D175" s="2" t="s">
        <v>9364</v>
      </c>
      <c r="E175" s="2" t="s">
        <v>39</v>
      </c>
      <c r="F175" s="2" t="s">
        <v>2281</v>
      </c>
      <c r="G175" s="2"/>
      <c r="H175" s="2"/>
      <c r="I175" s="3">
        <f t="shared" si="5"/>
        <v>203</v>
      </c>
    </row>
    <row r="176" spans="1:9" x14ac:dyDescent="0.3">
      <c r="A176" s="2" t="s">
        <v>245</v>
      </c>
      <c r="B176" s="2" t="s">
        <v>1350</v>
      </c>
      <c r="C176" s="2" t="s">
        <v>1351</v>
      </c>
      <c r="D176" s="2" t="s">
        <v>1352</v>
      </c>
      <c r="E176" s="2"/>
      <c r="F176" s="2"/>
      <c r="G176" s="2"/>
      <c r="H176" s="2"/>
      <c r="I176" s="3">
        <f t="shared" si="5"/>
        <v>62</v>
      </c>
    </row>
    <row r="177" spans="1:9" ht="24" x14ac:dyDescent="0.3">
      <c r="A177" s="2" t="s">
        <v>245</v>
      </c>
      <c r="B177" s="2" t="s">
        <v>5105</v>
      </c>
      <c r="C177" s="2" t="s">
        <v>5106</v>
      </c>
      <c r="D177" s="2" t="s">
        <v>9365</v>
      </c>
      <c r="E177" s="2"/>
      <c r="F177" s="2" t="s">
        <v>4117</v>
      </c>
      <c r="G177" s="2" t="s">
        <v>1717</v>
      </c>
      <c r="H177" s="2"/>
      <c r="I177" s="3">
        <f t="shared" si="5"/>
        <v>146</v>
      </c>
    </row>
    <row r="178" spans="1:9" ht="36" x14ac:dyDescent="0.3">
      <c r="A178" s="2" t="s">
        <v>245</v>
      </c>
      <c r="B178" s="2" t="s">
        <v>2867</v>
      </c>
      <c r="C178" s="2" t="s">
        <v>6324</v>
      </c>
      <c r="D178" s="2" t="s">
        <v>9366</v>
      </c>
      <c r="E178" s="2"/>
      <c r="F178" s="2" t="s">
        <v>1778</v>
      </c>
      <c r="G178" s="2" t="s">
        <v>1717</v>
      </c>
      <c r="H178" s="2"/>
      <c r="I178" s="3">
        <f t="shared" si="5"/>
        <v>211</v>
      </c>
    </row>
    <row r="179" spans="1:9" ht="36" x14ac:dyDescent="0.3">
      <c r="A179" s="2" t="s">
        <v>245</v>
      </c>
      <c r="B179" s="2" t="s">
        <v>6536</v>
      </c>
      <c r="C179" s="2" t="s">
        <v>1642</v>
      </c>
      <c r="D179" s="2" t="s">
        <v>6537</v>
      </c>
      <c r="E179" s="2"/>
      <c r="F179" s="2"/>
      <c r="G179" s="2"/>
      <c r="H179" s="2" t="s">
        <v>1644</v>
      </c>
      <c r="I179" s="3">
        <f t="shared" si="5"/>
        <v>230</v>
      </c>
    </row>
    <row r="180" spans="1:9" x14ac:dyDescent="0.3">
      <c r="A180" s="2" t="s">
        <v>245</v>
      </c>
      <c r="B180" s="2" t="s">
        <v>2719</v>
      </c>
      <c r="C180" s="2" t="s">
        <v>222</v>
      </c>
      <c r="D180" s="2" t="s">
        <v>2720</v>
      </c>
      <c r="E180" s="2"/>
      <c r="F180" s="2"/>
      <c r="G180" s="2"/>
      <c r="H180" s="2" t="s">
        <v>646</v>
      </c>
      <c r="I180" s="3">
        <f t="shared" si="5"/>
        <v>86</v>
      </c>
    </row>
    <row r="181" spans="1:9" ht="36" x14ac:dyDescent="0.3">
      <c r="A181" s="2" t="s">
        <v>245</v>
      </c>
      <c r="B181" s="2" t="s">
        <v>323</v>
      </c>
      <c r="C181" s="2" t="s">
        <v>1935</v>
      </c>
      <c r="D181" s="2" t="s">
        <v>6712</v>
      </c>
      <c r="E181" s="2"/>
      <c r="F181" s="2"/>
      <c r="G181" s="2"/>
      <c r="H181" s="2"/>
      <c r="I181" s="3">
        <f t="shared" si="5"/>
        <v>248</v>
      </c>
    </row>
    <row r="182" spans="1:9" ht="36" x14ac:dyDescent="0.3">
      <c r="A182" s="2" t="s">
        <v>245</v>
      </c>
      <c r="B182" s="2" t="s">
        <v>642</v>
      </c>
      <c r="C182" s="2" t="s">
        <v>6614</v>
      </c>
      <c r="D182" s="2" t="s">
        <v>9367</v>
      </c>
      <c r="E182" s="2"/>
      <c r="F182" s="2" t="s">
        <v>1778</v>
      </c>
      <c r="G182" s="2" t="s">
        <v>4507</v>
      </c>
      <c r="H182" s="2" t="s">
        <v>402</v>
      </c>
      <c r="I182" s="3">
        <f t="shared" si="5"/>
        <v>235</v>
      </c>
    </row>
    <row r="183" spans="1:9" ht="24" x14ac:dyDescent="0.3">
      <c r="A183" s="2" t="s">
        <v>245</v>
      </c>
      <c r="B183" s="2" t="s">
        <v>4242</v>
      </c>
      <c r="C183" s="2" t="s">
        <v>4161</v>
      </c>
      <c r="D183" s="2" t="s">
        <v>4243</v>
      </c>
      <c r="E183" s="2" t="s">
        <v>39</v>
      </c>
      <c r="F183" s="2"/>
      <c r="G183" s="2"/>
      <c r="H183" s="2"/>
      <c r="I183" s="3">
        <f t="shared" si="5"/>
        <v>121</v>
      </c>
    </row>
    <row r="184" spans="1:9" ht="24" x14ac:dyDescent="0.3">
      <c r="A184" s="2" t="s">
        <v>245</v>
      </c>
      <c r="B184" s="2" t="s">
        <v>4805</v>
      </c>
      <c r="C184" s="2" t="s">
        <v>4806</v>
      </c>
      <c r="D184" s="2" t="s">
        <v>4807</v>
      </c>
      <c r="E184" s="2"/>
      <c r="F184" s="2"/>
      <c r="G184" s="2"/>
      <c r="H184" s="2" t="s">
        <v>194</v>
      </c>
      <c r="I184" s="3">
        <f t="shared" si="5"/>
        <v>139</v>
      </c>
    </row>
    <row r="185" spans="1:9" ht="24" x14ac:dyDescent="0.3">
      <c r="A185" s="2" t="s">
        <v>245</v>
      </c>
      <c r="B185" s="2" t="s">
        <v>5350</v>
      </c>
      <c r="C185" s="2" t="s">
        <v>4325</v>
      </c>
      <c r="D185" s="2" t="s">
        <v>5530</v>
      </c>
      <c r="E185" s="2" t="s">
        <v>39</v>
      </c>
      <c r="F185" s="2"/>
      <c r="G185" s="2"/>
      <c r="H185" s="2"/>
      <c r="I185" s="3">
        <f t="shared" si="5"/>
        <v>166</v>
      </c>
    </row>
    <row r="186" spans="1:9" ht="24" x14ac:dyDescent="0.3">
      <c r="A186" s="2" t="s">
        <v>245</v>
      </c>
      <c r="B186" s="2" t="s">
        <v>2171</v>
      </c>
      <c r="C186" s="2" t="s">
        <v>491</v>
      </c>
      <c r="D186" s="2" t="s">
        <v>5332</v>
      </c>
      <c r="E186" s="2" t="s">
        <v>39</v>
      </c>
      <c r="F186" s="2"/>
      <c r="G186" s="2"/>
      <c r="H186" s="2"/>
      <c r="I186" s="3">
        <f t="shared" si="5"/>
        <v>156</v>
      </c>
    </row>
    <row r="187" spans="1:9" x14ac:dyDescent="0.3">
      <c r="A187" s="2" t="s">
        <v>245</v>
      </c>
      <c r="B187" s="2" t="s">
        <v>862</v>
      </c>
      <c r="C187" s="2" t="s">
        <v>512</v>
      </c>
      <c r="D187" s="2" t="s">
        <v>863</v>
      </c>
      <c r="E187" s="2"/>
      <c r="F187" s="2"/>
      <c r="G187" s="2"/>
      <c r="H187" s="2"/>
      <c r="I187" s="3">
        <f t="shared" si="5"/>
        <v>52</v>
      </c>
    </row>
    <row r="188" spans="1:9" ht="36" x14ac:dyDescent="0.3">
      <c r="A188" s="2" t="s">
        <v>245</v>
      </c>
      <c r="B188" s="2" t="s">
        <v>6398</v>
      </c>
      <c r="C188" s="2" t="s">
        <v>6399</v>
      </c>
      <c r="D188" s="2" t="s">
        <v>6400</v>
      </c>
      <c r="E188" s="2" t="s">
        <v>39</v>
      </c>
      <c r="F188" s="2"/>
      <c r="G188" s="2"/>
      <c r="H188" s="2"/>
      <c r="I188" s="3">
        <f t="shared" ref="I188:I216" si="6">LEN(D188)</f>
        <v>219</v>
      </c>
    </row>
    <row r="189" spans="1:9" ht="36" x14ac:dyDescent="0.3">
      <c r="A189" s="2" t="s">
        <v>245</v>
      </c>
      <c r="B189" s="2" t="s">
        <v>6937</v>
      </c>
      <c r="C189" s="2" t="s">
        <v>4161</v>
      </c>
      <c r="D189" s="2" t="s">
        <v>9368</v>
      </c>
      <c r="E189" s="2" t="s">
        <v>6836</v>
      </c>
      <c r="F189" s="2" t="s">
        <v>1778</v>
      </c>
      <c r="G189" s="2" t="s">
        <v>4507</v>
      </c>
      <c r="H189" s="2"/>
      <c r="I189" s="3">
        <f t="shared" si="6"/>
        <v>264</v>
      </c>
    </row>
    <row r="190" spans="1:9" ht="36" x14ac:dyDescent="0.3">
      <c r="A190" s="2" t="s">
        <v>245</v>
      </c>
      <c r="B190" s="2" t="s">
        <v>6837</v>
      </c>
      <c r="C190" s="2" t="s">
        <v>4161</v>
      </c>
      <c r="D190" s="2" t="s">
        <v>9369</v>
      </c>
      <c r="E190" s="2" t="s">
        <v>6836</v>
      </c>
      <c r="F190" s="2" t="s">
        <v>1778</v>
      </c>
      <c r="G190" s="2" t="s">
        <v>4507</v>
      </c>
      <c r="H190" s="2"/>
      <c r="I190" s="3">
        <f t="shared" si="6"/>
        <v>264</v>
      </c>
    </row>
    <row r="191" spans="1:9" ht="36" x14ac:dyDescent="0.3">
      <c r="A191" s="2" t="s">
        <v>245</v>
      </c>
      <c r="B191" s="2" t="s">
        <v>2744</v>
      </c>
      <c r="C191" s="2" t="s">
        <v>4161</v>
      </c>
      <c r="D191" s="2" t="s">
        <v>9370</v>
      </c>
      <c r="E191" s="2" t="s">
        <v>6836</v>
      </c>
      <c r="F191" s="2" t="s">
        <v>1778</v>
      </c>
      <c r="G191" s="2" t="s">
        <v>4507</v>
      </c>
      <c r="H191" s="2"/>
      <c r="I191" s="3">
        <f t="shared" si="6"/>
        <v>255</v>
      </c>
    </row>
    <row r="192" spans="1:9" ht="36" x14ac:dyDescent="0.3">
      <c r="A192" s="2" t="s">
        <v>245</v>
      </c>
      <c r="B192" s="2" t="s">
        <v>6837</v>
      </c>
      <c r="C192" s="2" t="s">
        <v>4161</v>
      </c>
      <c r="D192" s="2" t="s">
        <v>9371</v>
      </c>
      <c r="E192" s="2" t="s">
        <v>6836</v>
      </c>
      <c r="F192" s="2" t="s">
        <v>1778</v>
      </c>
      <c r="G192" s="2" t="s">
        <v>4507</v>
      </c>
      <c r="H192" s="2"/>
      <c r="I192" s="3">
        <f t="shared" si="6"/>
        <v>255</v>
      </c>
    </row>
    <row r="193" spans="1:9" ht="36" x14ac:dyDescent="0.3">
      <c r="A193" s="2" t="s">
        <v>245</v>
      </c>
      <c r="B193" s="2" t="s">
        <v>2721</v>
      </c>
      <c r="C193" s="2" t="s">
        <v>4161</v>
      </c>
      <c r="D193" s="2" t="s">
        <v>9372</v>
      </c>
      <c r="E193" s="2"/>
      <c r="F193" s="2" t="s">
        <v>1778</v>
      </c>
      <c r="G193" s="2" t="s">
        <v>4507</v>
      </c>
      <c r="H193" s="2"/>
      <c r="I193" s="3">
        <f t="shared" si="6"/>
        <v>239</v>
      </c>
    </row>
    <row r="194" spans="1:9" ht="36" x14ac:dyDescent="0.3">
      <c r="A194" s="2" t="s">
        <v>245</v>
      </c>
      <c r="B194" s="2" t="s">
        <v>6664</v>
      </c>
      <c r="C194" s="2" t="s">
        <v>4161</v>
      </c>
      <c r="D194" s="2" t="s">
        <v>9373</v>
      </c>
      <c r="E194" s="2"/>
      <c r="F194" s="2" t="s">
        <v>1778</v>
      </c>
      <c r="G194" s="2" t="s">
        <v>4507</v>
      </c>
      <c r="H194" s="2"/>
      <c r="I194" s="3">
        <f t="shared" si="6"/>
        <v>239</v>
      </c>
    </row>
    <row r="195" spans="1:9" ht="36" x14ac:dyDescent="0.3">
      <c r="A195" s="2" t="s">
        <v>245</v>
      </c>
      <c r="B195" s="2" t="s">
        <v>1321</v>
      </c>
      <c r="C195" s="2" t="s">
        <v>4161</v>
      </c>
      <c r="D195" s="2" t="s">
        <v>9374</v>
      </c>
      <c r="E195" s="2"/>
      <c r="F195" s="2" t="s">
        <v>1778</v>
      </c>
      <c r="G195" s="2" t="s">
        <v>4507</v>
      </c>
      <c r="H195" s="2"/>
      <c r="I195" s="3">
        <f t="shared" si="6"/>
        <v>240</v>
      </c>
    </row>
    <row r="196" spans="1:9" ht="36" x14ac:dyDescent="0.3">
      <c r="A196" s="2" t="s">
        <v>245</v>
      </c>
      <c r="B196" s="2" t="s">
        <v>642</v>
      </c>
      <c r="C196" s="2" t="s">
        <v>4161</v>
      </c>
      <c r="D196" s="2" t="s">
        <v>9375</v>
      </c>
      <c r="E196" s="2"/>
      <c r="F196" s="2" t="s">
        <v>1778</v>
      </c>
      <c r="G196" s="2" t="s">
        <v>4507</v>
      </c>
      <c r="H196" s="2"/>
      <c r="I196" s="3">
        <f t="shared" si="6"/>
        <v>230</v>
      </c>
    </row>
    <row r="197" spans="1:9" ht="36" x14ac:dyDescent="0.3">
      <c r="A197" s="2" t="s">
        <v>245</v>
      </c>
      <c r="B197" s="2" t="s">
        <v>1321</v>
      </c>
      <c r="C197" s="2" t="s">
        <v>4161</v>
      </c>
      <c r="D197" s="2" t="s">
        <v>9376</v>
      </c>
      <c r="E197" s="2"/>
      <c r="F197" s="2" t="s">
        <v>1778</v>
      </c>
      <c r="G197" s="2" t="s">
        <v>4507</v>
      </c>
      <c r="H197" s="2"/>
      <c r="I197" s="3">
        <f t="shared" si="6"/>
        <v>230</v>
      </c>
    </row>
    <row r="198" spans="1:9" ht="24" x14ac:dyDescent="0.3">
      <c r="A198" s="2" t="s">
        <v>245</v>
      </c>
      <c r="B198" s="2" t="s">
        <v>642</v>
      </c>
      <c r="C198" s="2" t="s">
        <v>4161</v>
      </c>
      <c r="D198" s="2" t="s">
        <v>5022</v>
      </c>
      <c r="E198" s="2"/>
      <c r="F198" s="2"/>
      <c r="G198" s="2"/>
      <c r="H198" s="2"/>
      <c r="I198" s="3">
        <f t="shared" si="6"/>
        <v>145</v>
      </c>
    </row>
    <row r="199" spans="1:9" ht="36" x14ac:dyDescent="0.3">
      <c r="A199" s="2" t="s">
        <v>245</v>
      </c>
      <c r="B199" s="2" t="s">
        <v>6713</v>
      </c>
      <c r="C199" s="2" t="s">
        <v>4161</v>
      </c>
      <c r="D199" s="2" t="s">
        <v>9377</v>
      </c>
      <c r="E199" s="2"/>
      <c r="F199" s="2" t="s">
        <v>1778</v>
      </c>
      <c r="G199" s="2" t="s">
        <v>4507</v>
      </c>
      <c r="H199" s="2" t="s">
        <v>646</v>
      </c>
      <c r="I199" s="3">
        <f t="shared" si="6"/>
        <v>246</v>
      </c>
    </row>
    <row r="200" spans="1:9" x14ac:dyDescent="0.3">
      <c r="A200" s="2" t="s">
        <v>245</v>
      </c>
      <c r="B200" s="2" t="s">
        <v>2603</v>
      </c>
      <c r="C200" s="2" t="s">
        <v>222</v>
      </c>
      <c r="D200" s="2" t="s">
        <v>2604</v>
      </c>
      <c r="E200" s="2"/>
      <c r="F200" s="2"/>
      <c r="G200" s="2"/>
      <c r="H200" s="2"/>
      <c r="I200" s="3">
        <f t="shared" si="6"/>
        <v>84</v>
      </c>
    </row>
    <row r="201" spans="1:9" x14ac:dyDescent="0.3">
      <c r="A201" s="2" t="s">
        <v>245</v>
      </c>
      <c r="B201" s="2" t="s">
        <v>2184</v>
      </c>
      <c r="C201" s="2" t="s">
        <v>337</v>
      </c>
      <c r="D201" s="2" t="s">
        <v>2185</v>
      </c>
      <c r="E201" s="2"/>
      <c r="F201" s="2"/>
      <c r="G201" s="2"/>
      <c r="H201" s="2"/>
      <c r="I201" s="3">
        <f t="shared" si="6"/>
        <v>76</v>
      </c>
    </row>
    <row r="202" spans="1:9" ht="24" x14ac:dyDescent="0.3">
      <c r="A202" s="2" t="s">
        <v>245</v>
      </c>
      <c r="B202" s="2" t="s">
        <v>6085</v>
      </c>
      <c r="C202" s="2" t="s">
        <v>6086</v>
      </c>
      <c r="D202" s="2" t="s">
        <v>6087</v>
      </c>
      <c r="E202" s="2" t="s">
        <v>39</v>
      </c>
      <c r="F202" s="2"/>
      <c r="G202" s="2"/>
      <c r="H202" s="2"/>
      <c r="I202" s="3">
        <f t="shared" si="6"/>
        <v>196</v>
      </c>
    </row>
    <row r="203" spans="1:9" x14ac:dyDescent="0.3">
      <c r="A203" s="2" t="s">
        <v>245</v>
      </c>
      <c r="B203" s="2" t="s">
        <v>2076</v>
      </c>
      <c r="C203" s="2" t="s">
        <v>1639</v>
      </c>
      <c r="D203" s="2" t="s">
        <v>2077</v>
      </c>
      <c r="E203" s="2" t="s">
        <v>1960</v>
      </c>
      <c r="F203" s="2"/>
      <c r="G203" s="2"/>
      <c r="H203" s="2"/>
      <c r="I203" s="3">
        <f t="shared" si="6"/>
        <v>74</v>
      </c>
    </row>
    <row r="204" spans="1:9" ht="24" x14ac:dyDescent="0.3">
      <c r="A204" s="2" t="s">
        <v>245</v>
      </c>
      <c r="B204" s="2" t="s">
        <v>3509</v>
      </c>
      <c r="C204" s="2" t="s">
        <v>3510</v>
      </c>
      <c r="D204" s="2" t="s">
        <v>3584</v>
      </c>
      <c r="E204" s="2" t="s">
        <v>39</v>
      </c>
      <c r="F204" s="2"/>
      <c r="G204" s="2"/>
      <c r="H204" s="2"/>
      <c r="I204" s="3">
        <f t="shared" si="6"/>
        <v>104</v>
      </c>
    </row>
    <row r="205" spans="1:9" x14ac:dyDescent="0.3">
      <c r="A205" s="2" t="s">
        <v>245</v>
      </c>
      <c r="B205" s="2" t="s">
        <v>2541</v>
      </c>
      <c r="C205" s="2" t="s">
        <v>268</v>
      </c>
      <c r="D205" s="2" t="s">
        <v>2542</v>
      </c>
      <c r="E205" s="2"/>
      <c r="F205" s="2"/>
      <c r="G205" s="2"/>
      <c r="H205" s="2"/>
      <c r="I205" s="3">
        <f t="shared" si="6"/>
        <v>83</v>
      </c>
    </row>
    <row r="206" spans="1:9" ht="24" x14ac:dyDescent="0.3">
      <c r="A206" s="2" t="s">
        <v>245</v>
      </c>
      <c r="B206" s="2" t="s">
        <v>3509</v>
      </c>
      <c r="C206" s="2" t="s">
        <v>3510</v>
      </c>
      <c r="D206" s="2" t="s">
        <v>4557</v>
      </c>
      <c r="E206" s="2" t="s">
        <v>39</v>
      </c>
      <c r="F206" s="2"/>
      <c r="G206" s="2"/>
      <c r="H206" s="2"/>
      <c r="I206" s="3">
        <f t="shared" si="6"/>
        <v>130</v>
      </c>
    </row>
    <row r="207" spans="1:9" x14ac:dyDescent="0.3">
      <c r="A207" s="2" t="s">
        <v>245</v>
      </c>
      <c r="B207" s="2" t="s">
        <v>1209</v>
      </c>
      <c r="C207" s="2" t="s">
        <v>875</v>
      </c>
      <c r="D207" s="2" t="s">
        <v>1210</v>
      </c>
      <c r="E207" s="2"/>
      <c r="F207" s="2"/>
      <c r="G207" s="2"/>
      <c r="H207" s="2"/>
      <c r="I207" s="3">
        <f t="shared" si="6"/>
        <v>59</v>
      </c>
    </row>
    <row r="208" spans="1:9" x14ac:dyDescent="0.3">
      <c r="A208" s="2" t="s">
        <v>245</v>
      </c>
      <c r="B208" s="2" t="s">
        <v>323</v>
      </c>
      <c r="C208" s="2" t="s">
        <v>875</v>
      </c>
      <c r="D208" s="2" t="s">
        <v>1309</v>
      </c>
      <c r="E208" s="2"/>
      <c r="F208" s="2"/>
      <c r="G208" s="2"/>
      <c r="H208" s="2"/>
      <c r="I208" s="3">
        <f t="shared" si="6"/>
        <v>61</v>
      </c>
    </row>
    <row r="209" spans="1:9" x14ac:dyDescent="0.3">
      <c r="A209" s="2" t="s">
        <v>245</v>
      </c>
      <c r="B209" s="2" t="s">
        <v>1364</v>
      </c>
      <c r="C209" s="2" t="s">
        <v>875</v>
      </c>
      <c r="D209" s="2" t="s">
        <v>1365</v>
      </c>
      <c r="E209" s="2"/>
      <c r="F209" s="2"/>
      <c r="G209" s="2"/>
      <c r="H209" s="2"/>
      <c r="I209" s="3">
        <f t="shared" si="6"/>
        <v>62</v>
      </c>
    </row>
    <row r="210" spans="1:9" ht="60" x14ac:dyDescent="0.3">
      <c r="A210" s="2" t="s">
        <v>245</v>
      </c>
      <c r="B210" s="2" t="s">
        <v>7945</v>
      </c>
      <c r="C210" s="2" t="s">
        <v>7946</v>
      </c>
      <c r="D210" s="2" t="s">
        <v>9378</v>
      </c>
      <c r="E210" s="2" t="s">
        <v>39</v>
      </c>
      <c r="F210" s="2" t="s">
        <v>4117</v>
      </c>
      <c r="G210" s="2" t="s">
        <v>1717</v>
      </c>
      <c r="H210" s="2" t="s">
        <v>646</v>
      </c>
      <c r="I210" s="3">
        <f t="shared" si="6"/>
        <v>435</v>
      </c>
    </row>
    <row r="211" spans="1:9" ht="24" x14ac:dyDescent="0.3">
      <c r="A211" s="2" t="s">
        <v>245</v>
      </c>
      <c r="B211" s="2" t="s">
        <v>4099</v>
      </c>
      <c r="C211" s="2" t="s">
        <v>4100</v>
      </c>
      <c r="D211" s="2" t="s">
        <v>4101</v>
      </c>
      <c r="E211" s="2"/>
      <c r="F211" s="2"/>
      <c r="G211" s="2"/>
      <c r="H211" s="2"/>
      <c r="I211" s="3">
        <f t="shared" si="6"/>
        <v>117</v>
      </c>
    </row>
    <row r="212" spans="1:9" x14ac:dyDescent="0.3">
      <c r="A212" s="2" t="s">
        <v>245</v>
      </c>
      <c r="B212" s="2" t="s">
        <v>511</v>
      </c>
      <c r="C212" s="2" t="s">
        <v>268</v>
      </c>
      <c r="D212" s="2" t="s">
        <v>2138</v>
      </c>
      <c r="E212" s="2"/>
      <c r="F212" s="2"/>
      <c r="G212" s="2"/>
      <c r="H212" s="2"/>
      <c r="I212" s="3">
        <f t="shared" si="6"/>
        <v>75</v>
      </c>
    </row>
    <row r="213" spans="1:9" x14ac:dyDescent="0.3">
      <c r="A213" s="2" t="s">
        <v>245</v>
      </c>
      <c r="B213" s="2" t="s">
        <v>1370</v>
      </c>
      <c r="C213" s="2" t="s">
        <v>1371</v>
      </c>
      <c r="D213" s="2" t="s">
        <v>1372</v>
      </c>
      <c r="E213" s="2" t="s">
        <v>39</v>
      </c>
      <c r="F213" s="2"/>
      <c r="G213" s="2"/>
      <c r="H213" s="2"/>
      <c r="I213" s="3">
        <f t="shared" si="6"/>
        <v>62</v>
      </c>
    </row>
    <row r="214" spans="1:9" x14ac:dyDescent="0.3">
      <c r="A214" s="2" t="s">
        <v>245</v>
      </c>
      <c r="B214" s="2" t="s">
        <v>1574</v>
      </c>
      <c r="C214" s="2" t="s">
        <v>186</v>
      </c>
      <c r="D214" s="2" t="s">
        <v>2954</v>
      </c>
      <c r="E214" s="2"/>
      <c r="F214" s="2"/>
      <c r="G214" s="2"/>
      <c r="H214" s="2"/>
      <c r="I214" s="3">
        <f t="shared" si="6"/>
        <v>90</v>
      </c>
    </row>
    <row r="215" spans="1:9" ht="24" x14ac:dyDescent="0.3">
      <c r="A215" s="2" t="s">
        <v>245</v>
      </c>
      <c r="B215" s="2" t="s">
        <v>1450</v>
      </c>
      <c r="C215" s="2" t="s">
        <v>1451</v>
      </c>
      <c r="D215" s="2" t="s">
        <v>1852</v>
      </c>
      <c r="E215" s="2"/>
      <c r="F215" s="2"/>
      <c r="G215" s="2"/>
      <c r="H215" s="2"/>
      <c r="I215" s="3">
        <f t="shared" si="6"/>
        <v>70</v>
      </c>
    </row>
    <row r="216" spans="1:9" ht="24" x14ac:dyDescent="0.3">
      <c r="A216" s="2" t="s">
        <v>245</v>
      </c>
      <c r="B216" s="2" t="s">
        <v>1450</v>
      </c>
      <c r="C216" s="2" t="s">
        <v>1451</v>
      </c>
      <c r="D216" s="2" t="s">
        <v>1452</v>
      </c>
      <c r="E216" s="2"/>
      <c r="F216" s="2"/>
      <c r="G216" s="2"/>
      <c r="H216" s="2"/>
      <c r="I216" s="3">
        <f t="shared" si="6"/>
        <v>63</v>
      </c>
    </row>
    <row r="217" spans="1:9" ht="60" x14ac:dyDescent="0.3">
      <c r="A217" s="2" t="s">
        <v>245</v>
      </c>
      <c r="B217" s="2" t="s">
        <v>7989</v>
      </c>
      <c r="C217" s="2" t="s">
        <v>7990</v>
      </c>
      <c r="D217" s="2" t="s">
        <v>7991</v>
      </c>
      <c r="E217" s="2" t="s">
        <v>39</v>
      </c>
      <c r="F217" s="2"/>
      <c r="G217" s="2" t="s">
        <v>1717</v>
      </c>
      <c r="H217" s="2" t="s">
        <v>646</v>
      </c>
      <c r="I217" s="3">
        <v>444</v>
      </c>
    </row>
    <row r="218" spans="1:9" ht="24" x14ac:dyDescent="0.3">
      <c r="A218" s="2" t="s">
        <v>245</v>
      </c>
      <c r="B218" s="2" t="s">
        <v>5996</v>
      </c>
      <c r="C218" s="2" t="s">
        <v>823</v>
      </c>
      <c r="D218" s="2" t="s">
        <v>5997</v>
      </c>
      <c r="E218" s="2" t="s">
        <v>39</v>
      </c>
      <c r="F218" s="2"/>
      <c r="G218" s="2"/>
      <c r="H218" s="2"/>
      <c r="I218" s="3">
        <f t="shared" ref="I218:I249" si="7">LEN(D218)</f>
        <v>190</v>
      </c>
    </row>
    <row r="219" spans="1:9" x14ac:dyDescent="0.3">
      <c r="A219" s="2" t="s">
        <v>245</v>
      </c>
      <c r="B219" s="2" t="s">
        <v>2796</v>
      </c>
      <c r="C219" s="2" t="s">
        <v>178</v>
      </c>
      <c r="D219" s="2" t="s">
        <v>2797</v>
      </c>
      <c r="E219" s="2" t="s">
        <v>39</v>
      </c>
      <c r="F219" s="2"/>
      <c r="G219" s="2"/>
      <c r="H219" s="2"/>
      <c r="I219" s="3">
        <f t="shared" si="7"/>
        <v>87</v>
      </c>
    </row>
    <row r="220" spans="1:9" ht="96" x14ac:dyDescent="0.3">
      <c r="A220" s="2" t="s">
        <v>245</v>
      </c>
      <c r="B220" s="2" t="s">
        <v>8492</v>
      </c>
      <c r="C220" s="2" t="s">
        <v>6391</v>
      </c>
      <c r="D220" s="2" t="s">
        <v>9379</v>
      </c>
      <c r="E220" s="2" t="s">
        <v>734</v>
      </c>
      <c r="F220" s="2" t="s">
        <v>1778</v>
      </c>
      <c r="G220" s="2" t="s">
        <v>1717</v>
      </c>
      <c r="H220" s="2" t="s">
        <v>646</v>
      </c>
      <c r="I220" s="3">
        <f t="shared" si="7"/>
        <v>719</v>
      </c>
    </row>
    <row r="221" spans="1:9" x14ac:dyDescent="0.3">
      <c r="A221" s="2" t="s">
        <v>245</v>
      </c>
      <c r="B221" s="2" t="s">
        <v>874</v>
      </c>
      <c r="C221" s="2" t="s">
        <v>875</v>
      </c>
      <c r="D221" s="2" t="s">
        <v>876</v>
      </c>
      <c r="E221" s="2"/>
      <c r="F221" s="2"/>
      <c r="G221" s="2"/>
      <c r="H221" s="2"/>
      <c r="I221" s="3">
        <f t="shared" si="7"/>
        <v>52</v>
      </c>
    </row>
    <row r="222" spans="1:9" ht="24" x14ac:dyDescent="0.3">
      <c r="A222" s="2" t="s">
        <v>245</v>
      </c>
      <c r="B222" s="2" t="s">
        <v>4935</v>
      </c>
      <c r="C222" s="2" t="s">
        <v>1754</v>
      </c>
      <c r="D222" s="2" t="s">
        <v>4936</v>
      </c>
      <c r="E222" s="2"/>
      <c r="F222" s="2"/>
      <c r="G222" s="2"/>
      <c r="H222" s="2"/>
      <c r="I222" s="3">
        <f t="shared" si="7"/>
        <v>142</v>
      </c>
    </row>
    <row r="223" spans="1:9" ht="24" x14ac:dyDescent="0.3">
      <c r="A223" s="2" t="s">
        <v>245</v>
      </c>
      <c r="B223" s="2" t="s">
        <v>2442</v>
      </c>
      <c r="C223" s="2" t="s">
        <v>2054</v>
      </c>
      <c r="D223" s="2" t="s">
        <v>2443</v>
      </c>
      <c r="E223" s="2"/>
      <c r="F223" s="2"/>
      <c r="G223" s="2"/>
      <c r="H223" s="2"/>
      <c r="I223" s="3">
        <f t="shared" si="7"/>
        <v>81</v>
      </c>
    </row>
    <row r="224" spans="1:9" ht="48" x14ac:dyDescent="0.3">
      <c r="A224" s="2" t="s">
        <v>245</v>
      </c>
      <c r="B224" s="2" t="s">
        <v>7826</v>
      </c>
      <c r="C224" s="2" t="s">
        <v>1244</v>
      </c>
      <c r="D224" s="2" t="s">
        <v>7827</v>
      </c>
      <c r="E224" s="2" t="s">
        <v>39</v>
      </c>
      <c r="F224" s="2"/>
      <c r="G224" s="2"/>
      <c r="H224" s="2"/>
      <c r="I224" s="3">
        <f t="shared" si="7"/>
        <v>406</v>
      </c>
    </row>
    <row r="225" spans="1:9" x14ac:dyDescent="0.3">
      <c r="A225" s="2" t="s">
        <v>245</v>
      </c>
      <c r="B225" s="2" t="s">
        <v>1683</v>
      </c>
      <c r="C225" s="2" t="s">
        <v>1684</v>
      </c>
      <c r="D225" s="2" t="s">
        <v>1685</v>
      </c>
      <c r="E225" s="2"/>
      <c r="F225" s="2"/>
      <c r="G225" s="2"/>
      <c r="H225" s="2"/>
      <c r="I225" s="3">
        <f t="shared" si="7"/>
        <v>67</v>
      </c>
    </row>
    <row r="226" spans="1:9" ht="36" x14ac:dyDescent="0.3">
      <c r="A226" s="2" t="s">
        <v>245</v>
      </c>
      <c r="B226" s="2" t="s">
        <v>2603</v>
      </c>
      <c r="C226" s="2" t="s">
        <v>259</v>
      </c>
      <c r="D226" s="2" t="s">
        <v>6754</v>
      </c>
      <c r="E226" s="2"/>
      <c r="F226" s="2"/>
      <c r="G226" s="2"/>
      <c r="H226" s="2"/>
      <c r="I226" s="3">
        <f t="shared" si="7"/>
        <v>251</v>
      </c>
    </row>
    <row r="227" spans="1:9" ht="36" x14ac:dyDescent="0.3">
      <c r="A227" s="2" t="s">
        <v>245</v>
      </c>
      <c r="B227" s="2" t="s">
        <v>2603</v>
      </c>
      <c r="C227" s="2" t="s">
        <v>259</v>
      </c>
      <c r="D227" s="2" t="s">
        <v>6677</v>
      </c>
      <c r="E227" s="2"/>
      <c r="F227" s="2"/>
      <c r="G227" s="2"/>
      <c r="H227" s="2"/>
      <c r="I227" s="3">
        <f t="shared" si="7"/>
        <v>243</v>
      </c>
    </row>
    <row r="228" spans="1:9" x14ac:dyDescent="0.3">
      <c r="A228" s="2" t="s">
        <v>245</v>
      </c>
      <c r="B228" s="2" t="s">
        <v>258</v>
      </c>
      <c r="C228" s="2" t="s">
        <v>259</v>
      </c>
      <c r="D228" s="2" t="s">
        <v>260</v>
      </c>
      <c r="E228" s="2"/>
      <c r="F228" s="2"/>
      <c r="G228" s="2"/>
      <c r="H228" s="2"/>
      <c r="I228" s="3">
        <f t="shared" si="7"/>
        <v>29</v>
      </c>
    </row>
    <row r="229" spans="1:9" x14ac:dyDescent="0.3">
      <c r="A229" s="2" t="s">
        <v>245</v>
      </c>
      <c r="B229" s="2" t="s">
        <v>804</v>
      </c>
      <c r="C229" s="2" t="s">
        <v>222</v>
      </c>
      <c r="D229" s="2" t="s">
        <v>805</v>
      </c>
      <c r="E229" s="2" t="s">
        <v>39</v>
      </c>
      <c r="F229" s="2"/>
      <c r="G229" s="2"/>
      <c r="H229" s="2"/>
      <c r="I229" s="3">
        <f t="shared" si="7"/>
        <v>50</v>
      </c>
    </row>
    <row r="230" spans="1:9" ht="24" x14ac:dyDescent="0.3">
      <c r="A230" s="2" t="s">
        <v>245</v>
      </c>
      <c r="B230" s="2" t="s">
        <v>4183</v>
      </c>
      <c r="C230" s="2" t="s">
        <v>1178</v>
      </c>
      <c r="D230" s="2" t="s">
        <v>4184</v>
      </c>
      <c r="E230" s="2" t="s">
        <v>39</v>
      </c>
      <c r="F230" s="2"/>
      <c r="G230" s="2"/>
      <c r="H230" s="2"/>
      <c r="I230" s="3">
        <f t="shared" si="7"/>
        <v>119</v>
      </c>
    </row>
    <row r="231" spans="1:9" ht="24" x14ac:dyDescent="0.3">
      <c r="A231" s="2" t="s">
        <v>245</v>
      </c>
      <c r="B231" s="2" t="s">
        <v>6151</v>
      </c>
      <c r="C231" s="2" t="s">
        <v>1178</v>
      </c>
      <c r="D231" s="2" t="s">
        <v>6152</v>
      </c>
      <c r="E231" s="2" t="s">
        <v>39</v>
      </c>
      <c r="F231" s="2"/>
      <c r="G231" s="2"/>
      <c r="H231" s="2" t="s">
        <v>646</v>
      </c>
      <c r="I231" s="3">
        <f t="shared" si="7"/>
        <v>200</v>
      </c>
    </row>
    <row r="232" spans="1:9" ht="36" x14ac:dyDescent="0.3">
      <c r="A232" s="2" t="s">
        <v>245</v>
      </c>
      <c r="B232" s="2" t="s">
        <v>5290</v>
      </c>
      <c r="C232" s="2" t="s">
        <v>875</v>
      </c>
      <c r="D232" s="2" t="s">
        <v>6678</v>
      </c>
      <c r="E232" s="2"/>
      <c r="F232" s="2"/>
      <c r="G232" s="2"/>
      <c r="H232" s="2" t="s">
        <v>194</v>
      </c>
      <c r="I232" s="3">
        <f t="shared" si="7"/>
        <v>243</v>
      </c>
    </row>
    <row r="233" spans="1:9" ht="24" x14ac:dyDescent="0.3">
      <c r="A233" s="2" t="s">
        <v>245</v>
      </c>
      <c r="B233" s="2" t="s">
        <v>4643</v>
      </c>
      <c r="C233" s="2" t="s">
        <v>4325</v>
      </c>
      <c r="D233" s="2" t="s">
        <v>4644</v>
      </c>
      <c r="E233" s="2"/>
      <c r="F233" s="2"/>
      <c r="G233" s="2" t="s">
        <v>1717</v>
      </c>
      <c r="H233" s="2"/>
      <c r="I233" s="3">
        <f t="shared" si="7"/>
        <v>133</v>
      </c>
    </row>
    <row r="234" spans="1:9" ht="24" x14ac:dyDescent="0.3">
      <c r="A234" s="2" t="s">
        <v>245</v>
      </c>
      <c r="B234" s="2" t="s">
        <v>653</v>
      </c>
      <c r="C234" s="2" t="s">
        <v>222</v>
      </c>
      <c r="D234" s="2" t="s">
        <v>654</v>
      </c>
      <c r="E234" s="2"/>
      <c r="F234" s="2"/>
      <c r="G234" s="2"/>
      <c r="H234" s="2"/>
      <c r="I234" s="3">
        <f t="shared" si="7"/>
        <v>45</v>
      </c>
    </row>
    <row r="235" spans="1:9" x14ac:dyDescent="0.3">
      <c r="A235" s="2" t="s">
        <v>245</v>
      </c>
      <c r="B235" s="2" t="s">
        <v>308</v>
      </c>
      <c r="C235" s="2" t="s">
        <v>222</v>
      </c>
      <c r="D235" s="2" t="s">
        <v>1162</v>
      </c>
      <c r="E235" s="2"/>
      <c r="F235" s="2"/>
      <c r="G235" s="2"/>
      <c r="H235" s="2"/>
      <c r="I235" s="3">
        <f t="shared" si="7"/>
        <v>58</v>
      </c>
    </row>
    <row r="236" spans="1:9" ht="24" x14ac:dyDescent="0.3">
      <c r="A236" s="2" t="s">
        <v>245</v>
      </c>
      <c r="B236" s="2" t="s">
        <v>4645</v>
      </c>
      <c r="C236" s="2" t="s">
        <v>4646</v>
      </c>
      <c r="D236" s="2" t="s">
        <v>4647</v>
      </c>
      <c r="E236" s="2"/>
      <c r="F236" s="2"/>
      <c r="G236" s="2"/>
      <c r="H236" s="2"/>
      <c r="I236" s="3">
        <f t="shared" si="7"/>
        <v>133</v>
      </c>
    </row>
    <row r="237" spans="1:9" x14ac:dyDescent="0.3">
      <c r="A237" s="2" t="s">
        <v>245</v>
      </c>
      <c r="B237" s="2" t="s">
        <v>246</v>
      </c>
      <c r="C237" s="2" t="s">
        <v>247</v>
      </c>
      <c r="D237" s="2" t="s">
        <v>806</v>
      </c>
      <c r="E237" s="2" t="s">
        <v>39</v>
      </c>
      <c r="F237" s="2"/>
      <c r="G237" s="2"/>
      <c r="H237" s="2"/>
      <c r="I237" s="3">
        <f t="shared" si="7"/>
        <v>50</v>
      </c>
    </row>
    <row r="238" spans="1:9" x14ac:dyDescent="0.3">
      <c r="A238" s="2" t="s">
        <v>245</v>
      </c>
      <c r="B238" s="2" t="s">
        <v>246</v>
      </c>
      <c r="C238" s="2" t="s">
        <v>247</v>
      </c>
      <c r="D238" s="2" t="s">
        <v>248</v>
      </c>
      <c r="E238" s="2"/>
      <c r="F238" s="2"/>
      <c r="G238" s="2"/>
      <c r="H238" s="2"/>
      <c r="I238" s="3">
        <f t="shared" si="7"/>
        <v>28</v>
      </c>
    </row>
    <row r="239" spans="1:9" ht="48" x14ac:dyDescent="0.3">
      <c r="A239" s="2" t="s">
        <v>245</v>
      </c>
      <c r="B239" s="2" t="s">
        <v>7677</v>
      </c>
      <c r="C239" s="2" t="s">
        <v>1754</v>
      </c>
      <c r="D239" s="2" t="s">
        <v>7678</v>
      </c>
      <c r="E239" s="2" t="s">
        <v>39</v>
      </c>
      <c r="F239" s="2"/>
      <c r="G239" s="2"/>
      <c r="H239" s="2"/>
      <c r="I239" s="3">
        <f t="shared" si="7"/>
        <v>371</v>
      </c>
    </row>
    <row r="240" spans="1:9" ht="24" x14ac:dyDescent="0.3">
      <c r="A240" s="2" t="s">
        <v>245</v>
      </c>
      <c r="B240" s="2" t="s">
        <v>3769</v>
      </c>
      <c r="C240" s="2" t="s">
        <v>259</v>
      </c>
      <c r="D240" s="2" t="s">
        <v>3770</v>
      </c>
      <c r="E240" s="2"/>
      <c r="F240" s="2"/>
      <c r="G240" s="2" t="s">
        <v>1717</v>
      </c>
      <c r="H240" s="2"/>
      <c r="I240" s="3">
        <f t="shared" si="7"/>
        <v>108</v>
      </c>
    </row>
    <row r="241" spans="1:9" x14ac:dyDescent="0.3">
      <c r="A241" s="2" t="s">
        <v>245</v>
      </c>
      <c r="B241" s="2" t="s">
        <v>1867</v>
      </c>
      <c r="C241" s="2" t="s">
        <v>259</v>
      </c>
      <c r="D241" s="2" t="s">
        <v>1868</v>
      </c>
      <c r="E241" s="2"/>
      <c r="F241" s="2"/>
      <c r="G241" s="2"/>
      <c r="H241" s="2"/>
      <c r="I241" s="3">
        <f t="shared" si="7"/>
        <v>70</v>
      </c>
    </row>
    <row r="242" spans="1:9" x14ac:dyDescent="0.3">
      <c r="A242" s="2" t="s">
        <v>245</v>
      </c>
      <c r="B242" s="2" t="s">
        <v>2571</v>
      </c>
      <c r="C242" s="2" t="s">
        <v>2572</v>
      </c>
      <c r="D242" s="2" t="s">
        <v>2573</v>
      </c>
      <c r="E242" s="2"/>
      <c r="F242" s="2"/>
      <c r="G242" s="2"/>
      <c r="H242" s="2"/>
      <c r="I242" s="3">
        <f t="shared" si="7"/>
        <v>83</v>
      </c>
    </row>
    <row r="243" spans="1:9" x14ac:dyDescent="0.3">
      <c r="A243" s="2" t="s">
        <v>245</v>
      </c>
      <c r="B243" s="2" t="s">
        <v>2214</v>
      </c>
      <c r="C243" s="2" t="s">
        <v>1178</v>
      </c>
      <c r="D243" s="2" t="s">
        <v>2215</v>
      </c>
      <c r="E243" s="2" t="s">
        <v>39</v>
      </c>
      <c r="F243" s="2"/>
      <c r="G243" s="2"/>
      <c r="H243" s="2"/>
      <c r="I243" s="3">
        <f t="shared" si="7"/>
        <v>76</v>
      </c>
    </row>
    <row r="244" spans="1:9" x14ac:dyDescent="0.3">
      <c r="A244" s="2" t="s">
        <v>245</v>
      </c>
      <c r="B244" s="2" t="s">
        <v>2975</v>
      </c>
      <c r="C244" s="2" t="s">
        <v>860</v>
      </c>
      <c r="D244" s="2" t="s">
        <v>2976</v>
      </c>
      <c r="E244" s="2" t="s">
        <v>39</v>
      </c>
      <c r="F244" s="2"/>
      <c r="G244" s="2"/>
      <c r="H244" s="2"/>
      <c r="I244" s="3">
        <f t="shared" si="7"/>
        <v>90</v>
      </c>
    </row>
    <row r="245" spans="1:9" x14ac:dyDescent="0.3">
      <c r="A245" s="2" t="s">
        <v>245</v>
      </c>
      <c r="B245" s="2" t="s">
        <v>262</v>
      </c>
      <c r="C245" s="2" t="s">
        <v>263</v>
      </c>
      <c r="D245" s="2" t="s">
        <v>264</v>
      </c>
      <c r="E245" s="2"/>
      <c r="F245" s="2"/>
      <c r="G245" s="2"/>
      <c r="H245" s="2"/>
      <c r="I245" s="3">
        <f t="shared" si="7"/>
        <v>29</v>
      </c>
    </row>
    <row r="246" spans="1:9" x14ac:dyDescent="0.3">
      <c r="A246" s="2" t="s">
        <v>245</v>
      </c>
      <c r="B246" s="2" t="s">
        <v>336</v>
      </c>
      <c r="C246" s="2" t="s">
        <v>337</v>
      </c>
      <c r="D246" s="2" t="s">
        <v>338</v>
      </c>
      <c r="E246" s="2"/>
      <c r="F246" s="2"/>
      <c r="G246" s="2"/>
      <c r="H246" s="2"/>
      <c r="I246" s="3">
        <f t="shared" si="7"/>
        <v>33</v>
      </c>
    </row>
    <row r="247" spans="1:9" x14ac:dyDescent="0.3">
      <c r="A247" s="2" t="s">
        <v>245</v>
      </c>
      <c r="B247" s="2" t="s">
        <v>1974</v>
      </c>
      <c r="C247" s="2" t="s">
        <v>178</v>
      </c>
      <c r="D247" s="2" t="s">
        <v>2977</v>
      </c>
      <c r="E247" s="2" t="s">
        <v>39</v>
      </c>
      <c r="F247" s="2"/>
      <c r="G247" s="2"/>
      <c r="H247" s="2"/>
      <c r="I247" s="3">
        <f t="shared" si="7"/>
        <v>90</v>
      </c>
    </row>
    <row r="248" spans="1:9" x14ac:dyDescent="0.3">
      <c r="A248" s="2" t="s">
        <v>245</v>
      </c>
      <c r="B248" s="2" t="s">
        <v>1974</v>
      </c>
      <c r="C248" s="2" t="s">
        <v>178</v>
      </c>
      <c r="D248" s="2" t="s">
        <v>1975</v>
      </c>
      <c r="E248" s="2" t="s">
        <v>39</v>
      </c>
      <c r="F248" s="2"/>
      <c r="G248" s="2"/>
      <c r="H248" s="2"/>
      <c r="I248" s="3">
        <f t="shared" si="7"/>
        <v>72</v>
      </c>
    </row>
    <row r="249" spans="1:9" x14ac:dyDescent="0.3">
      <c r="A249" s="2" t="s">
        <v>245</v>
      </c>
      <c r="B249" s="2" t="s">
        <v>2304</v>
      </c>
      <c r="C249" s="2" t="s">
        <v>342</v>
      </c>
      <c r="D249" s="2" t="s">
        <v>2305</v>
      </c>
      <c r="E249" s="2"/>
      <c r="F249" s="2"/>
      <c r="G249" s="2"/>
      <c r="H249" s="2"/>
      <c r="I249" s="3">
        <f t="shared" si="7"/>
        <v>78</v>
      </c>
    </row>
    <row r="250" spans="1:9" x14ac:dyDescent="0.3">
      <c r="A250" s="2" t="s">
        <v>245</v>
      </c>
      <c r="B250" s="2" t="s">
        <v>3017</v>
      </c>
      <c r="C250" s="2" t="s">
        <v>3018</v>
      </c>
      <c r="D250" s="2" t="s">
        <v>3019</v>
      </c>
      <c r="E250" s="2"/>
      <c r="F250" s="2"/>
      <c r="G250" s="2"/>
      <c r="H250" s="2"/>
      <c r="I250" s="3">
        <f t="shared" ref="I250:I281" si="8">LEN(D250)</f>
        <v>91</v>
      </c>
    </row>
    <row r="251" spans="1:9" ht="36" x14ac:dyDescent="0.3">
      <c r="A251" s="2" t="s">
        <v>245</v>
      </c>
      <c r="B251" s="2" t="s">
        <v>6288</v>
      </c>
      <c r="C251" s="2" t="s">
        <v>4161</v>
      </c>
      <c r="D251" s="2" t="s">
        <v>6289</v>
      </c>
      <c r="E251" s="2"/>
      <c r="F251" s="2"/>
      <c r="G251" s="2" t="s">
        <v>1717</v>
      </c>
      <c r="H251" s="2" t="s">
        <v>646</v>
      </c>
      <c r="I251" s="3">
        <f t="shared" si="8"/>
        <v>210</v>
      </c>
    </row>
    <row r="252" spans="1:9" x14ac:dyDescent="0.3">
      <c r="A252" s="2" t="s">
        <v>245</v>
      </c>
      <c r="B252" s="2" t="s">
        <v>1292</v>
      </c>
      <c r="C252" s="2" t="s">
        <v>1293</v>
      </c>
      <c r="D252" s="2" t="s">
        <v>2510</v>
      </c>
      <c r="E252" s="2"/>
      <c r="F252" s="2"/>
      <c r="G252" s="2"/>
      <c r="H252" s="2"/>
      <c r="I252" s="3">
        <f t="shared" si="8"/>
        <v>82</v>
      </c>
    </row>
    <row r="253" spans="1:9" ht="24" x14ac:dyDescent="0.3">
      <c r="A253" s="2" t="s">
        <v>245</v>
      </c>
      <c r="B253" s="2" t="s">
        <v>5086</v>
      </c>
      <c r="C253" s="2" t="s">
        <v>5087</v>
      </c>
      <c r="D253" s="2" t="s">
        <v>9380</v>
      </c>
      <c r="E253" s="2"/>
      <c r="F253" s="2" t="s">
        <v>1778</v>
      </c>
      <c r="G253" s="2" t="s">
        <v>1717</v>
      </c>
      <c r="H253" s="2" t="s">
        <v>646</v>
      </c>
      <c r="I253" s="3">
        <f t="shared" si="8"/>
        <v>145</v>
      </c>
    </row>
    <row r="254" spans="1:9" ht="24" x14ac:dyDescent="0.3">
      <c r="A254" s="2" t="s">
        <v>245</v>
      </c>
      <c r="B254" s="2" t="s">
        <v>3771</v>
      </c>
      <c r="C254" s="2" t="s">
        <v>1639</v>
      </c>
      <c r="D254" s="2" t="s">
        <v>3772</v>
      </c>
      <c r="E254" s="2" t="s">
        <v>3773</v>
      </c>
      <c r="F254" s="2"/>
      <c r="G254" s="2"/>
      <c r="H254" s="2"/>
      <c r="I254" s="3">
        <f t="shared" si="8"/>
        <v>108</v>
      </c>
    </row>
    <row r="255" spans="1:9" x14ac:dyDescent="0.3">
      <c r="A255" s="2" t="s">
        <v>245</v>
      </c>
      <c r="B255" s="2" t="s">
        <v>3375</v>
      </c>
      <c r="C255" s="2" t="s">
        <v>461</v>
      </c>
      <c r="D255" s="2" t="s">
        <v>3376</v>
      </c>
      <c r="E255" s="2" t="s">
        <v>39</v>
      </c>
      <c r="F255" s="2"/>
      <c r="G255" s="2"/>
      <c r="H255" s="2" t="s">
        <v>216</v>
      </c>
      <c r="I255" s="3">
        <f t="shared" si="8"/>
        <v>99</v>
      </c>
    </row>
    <row r="256" spans="1:9" ht="48" x14ac:dyDescent="0.3">
      <c r="A256" s="2" t="s">
        <v>245</v>
      </c>
      <c r="B256" s="2" t="s">
        <v>7404</v>
      </c>
      <c r="C256" s="2" t="s">
        <v>7405</v>
      </c>
      <c r="D256" s="2" t="s">
        <v>7406</v>
      </c>
      <c r="E256" s="2" t="s">
        <v>7407</v>
      </c>
      <c r="F256" s="2"/>
      <c r="G256" s="2"/>
      <c r="H256" s="2" t="s">
        <v>1644</v>
      </c>
      <c r="I256" s="3">
        <f t="shared" si="8"/>
        <v>325</v>
      </c>
    </row>
    <row r="257" spans="1:9" x14ac:dyDescent="0.3">
      <c r="A257" s="2" t="s">
        <v>245</v>
      </c>
      <c r="B257" s="2" t="s">
        <v>3507</v>
      </c>
      <c r="C257" s="2" t="s">
        <v>823</v>
      </c>
      <c r="D257" s="2" t="s">
        <v>3508</v>
      </c>
      <c r="E257" s="2"/>
      <c r="F257" s="2"/>
      <c r="G257" s="2"/>
      <c r="H257" s="2"/>
      <c r="I257" s="3">
        <f t="shared" si="8"/>
        <v>102</v>
      </c>
    </row>
    <row r="258" spans="1:9" ht="24" x14ac:dyDescent="0.3">
      <c r="A258" s="2" t="s">
        <v>245</v>
      </c>
      <c r="B258" s="2" t="s">
        <v>4071</v>
      </c>
      <c r="C258" s="2" t="s">
        <v>823</v>
      </c>
      <c r="D258" s="2" t="s">
        <v>4072</v>
      </c>
      <c r="E258" s="2"/>
      <c r="F258" s="2"/>
      <c r="G258" s="2"/>
      <c r="H258" s="2"/>
      <c r="I258" s="3">
        <f t="shared" si="8"/>
        <v>116</v>
      </c>
    </row>
    <row r="259" spans="1:9" x14ac:dyDescent="0.3">
      <c r="A259" s="2" t="s">
        <v>245</v>
      </c>
      <c r="B259" s="2" t="s">
        <v>2681</v>
      </c>
      <c r="C259" s="2" t="s">
        <v>247</v>
      </c>
      <c r="D259" s="2" t="s">
        <v>2682</v>
      </c>
      <c r="E259" s="2" t="s">
        <v>39</v>
      </c>
      <c r="F259" s="2"/>
      <c r="G259" s="2"/>
      <c r="H259" s="2"/>
      <c r="I259" s="3">
        <f t="shared" si="8"/>
        <v>85</v>
      </c>
    </row>
    <row r="260" spans="1:9" ht="36" x14ac:dyDescent="0.3">
      <c r="A260" s="2" t="s">
        <v>245</v>
      </c>
      <c r="B260" s="2" t="s">
        <v>7151</v>
      </c>
      <c r="C260" s="2" t="s">
        <v>4674</v>
      </c>
      <c r="D260" s="2" t="s">
        <v>9381</v>
      </c>
      <c r="E260" s="2" t="s">
        <v>39</v>
      </c>
      <c r="F260" s="2" t="s">
        <v>2281</v>
      </c>
      <c r="G260" s="2" t="s">
        <v>1717</v>
      </c>
      <c r="H260" s="2"/>
      <c r="I260" s="3">
        <f t="shared" si="8"/>
        <v>291</v>
      </c>
    </row>
    <row r="261" spans="1:9" ht="24" x14ac:dyDescent="0.3">
      <c r="A261" s="2" t="s">
        <v>245</v>
      </c>
      <c r="B261" s="2" t="s">
        <v>2518</v>
      </c>
      <c r="C261" s="2" t="s">
        <v>2572</v>
      </c>
      <c r="D261" s="2" t="s">
        <v>3639</v>
      </c>
      <c r="E261" s="2" t="s">
        <v>39</v>
      </c>
      <c r="F261" s="2"/>
      <c r="G261" s="2"/>
      <c r="H261" s="2"/>
      <c r="I261" s="3">
        <f t="shared" si="8"/>
        <v>105</v>
      </c>
    </row>
    <row r="262" spans="1:9" ht="72" x14ac:dyDescent="0.3">
      <c r="A262" s="2" t="s">
        <v>245</v>
      </c>
      <c r="B262" s="2" t="s">
        <v>8201</v>
      </c>
      <c r="C262" s="2" t="s">
        <v>6391</v>
      </c>
      <c r="D262" s="2" t="s">
        <v>9382</v>
      </c>
      <c r="E262" s="2" t="s">
        <v>8202</v>
      </c>
      <c r="F262" s="2" t="s">
        <v>1778</v>
      </c>
      <c r="G262" s="2" t="s">
        <v>1717</v>
      </c>
      <c r="H262" s="2" t="s">
        <v>194</v>
      </c>
      <c r="I262" s="3">
        <f t="shared" si="8"/>
        <v>524</v>
      </c>
    </row>
    <row r="263" spans="1:9" ht="24" x14ac:dyDescent="0.3">
      <c r="A263" s="2" t="s">
        <v>245</v>
      </c>
      <c r="B263" s="2" t="s">
        <v>323</v>
      </c>
      <c r="C263" s="2" t="s">
        <v>875</v>
      </c>
      <c r="D263" s="2" t="s">
        <v>4223</v>
      </c>
      <c r="E263" s="2" t="s">
        <v>4224</v>
      </c>
      <c r="F263" s="2"/>
      <c r="G263" s="2"/>
      <c r="H263" s="2"/>
      <c r="I263" s="3">
        <f t="shared" si="8"/>
        <v>120</v>
      </c>
    </row>
    <row r="264" spans="1:9" ht="24" x14ac:dyDescent="0.3">
      <c r="A264" s="2" t="s">
        <v>245</v>
      </c>
      <c r="B264" s="2" t="s">
        <v>4536</v>
      </c>
      <c r="C264" s="2" t="s">
        <v>4161</v>
      </c>
      <c r="D264" s="2" t="s">
        <v>4537</v>
      </c>
      <c r="E264" s="2"/>
      <c r="F264" s="2"/>
      <c r="G264" s="2"/>
      <c r="H264" s="2"/>
      <c r="I264" s="3">
        <f t="shared" si="8"/>
        <v>129</v>
      </c>
    </row>
    <row r="265" spans="1:9" ht="24" x14ac:dyDescent="0.3">
      <c r="A265" s="2" t="s">
        <v>245</v>
      </c>
      <c r="B265" s="2" t="s">
        <v>4009</v>
      </c>
      <c r="C265" s="2" t="s">
        <v>1371</v>
      </c>
      <c r="D265" s="2" t="s">
        <v>4010</v>
      </c>
      <c r="E265" s="2"/>
      <c r="F265" s="2"/>
      <c r="G265" s="2"/>
      <c r="H265" s="2"/>
      <c r="I265" s="3">
        <f t="shared" si="8"/>
        <v>114</v>
      </c>
    </row>
    <row r="266" spans="1:9" x14ac:dyDescent="0.3">
      <c r="A266" s="2" t="s">
        <v>245</v>
      </c>
      <c r="B266" s="2" t="s">
        <v>2744</v>
      </c>
      <c r="C266" s="2" t="s">
        <v>1371</v>
      </c>
      <c r="D266" s="2" t="s">
        <v>2745</v>
      </c>
      <c r="E266" s="2"/>
      <c r="F266" s="2"/>
      <c r="G266" s="2"/>
      <c r="H266" s="2"/>
      <c r="I266" s="3">
        <f t="shared" si="8"/>
        <v>86</v>
      </c>
    </row>
    <row r="267" spans="1:9" ht="24" x14ac:dyDescent="0.3">
      <c r="A267" s="2" t="s">
        <v>245</v>
      </c>
      <c r="B267" s="2" t="s">
        <v>830</v>
      </c>
      <c r="C267" s="2" t="s">
        <v>1371</v>
      </c>
      <c r="D267" s="2" t="s">
        <v>3640</v>
      </c>
      <c r="E267" s="2"/>
      <c r="F267" s="2"/>
      <c r="G267" s="2"/>
      <c r="H267" s="2"/>
      <c r="I267" s="3">
        <f t="shared" si="8"/>
        <v>105</v>
      </c>
    </row>
    <row r="268" spans="1:9" ht="24" x14ac:dyDescent="0.3">
      <c r="A268" s="2" t="s">
        <v>245</v>
      </c>
      <c r="B268" s="2" t="s">
        <v>2721</v>
      </c>
      <c r="C268" s="2" t="s">
        <v>4161</v>
      </c>
      <c r="D268" s="2" t="s">
        <v>4648</v>
      </c>
      <c r="E268" s="2"/>
      <c r="F268" s="2"/>
      <c r="G268" s="2"/>
      <c r="H268" s="2"/>
      <c r="I268" s="3">
        <f t="shared" si="8"/>
        <v>133</v>
      </c>
    </row>
    <row r="269" spans="1:9" ht="24" x14ac:dyDescent="0.3">
      <c r="A269" s="2" t="s">
        <v>245</v>
      </c>
      <c r="B269" s="2" t="s">
        <v>642</v>
      </c>
      <c r="C269" s="2" t="s">
        <v>1371</v>
      </c>
      <c r="D269" s="2" t="s">
        <v>4150</v>
      </c>
      <c r="E269" s="2"/>
      <c r="F269" s="2"/>
      <c r="G269" s="2"/>
      <c r="H269" s="2"/>
      <c r="I269" s="3">
        <f t="shared" si="8"/>
        <v>118</v>
      </c>
    </row>
    <row r="270" spans="1:9" x14ac:dyDescent="0.3">
      <c r="A270" s="2" t="s">
        <v>245</v>
      </c>
      <c r="B270" s="2" t="s">
        <v>2921</v>
      </c>
      <c r="C270" s="2" t="s">
        <v>1371</v>
      </c>
      <c r="D270" s="2" t="s">
        <v>2922</v>
      </c>
      <c r="E270" s="2"/>
      <c r="F270" s="2"/>
      <c r="G270" s="2"/>
      <c r="H270" s="2"/>
      <c r="I270" s="3">
        <f t="shared" si="8"/>
        <v>89</v>
      </c>
    </row>
    <row r="271" spans="1:9" x14ac:dyDescent="0.3">
      <c r="A271" s="2" t="s">
        <v>245</v>
      </c>
      <c r="B271" s="2" t="s">
        <v>1690</v>
      </c>
      <c r="C271" s="2" t="s">
        <v>875</v>
      </c>
      <c r="D271" s="2" t="s">
        <v>1691</v>
      </c>
      <c r="E271" s="2" t="s">
        <v>1692</v>
      </c>
      <c r="F271" s="2"/>
      <c r="G271" s="2"/>
      <c r="H271" s="2"/>
      <c r="I271" s="3">
        <f t="shared" si="8"/>
        <v>67</v>
      </c>
    </row>
    <row r="272" spans="1:9" x14ac:dyDescent="0.3">
      <c r="A272" s="2" t="s">
        <v>245</v>
      </c>
      <c r="B272" s="2" t="s">
        <v>1574</v>
      </c>
      <c r="C272" s="2" t="s">
        <v>1575</v>
      </c>
      <c r="D272" s="2" t="s">
        <v>1576</v>
      </c>
      <c r="E272" s="2" t="s">
        <v>39</v>
      </c>
      <c r="F272" s="2"/>
      <c r="G272" s="2"/>
      <c r="H272" s="2"/>
      <c r="I272" s="3">
        <f t="shared" si="8"/>
        <v>65</v>
      </c>
    </row>
    <row r="273" spans="1:9" ht="48" x14ac:dyDescent="0.3">
      <c r="A273" s="2" t="s">
        <v>245</v>
      </c>
      <c r="B273" s="2" t="s">
        <v>7439</v>
      </c>
      <c r="C273" s="2" t="s">
        <v>268</v>
      </c>
      <c r="D273" s="2" t="s">
        <v>9383</v>
      </c>
      <c r="E273" s="2" t="s">
        <v>39</v>
      </c>
      <c r="F273" s="2" t="s">
        <v>2281</v>
      </c>
      <c r="G273" s="2" t="s">
        <v>1717</v>
      </c>
      <c r="H273" s="2"/>
      <c r="I273" s="3">
        <f t="shared" si="8"/>
        <v>327</v>
      </c>
    </row>
    <row r="274" spans="1:9" ht="24" x14ac:dyDescent="0.3">
      <c r="A274" s="2" t="s">
        <v>245</v>
      </c>
      <c r="B274" s="2" t="s">
        <v>2260</v>
      </c>
      <c r="C274" s="2" t="s">
        <v>186</v>
      </c>
      <c r="D274" s="2" t="s">
        <v>8719</v>
      </c>
      <c r="E274" s="2" t="s">
        <v>556</v>
      </c>
      <c r="F274" s="2"/>
      <c r="G274" s="2"/>
      <c r="H274" s="2"/>
      <c r="I274" s="3">
        <f t="shared" si="8"/>
        <v>77</v>
      </c>
    </row>
    <row r="275" spans="1:9" ht="48" x14ac:dyDescent="0.3">
      <c r="A275" s="2" t="s">
        <v>245</v>
      </c>
      <c r="B275" s="2" t="s">
        <v>7551</v>
      </c>
      <c r="C275" s="2" t="s">
        <v>860</v>
      </c>
      <c r="D275" s="2" t="s">
        <v>9384</v>
      </c>
      <c r="E275" s="2" t="s">
        <v>39</v>
      </c>
      <c r="F275" s="2" t="s">
        <v>2281</v>
      </c>
      <c r="G275" s="2" t="s">
        <v>1717</v>
      </c>
      <c r="H275" s="2" t="s">
        <v>646</v>
      </c>
      <c r="I275" s="3">
        <f t="shared" si="8"/>
        <v>347</v>
      </c>
    </row>
    <row r="276" spans="1:9" ht="24" x14ac:dyDescent="0.3">
      <c r="A276" s="2" t="s">
        <v>245</v>
      </c>
      <c r="B276" s="2" t="s">
        <v>3782</v>
      </c>
      <c r="C276" s="2" t="s">
        <v>6019</v>
      </c>
      <c r="D276" s="2" t="s">
        <v>6020</v>
      </c>
      <c r="E276" s="2" t="s">
        <v>5017</v>
      </c>
      <c r="F276" s="2"/>
      <c r="G276" s="2"/>
      <c r="H276" s="2" t="s">
        <v>86</v>
      </c>
      <c r="I276" s="3">
        <f t="shared" si="8"/>
        <v>191</v>
      </c>
    </row>
    <row r="277" spans="1:9" x14ac:dyDescent="0.3">
      <c r="A277" s="2" t="s">
        <v>245</v>
      </c>
      <c r="B277" s="2" t="s">
        <v>2458</v>
      </c>
      <c r="C277" s="2" t="s">
        <v>1639</v>
      </c>
      <c r="D277" s="2" t="s">
        <v>2459</v>
      </c>
      <c r="E277" s="2"/>
      <c r="F277" s="2"/>
      <c r="G277" s="2"/>
      <c r="H277" s="2"/>
      <c r="I277" s="3">
        <f t="shared" si="8"/>
        <v>81</v>
      </c>
    </row>
    <row r="278" spans="1:9" ht="60" x14ac:dyDescent="0.3">
      <c r="A278" s="2" t="s">
        <v>245</v>
      </c>
      <c r="B278" s="2" t="s">
        <v>3395</v>
      </c>
      <c r="C278" s="2" t="s">
        <v>7907</v>
      </c>
      <c r="D278" s="2" t="s">
        <v>9385</v>
      </c>
      <c r="E278" s="2" t="s">
        <v>242</v>
      </c>
      <c r="F278" s="2" t="s">
        <v>2281</v>
      </c>
      <c r="G278" s="2" t="s">
        <v>1717</v>
      </c>
      <c r="H278" s="2" t="s">
        <v>898</v>
      </c>
      <c r="I278" s="3">
        <f t="shared" si="8"/>
        <v>424</v>
      </c>
    </row>
    <row r="279" spans="1:9" ht="36" x14ac:dyDescent="0.3">
      <c r="A279" s="2" t="s">
        <v>245</v>
      </c>
      <c r="B279" s="2" t="s">
        <v>6852</v>
      </c>
      <c r="C279" s="2" t="s">
        <v>6853</v>
      </c>
      <c r="D279" s="2" t="s">
        <v>9386</v>
      </c>
      <c r="E279" s="2" t="s">
        <v>211</v>
      </c>
      <c r="F279" s="2" t="s">
        <v>1778</v>
      </c>
      <c r="G279" s="2" t="s">
        <v>1717</v>
      </c>
      <c r="H279" s="2" t="s">
        <v>898</v>
      </c>
      <c r="I279" s="3">
        <f t="shared" si="8"/>
        <v>256</v>
      </c>
    </row>
    <row r="280" spans="1:9" ht="24" x14ac:dyDescent="0.3">
      <c r="A280" s="2" t="s">
        <v>245</v>
      </c>
      <c r="B280" s="2" t="s">
        <v>5427</v>
      </c>
      <c r="C280" s="2" t="s">
        <v>5155</v>
      </c>
      <c r="D280" s="2" t="s">
        <v>5428</v>
      </c>
      <c r="E280" s="2" t="s">
        <v>211</v>
      </c>
      <c r="F280" s="2"/>
      <c r="G280" s="2"/>
      <c r="H280" s="2" t="s">
        <v>898</v>
      </c>
      <c r="I280" s="3">
        <f t="shared" si="8"/>
        <v>160</v>
      </c>
    </row>
    <row r="281" spans="1:9" ht="24" x14ac:dyDescent="0.3">
      <c r="A281" s="2" t="s">
        <v>245</v>
      </c>
      <c r="B281" s="2" t="s">
        <v>5154</v>
      </c>
      <c r="C281" s="2" t="s">
        <v>5155</v>
      </c>
      <c r="D281" s="2" t="s">
        <v>5156</v>
      </c>
      <c r="E281" s="2" t="s">
        <v>2693</v>
      </c>
      <c r="F281" s="2"/>
      <c r="G281" s="2"/>
      <c r="H281" s="2" t="s">
        <v>898</v>
      </c>
      <c r="I281" s="3">
        <f t="shared" si="8"/>
        <v>149</v>
      </c>
    </row>
    <row r="282" spans="1:9" ht="24" x14ac:dyDescent="0.3">
      <c r="A282" s="2" t="s">
        <v>245</v>
      </c>
      <c r="B282" s="2" t="s">
        <v>5290</v>
      </c>
      <c r="C282" s="2" t="s">
        <v>1639</v>
      </c>
      <c r="D282" s="2" t="s">
        <v>5291</v>
      </c>
      <c r="E282" s="2"/>
      <c r="F282" s="2"/>
      <c r="G282" s="2"/>
      <c r="H282" s="2" t="s">
        <v>1176</v>
      </c>
      <c r="I282" s="3">
        <f t="shared" ref="I282:I306" si="9">LEN(D282)</f>
        <v>154</v>
      </c>
    </row>
    <row r="283" spans="1:9" ht="24" x14ac:dyDescent="0.3">
      <c r="A283" s="2" t="s">
        <v>245</v>
      </c>
      <c r="B283" s="2" t="s">
        <v>4673</v>
      </c>
      <c r="C283" s="2" t="s">
        <v>4674</v>
      </c>
      <c r="D283" s="2" t="s">
        <v>4675</v>
      </c>
      <c r="E283" s="2" t="s">
        <v>39</v>
      </c>
      <c r="F283" s="2"/>
      <c r="G283" s="2"/>
      <c r="H283" s="2"/>
      <c r="I283" s="3">
        <f t="shared" si="9"/>
        <v>134</v>
      </c>
    </row>
    <row r="284" spans="1:9" x14ac:dyDescent="0.3">
      <c r="A284" s="2" t="s">
        <v>245</v>
      </c>
      <c r="B284" s="2" t="s">
        <v>2810</v>
      </c>
      <c r="C284" s="2" t="s">
        <v>2811</v>
      </c>
      <c r="D284" s="2" t="s">
        <v>2812</v>
      </c>
      <c r="E284" s="2"/>
      <c r="F284" s="2"/>
      <c r="G284" s="2"/>
      <c r="H284" s="2"/>
      <c r="I284" s="3">
        <f t="shared" si="9"/>
        <v>87</v>
      </c>
    </row>
    <row r="285" spans="1:9" ht="24" x14ac:dyDescent="0.3">
      <c r="A285" s="2" t="s">
        <v>245</v>
      </c>
      <c r="B285" s="2" t="s">
        <v>4387</v>
      </c>
      <c r="C285" s="2" t="s">
        <v>1244</v>
      </c>
      <c r="D285" s="2" t="s">
        <v>4388</v>
      </c>
      <c r="E285" s="2" t="s">
        <v>39</v>
      </c>
      <c r="F285" s="2"/>
      <c r="G285" s="2"/>
      <c r="H285" s="2"/>
      <c r="I285" s="3">
        <f t="shared" si="9"/>
        <v>125</v>
      </c>
    </row>
    <row r="286" spans="1:9" x14ac:dyDescent="0.3">
      <c r="A286" s="2" t="s">
        <v>245</v>
      </c>
      <c r="B286" s="2" t="s">
        <v>3509</v>
      </c>
      <c r="C286" s="2" t="s">
        <v>3510</v>
      </c>
      <c r="D286" s="2" t="s">
        <v>3511</v>
      </c>
      <c r="E286" s="2" t="s">
        <v>39</v>
      </c>
      <c r="F286" s="2"/>
      <c r="G286" s="2"/>
      <c r="H286" s="2"/>
      <c r="I286" s="3">
        <f t="shared" si="9"/>
        <v>102</v>
      </c>
    </row>
    <row r="287" spans="1:9" x14ac:dyDescent="0.3">
      <c r="A287" s="2" t="s">
        <v>245</v>
      </c>
      <c r="B287" s="2" t="s">
        <v>1804</v>
      </c>
      <c r="C287" s="2" t="s">
        <v>1805</v>
      </c>
      <c r="D287" s="2" t="s">
        <v>1806</v>
      </c>
      <c r="E287" s="2" t="s">
        <v>39</v>
      </c>
      <c r="F287" s="2"/>
      <c r="G287" s="2"/>
      <c r="H287" s="2"/>
      <c r="I287" s="3">
        <f t="shared" si="9"/>
        <v>69</v>
      </c>
    </row>
    <row r="288" spans="1:9" ht="24" x14ac:dyDescent="0.3">
      <c r="A288" s="2" t="s">
        <v>245</v>
      </c>
      <c r="B288" s="2" t="s">
        <v>5018</v>
      </c>
      <c r="C288" s="2" t="s">
        <v>1178</v>
      </c>
      <c r="D288" s="2" t="s">
        <v>5955</v>
      </c>
      <c r="E288" s="2" t="s">
        <v>39</v>
      </c>
      <c r="F288" s="2"/>
      <c r="G288" s="2"/>
      <c r="H288" s="2"/>
      <c r="I288" s="3">
        <f t="shared" si="9"/>
        <v>187</v>
      </c>
    </row>
    <row r="289" spans="1:9" ht="36" x14ac:dyDescent="0.3">
      <c r="A289" s="2" t="s">
        <v>245</v>
      </c>
      <c r="B289" s="2" t="s">
        <v>5614</v>
      </c>
      <c r="C289" s="2" t="s">
        <v>1178</v>
      </c>
      <c r="D289" s="2" t="s">
        <v>6463</v>
      </c>
      <c r="E289" s="2" t="s">
        <v>39</v>
      </c>
      <c r="F289" s="2"/>
      <c r="G289" s="2"/>
      <c r="H289" s="2"/>
      <c r="I289" s="3">
        <f t="shared" si="9"/>
        <v>223</v>
      </c>
    </row>
    <row r="290" spans="1:9" ht="24" x14ac:dyDescent="0.3">
      <c r="A290" s="2" t="s">
        <v>245</v>
      </c>
      <c r="B290" s="2" t="s">
        <v>4011</v>
      </c>
      <c r="C290" s="2" t="s">
        <v>1178</v>
      </c>
      <c r="D290" s="2" t="s">
        <v>5911</v>
      </c>
      <c r="E290" s="2" t="s">
        <v>39</v>
      </c>
      <c r="F290" s="2"/>
      <c r="G290" s="2"/>
      <c r="H290" s="2"/>
      <c r="I290" s="3">
        <f t="shared" si="9"/>
        <v>184</v>
      </c>
    </row>
    <row r="291" spans="1:9" ht="24" x14ac:dyDescent="0.3">
      <c r="A291" s="2" t="s">
        <v>245</v>
      </c>
      <c r="B291" s="2" t="s">
        <v>4912</v>
      </c>
      <c r="C291" s="2" t="s">
        <v>1178</v>
      </c>
      <c r="D291" s="2" t="s">
        <v>4913</v>
      </c>
      <c r="E291" s="2" t="s">
        <v>39</v>
      </c>
      <c r="F291" s="2"/>
      <c r="G291" s="2"/>
      <c r="H291" s="2"/>
      <c r="I291" s="3">
        <f t="shared" si="9"/>
        <v>141</v>
      </c>
    </row>
    <row r="292" spans="1:9" ht="24" x14ac:dyDescent="0.3">
      <c r="A292" s="2" t="s">
        <v>245</v>
      </c>
      <c r="B292" s="2" t="s">
        <v>4011</v>
      </c>
      <c r="C292" s="2" t="s">
        <v>1178</v>
      </c>
      <c r="D292" s="2" t="s">
        <v>4012</v>
      </c>
      <c r="E292" s="2" t="s">
        <v>39</v>
      </c>
      <c r="F292" s="2"/>
      <c r="G292" s="2"/>
      <c r="H292" s="2"/>
      <c r="I292" s="3">
        <f t="shared" si="9"/>
        <v>114</v>
      </c>
    </row>
    <row r="293" spans="1:9" ht="24" x14ac:dyDescent="0.3">
      <c r="A293" s="2" t="s">
        <v>245</v>
      </c>
      <c r="B293" s="2" t="s">
        <v>4862</v>
      </c>
      <c r="C293" s="2" t="s">
        <v>1178</v>
      </c>
      <c r="D293" s="2" t="s">
        <v>4863</v>
      </c>
      <c r="E293" s="2" t="s">
        <v>39</v>
      </c>
      <c r="F293" s="2"/>
      <c r="G293" s="2"/>
      <c r="H293" s="2"/>
      <c r="I293" s="3">
        <f t="shared" si="9"/>
        <v>140</v>
      </c>
    </row>
    <row r="294" spans="1:9" ht="24" x14ac:dyDescent="0.3">
      <c r="A294" s="2" t="s">
        <v>245</v>
      </c>
      <c r="B294" s="2" t="s">
        <v>5018</v>
      </c>
      <c r="C294" s="2" t="s">
        <v>1178</v>
      </c>
      <c r="D294" s="2" t="s">
        <v>5088</v>
      </c>
      <c r="E294" s="2"/>
      <c r="F294" s="2"/>
      <c r="G294" s="2"/>
      <c r="H294" s="2"/>
      <c r="I294" s="3">
        <f t="shared" si="9"/>
        <v>147</v>
      </c>
    </row>
    <row r="295" spans="1:9" ht="24" x14ac:dyDescent="0.3">
      <c r="A295" s="2" t="s">
        <v>245</v>
      </c>
      <c r="B295" s="2" t="s">
        <v>5614</v>
      </c>
      <c r="C295" s="2" t="s">
        <v>1178</v>
      </c>
      <c r="D295" s="2" t="s">
        <v>5615</v>
      </c>
      <c r="E295" s="2" t="s">
        <v>39</v>
      </c>
      <c r="F295" s="2"/>
      <c r="G295" s="2"/>
      <c r="H295" s="2"/>
      <c r="I295" s="3">
        <f t="shared" si="9"/>
        <v>170</v>
      </c>
    </row>
    <row r="296" spans="1:9" ht="24" x14ac:dyDescent="0.3">
      <c r="A296" s="2" t="s">
        <v>245</v>
      </c>
      <c r="B296" s="2" t="s">
        <v>3509</v>
      </c>
      <c r="C296" s="2" t="s">
        <v>3510</v>
      </c>
      <c r="D296" s="2" t="s">
        <v>5126</v>
      </c>
      <c r="E296" s="2" t="s">
        <v>39</v>
      </c>
      <c r="F296" s="2"/>
      <c r="G296" s="2"/>
      <c r="H296" s="2"/>
      <c r="I296" s="3">
        <f t="shared" si="9"/>
        <v>148</v>
      </c>
    </row>
    <row r="297" spans="1:9" x14ac:dyDescent="0.3">
      <c r="A297" s="2" t="s">
        <v>245</v>
      </c>
      <c r="B297" s="2" t="s">
        <v>3113</v>
      </c>
      <c r="C297" s="2" t="s">
        <v>1244</v>
      </c>
      <c r="D297" s="2" t="s">
        <v>3114</v>
      </c>
      <c r="E297" s="2" t="s">
        <v>39</v>
      </c>
      <c r="F297" s="2"/>
      <c r="G297" s="2"/>
      <c r="H297" s="2"/>
      <c r="I297" s="3">
        <f t="shared" si="9"/>
        <v>93</v>
      </c>
    </row>
    <row r="298" spans="1:9" ht="24" x14ac:dyDescent="0.3">
      <c r="A298" s="2" t="s">
        <v>245</v>
      </c>
      <c r="B298" s="2" t="s">
        <v>5879</v>
      </c>
      <c r="C298" s="2" t="s">
        <v>5880</v>
      </c>
      <c r="D298" s="2" t="s">
        <v>5881</v>
      </c>
      <c r="E298" s="2" t="s">
        <v>39</v>
      </c>
      <c r="F298" s="2"/>
      <c r="G298" s="2"/>
      <c r="H298" s="2"/>
      <c r="I298" s="3">
        <f t="shared" si="9"/>
        <v>182</v>
      </c>
    </row>
    <row r="299" spans="1:9" x14ac:dyDescent="0.3">
      <c r="A299" s="2" t="s">
        <v>245</v>
      </c>
      <c r="B299" s="2" t="s">
        <v>1238</v>
      </c>
      <c r="C299" s="2" t="s">
        <v>1239</v>
      </c>
      <c r="D299" s="2" t="s">
        <v>1240</v>
      </c>
      <c r="E299" s="2" t="s">
        <v>39</v>
      </c>
      <c r="F299" s="2"/>
      <c r="G299" s="2"/>
      <c r="H299" s="2"/>
      <c r="I299" s="3">
        <f t="shared" si="9"/>
        <v>59</v>
      </c>
    </row>
    <row r="300" spans="1:9" x14ac:dyDescent="0.3">
      <c r="A300" s="2" t="s">
        <v>245</v>
      </c>
      <c r="B300" s="2" t="s">
        <v>1693</v>
      </c>
      <c r="C300" s="2" t="s">
        <v>1694</v>
      </c>
      <c r="D300" s="2" t="s">
        <v>1695</v>
      </c>
      <c r="E300" s="2" t="s">
        <v>39</v>
      </c>
      <c r="F300" s="2"/>
      <c r="G300" s="2"/>
      <c r="H300" s="2"/>
      <c r="I300" s="3">
        <f t="shared" si="9"/>
        <v>67</v>
      </c>
    </row>
    <row r="301" spans="1:9" ht="48" x14ac:dyDescent="0.3">
      <c r="A301" s="2" t="s">
        <v>245</v>
      </c>
      <c r="B301" s="2" t="s">
        <v>7301</v>
      </c>
      <c r="C301" s="2" t="s">
        <v>1244</v>
      </c>
      <c r="D301" s="2" t="s">
        <v>7302</v>
      </c>
      <c r="E301" s="2" t="s">
        <v>39</v>
      </c>
      <c r="F301" s="2"/>
      <c r="G301" s="2"/>
      <c r="H301" s="2"/>
      <c r="I301" s="3">
        <f t="shared" si="9"/>
        <v>312</v>
      </c>
    </row>
    <row r="302" spans="1:9" x14ac:dyDescent="0.3">
      <c r="A302" s="2" t="s">
        <v>245</v>
      </c>
      <c r="B302" s="2" t="s">
        <v>1577</v>
      </c>
      <c r="C302" s="2" t="s">
        <v>1244</v>
      </c>
      <c r="D302" s="2" t="s">
        <v>1578</v>
      </c>
      <c r="E302" s="2" t="s">
        <v>39</v>
      </c>
      <c r="F302" s="2"/>
      <c r="G302" s="2"/>
      <c r="H302" s="2"/>
      <c r="I302" s="3">
        <f t="shared" si="9"/>
        <v>65</v>
      </c>
    </row>
    <row r="303" spans="1:9" x14ac:dyDescent="0.3">
      <c r="A303" s="2" t="s">
        <v>245</v>
      </c>
      <c r="B303" s="2" t="s">
        <v>1017</v>
      </c>
      <c r="C303" s="2" t="s">
        <v>1018</v>
      </c>
      <c r="D303" s="2" t="s">
        <v>1019</v>
      </c>
      <c r="E303" s="2"/>
      <c r="F303" s="2"/>
      <c r="G303" s="2"/>
      <c r="H303" s="2"/>
      <c r="I303" s="3">
        <f t="shared" si="9"/>
        <v>55</v>
      </c>
    </row>
    <row r="304" spans="1:9" ht="24" x14ac:dyDescent="0.3">
      <c r="A304" s="2" t="s">
        <v>245</v>
      </c>
      <c r="B304" s="2" t="s">
        <v>3893</v>
      </c>
      <c r="C304" s="2" t="s">
        <v>1814</v>
      </c>
      <c r="D304" s="2" t="s">
        <v>3894</v>
      </c>
      <c r="E304" s="2"/>
      <c r="F304" s="2"/>
      <c r="G304" s="2"/>
      <c r="H304" s="2"/>
      <c r="I304" s="3">
        <f t="shared" si="9"/>
        <v>111</v>
      </c>
    </row>
    <row r="305" spans="1:9" ht="24" x14ac:dyDescent="0.3">
      <c r="A305" s="2" t="s">
        <v>245</v>
      </c>
      <c r="B305" s="2" t="s">
        <v>3339</v>
      </c>
      <c r="C305" s="2" t="s">
        <v>1814</v>
      </c>
      <c r="D305" s="2" t="s">
        <v>3340</v>
      </c>
      <c r="E305" s="2" t="s">
        <v>39</v>
      </c>
      <c r="F305" s="2"/>
      <c r="G305" s="2"/>
      <c r="H305" s="2"/>
      <c r="I305" s="3">
        <f t="shared" si="9"/>
        <v>98</v>
      </c>
    </row>
    <row r="306" spans="1:9" ht="24" x14ac:dyDescent="0.3">
      <c r="A306" s="2" t="s">
        <v>245</v>
      </c>
      <c r="B306" s="2" t="s">
        <v>4621</v>
      </c>
      <c r="C306" s="2" t="s">
        <v>1814</v>
      </c>
      <c r="D306" s="2" t="s">
        <v>4622</v>
      </c>
      <c r="E306" s="2" t="s">
        <v>39</v>
      </c>
      <c r="F306" s="2"/>
      <c r="G306" s="2"/>
      <c r="H306" s="2"/>
      <c r="I306" s="3">
        <f t="shared" si="9"/>
        <v>132</v>
      </c>
    </row>
    <row r="307" spans="1:9" x14ac:dyDescent="0.3">
      <c r="A307" s="2" t="s">
        <v>245</v>
      </c>
      <c r="B307" s="2" t="s">
        <v>7997</v>
      </c>
      <c r="C307" s="2" t="s">
        <v>1244</v>
      </c>
      <c r="D307" s="2" t="s">
        <v>7998</v>
      </c>
      <c r="E307" s="2" t="s">
        <v>39</v>
      </c>
      <c r="F307" s="2"/>
      <c r="G307" s="2"/>
      <c r="H307" s="2"/>
      <c r="I307" s="3">
        <v>445</v>
      </c>
    </row>
    <row r="308" spans="1:9" x14ac:dyDescent="0.3">
      <c r="A308" s="2" t="s">
        <v>245</v>
      </c>
      <c r="B308" s="2" t="s">
        <v>1579</v>
      </c>
      <c r="C308" s="2" t="s">
        <v>1580</v>
      </c>
      <c r="D308" s="2" t="s">
        <v>1581</v>
      </c>
      <c r="E308" s="2" t="s">
        <v>39</v>
      </c>
      <c r="F308" s="2"/>
      <c r="G308" s="2"/>
      <c r="H308" s="2"/>
      <c r="I308" s="3">
        <f t="shared" ref="I308:I339" si="10">LEN(D308)</f>
        <v>65</v>
      </c>
    </row>
    <row r="309" spans="1:9" ht="24" x14ac:dyDescent="0.3">
      <c r="A309" s="2" t="s">
        <v>245</v>
      </c>
      <c r="B309" s="2" t="s">
        <v>4013</v>
      </c>
      <c r="C309" s="2" t="s">
        <v>4014</v>
      </c>
      <c r="D309" s="2" t="s">
        <v>4015</v>
      </c>
      <c r="E309" s="2" t="s">
        <v>39</v>
      </c>
      <c r="F309" s="2"/>
      <c r="G309" s="2"/>
      <c r="H309" s="2" t="s">
        <v>1176</v>
      </c>
      <c r="I309" s="3">
        <f t="shared" si="10"/>
        <v>114</v>
      </c>
    </row>
    <row r="310" spans="1:9" x14ac:dyDescent="0.3">
      <c r="A310" s="2" t="s">
        <v>245</v>
      </c>
      <c r="B310" s="2" t="s">
        <v>1017</v>
      </c>
      <c r="C310" s="2" t="s">
        <v>1020</v>
      </c>
      <c r="D310" s="2" t="s">
        <v>1021</v>
      </c>
      <c r="E310" s="2"/>
      <c r="F310" s="2"/>
      <c r="G310" s="2"/>
      <c r="H310" s="2"/>
      <c r="I310" s="3">
        <f t="shared" si="10"/>
        <v>55</v>
      </c>
    </row>
    <row r="311" spans="1:9" x14ac:dyDescent="0.3">
      <c r="A311" s="2" t="s">
        <v>245</v>
      </c>
      <c r="B311" s="2" t="s">
        <v>775</v>
      </c>
      <c r="C311" s="2" t="s">
        <v>776</v>
      </c>
      <c r="D311" s="2" t="s">
        <v>777</v>
      </c>
      <c r="E311" s="2" t="s">
        <v>39</v>
      </c>
      <c r="F311" s="2"/>
      <c r="G311" s="2"/>
      <c r="H311" s="2"/>
      <c r="I311" s="3">
        <f t="shared" si="10"/>
        <v>49</v>
      </c>
    </row>
    <row r="312" spans="1:9" x14ac:dyDescent="0.3">
      <c r="A312" s="2" t="s">
        <v>245</v>
      </c>
      <c r="B312" s="2" t="s">
        <v>1696</v>
      </c>
      <c r="C312" s="2" t="s">
        <v>1244</v>
      </c>
      <c r="D312" s="2" t="s">
        <v>1697</v>
      </c>
      <c r="E312" s="2" t="s">
        <v>39</v>
      </c>
      <c r="F312" s="2"/>
      <c r="G312" s="2"/>
      <c r="H312" s="2"/>
      <c r="I312" s="3">
        <f t="shared" si="10"/>
        <v>67</v>
      </c>
    </row>
    <row r="313" spans="1:9" ht="24" x14ac:dyDescent="0.3">
      <c r="A313" s="2" t="s">
        <v>245</v>
      </c>
      <c r="B313" s="2" t="s">
        <v>5067</v>
      </c>
      <c r="C313" s="2" t="s">
        <v>1244</v>
      </c>
      <c r="D313" s="2" t="s">
        <v>5068</v>
      </c>
      <c r="E313" s="2" t="s">
        <v>39</v>
      </c>
      <c r="F313" s="2"/>
      <c r="G313" s="2"/>
      <c r="H313" s="2"/>
      <c r="I313" s="3">
        <f t="shared" si="10"/>
        <v>146</v>
      </c>
    </row>
    <row r="314" spans="1:9" x14ac:dyDescent="0.3">
      <c r="A314" s="2" t="s">
        <v>245</v>
      </c>
      <c r="B314" s="2" t="s">
        <v>1286</v>
      </c>
      <c r="C314" s="2" t="s">
        <v>1244</v>
      </c>
      <c r="D314" s="2" t="s">
        <v>1287</v>
      </c>
      <c r="E314" s="2"/>
      <c r="F314" s="2"/>
      <c r="G314" s="2"/>
      <c r="H314" s="2"/>
      <c r="I314" s="3">
        <f t="shared" si="10"/>
        <v>60</v>
      </c>
    </row>
    <row r="315" spans="1:9" ht="24" x14ac:dyDescent="0.3">
      <c r="A315" s="2" t="s">
        <v>245</v>
      </c>
      <c r="B315" s="2" t="s">
        <v>4688</v>
      </c>
      <c r="C315" s="2" t="s">
        <v>4689</v>
      </c>
      <c r="D315" s="2" t="s">
        <v>4690</v>
      </c>
      <c r="E315" s="2" t="s">
        <v>39</v>
      </c>
      <c r="F315" s="2"/>
      <c r="G315" s="2"/>
      <c r="H315" s="2"/>
      <c r="I315" s="3">
        <f t="shared" si="10"/>
        <v>135</v>
      </c>
    </row>
    <row r="316" spans="1:9" ht="36" x14ac:dyDescent="0.3">
      <c r="A316" s="2" t="s">
        <v>245</v>
      </c>
      <c r="B316" s="2" t="s">
        <v>1804</v>
      </c>
      <c r="C316" s="2" t="s">
        <v>1805</v>
      </c>
      <c r="D316" s="2" t="s">
        <v>7089</v>
      </c>
      <c r="E316" s="2" t="s">
        <v>39</v>
      </c>
      <c r="F316" s="2"/>
      <c r="G316" s="2"/>
      <c r="H316" s="2"/>
      <c r="I316" s="3">
        <f t="shared" si="10"/>
        <v>285</v>
      </c>
    </row>
    <row r="317" spans="1:9" ht="24" x14ac:dyDescent="0.3">
      <c r="A317" s="2" t="s">
        <v>245</v>
      </c>
      <c r="B317" s="2" t="s">
        <v>1804</v>
      </c>
      <c r="C317" s="2" t="s">
        <v>1805</v>
      </c>
      <c r="D317" s="2" t="s">
        <v>5157</v>
      </c>
      <c r="E317" s="2" t="s">
        <v>39</v>
      </c>
      <c r="F317" s="2"/>
      <c r="G317" s="2"/>
      <c r="H317" s="2"/>
      <c r="I317" s="3">
        <f t="shared" si="10"/>
        <v>149</v>
      </c>
    </row>
    <row r="318" spans="1:9" ht="24" x14ac:dyDescent="0.3">
      <c r="A318" s="2" t="s">
        <v>245</v>
      </c>
      <c r="B318" s="2" t="s">
        <v>1804</v>
      </c>
      <c r="C318" s="2" t="s">
        <v>1805</v>
      </c>
      <c r="D318" s="2" t="s">
        <v>3981</v>
      </c>
      <c r="E318" s="2" t="s">
        <v>39</v>
      </c>
      <c r="F318" s="2"/>
      <c r="G318" s="2"/>
      <c r="H318" s="2"/>
      <c r="I318" s="3">
        <f t="shared" si="10"/>
        <v>113</v>
      </c>
    </row>
    <row r="319" spans="1:9" ht="48" x14ac:dyDescent="0.3">
      <c r="A319" s="2" t="s">
        <v>245</v>
      </c>
      <c r="B319" s="2" t="s">
        <v>1804</v>
      </c>
      <c r="C319" s="2" t="s">
        <v>1805</v>
      </c>
      <c r="D319" s="2" t="s">
        <v>7379</v>
      </c>
      <c r="E319" s="2" t="s">
        <v>39</v>
      </c>
      <c r="F319" s="2"/>
      <c r="G319" s="2"/>
      <c r="H319" s="2"/>
      <c r="I319" s="3">
        <f t="shared" si="10"/>
        <v>321</v>
      </c>
    </row>
    <row r="320" spans="1:9" ht="48" x14ac:dyDescent="0.3">
      <c r="A320" s="2" t="s">
        <v>245</v>
      </c>
      <c r="B320" s="2" t="s">
        <v>1804</v>
      </c>
      <c r="C320" s="2" t="s">
        <v>1805</v>
      </c>
      <c r="D320" s="2" t="s">
        <v>7547</v>
      </c>
      <c r="E320" s="2" t="s">
        <v>39</v>
      </c>
      <c r="F320" s="2"/>
      <c r="G320" s="2"/>
      <c r="H320" s="2"/>
      <c r="I320" s="3">
        <f t="shared" si="10"/>
        <v>348</v>
      </c>
    </row>
    <row r="321" spans="1:9" ht="24" x14ac:dyDescent="0.3">
      <c r="A321" s="2" t="s">
        <v>245</v>
      </c>
      <c r="B321" s="2" t="s">
        <v>1804</v>
      </c>
      <c r="C321" s="2" t="s">
        <v>1805</v>
      </c>
      <c r="D321" s="2" t="s">
        <v>5158</v>
      </c>
      <c r="E321" s="2" t="s">
        <v>39</v>
      </c>
      <c r="F321" s="2"/>
      <c r="G321" s="2"/>
      <c r="H321" s="2"/>
      <c r="I321" s="3">
        <f t="shared" si="10"/>
        <v>149</v>
      </c>
    </row>
    <row r="322" spans="1:9" ht="24" x14ac:dyDescent="0.3">
      <c r="A322" s="2" t="s">
        <v>245</v>
      </c>
      <c r="B322" s="2" t="s">
        <v>1804</v>
      </c>
      <c r="C322" s="2" t="s">
        <v>1805</v>
      </c>
      <c r="D322" s="2" t="s">
        <v>5956</v>
      </c>
      <c r="E322" s="2" t="s">
        <v>39</v>
      </c>
      <c r="F322" s="2"/>
      <c r="G322" s="2"/>
      <c r="H322" s="2"/>
      <c r="I322" s="3">
        <f t="shared" si="10"/>
        <v>187</v>
      </c>
    </row>
    <row r="323" spans="1:9" ht="24" x14ac:dyDescent="0.3">
      <c r="A323" s="2" t="s">
        <v>245</v>
      </c>
      <c r="B323" s="2" t="s">
        <v>1804</v>
      </c>
      <c r="C323" s="2" t="s">
        <v>1805</v>
      </c>
      <c r="D323" s="2" t="s">
        <v>5629</v>
      </c>
      <c r="E323" s="2" t="s">
        <v>39</v>
      </c>
      <c r="F323" s="2"/>
      <c r="G323" s="2"/>
      <c r="H323" s="2" t="s">
        <v>646</v>
      </c>
      <c r="I323" s="3">
        <f t="shared" si="10"/>
        <v>171</v>
      </c>
    </row>
    <row r="324" spans="1:9" x14ac:dyDescent="0.3">
      <c r="A324" s="2" t="s">
        <v>245</v>
      </c>
      <c r="B324" s="2" t="s">
        <v>1577</v>
      </c>
      <c r="C324" s="2" t="s">
        <v>1244</v>
      </c>
      <c r="D324" s="2" t="s">
        <v>1582</v>
      </c>
      <c r="E324" s="2" t="s">
        <v>39</v>
      </c>
      <c r="F324" s="2"/>
      <c r="G324" s="2"/>
      <c r="H324" s="2"/>
      <c r="I324" s="3">
        <f t="shared" si="10"/>
        <v>65</v>
      </c>
    </row>
    <row r="325" spans="1:9" x14ac:dyDescent="0.3">
      <c r="A325" s="2" t="s">
        <v>245</v>
      </c>
      <c r="B325" s="2" t="s">
        <v>1577</v>
      </c>
      <c r="C325" s="2" t="s">
        <v>1244</v>
      </c>
      <c r="D325" s="2" t="s">
        <v>1977</v>
      </c>
      <c r="E325" s="2" t="s">
        <v>39</v>
      </c>
      <c r="F325" s="2"/>
      <c r="G325" s="2"/>
      <c r="H325" s="2"/>
      <c r="I325" s="3">
        <f t="shared" si="10"/>
        <v>72</v>
      </c>
    </row>
    <row r="326" spans="1:9" x14ac:dyDescent="0.3">
      <c r="A326" s="2" t="s">
        <v>245</v>
      </c>
      <c r="B326" s="2" t="s">
        <v>1577</v>
      </c>
      <c r="C326" s="2" t="s">
        <v>1244</v>
      </c>
      <c r="D326" s="2" t="s">
        <v>2752</v>
      </c>
      <c r="E326" s="2" t="s">
        <v>39</v>
      </c>
      <c r="F326" s="2"/>
      <c r="G326" s="2"/>
      <c r="H326" s="2"/>
      <c r="I326" s="3">
        <f t="shared" si="10"/>
        <v>86</v>
      </c>
    </row>
    <row r="327" spans="1:9" x14ac:dyDescent="0.3">
      <c r="A327" s="2" t="s">
        <v>245</v>
      </c>
      <c r="B327" s="2" t="s">
        <v>2641</v>
      </c>
      <c r="C327" s="2" t="s">
        <v>2642</v>
      </c>
      <c r="D327" s="2" t="s">
        <v>2643</v>
      </c>
      <c r="E327" s="2"/>
      <c r="F327" s="2"/>
      <c r="G327" s="2"/>
      <c r="H327" s="2"/>
      <c r="I327" s="3">
        <f t="shared" si="10"/>
        <v>84</v>
      </c>
    </row>
    <row r="328" spans="1:9" ht="36" x14ac:dyDescent="0.3">
      <c r="A328" s="2" t="s">
        <v>245</v>
      </c>
      <c r="B328" s="2" t="s">
        <v>6464</v>
      </c>
      <c r="C328" s="2" t="s">
        <v>1244</v>
      </c>
      <c r="D328" s="2" t="s">
        <v>6465</v>
      </c>
      <c r="E328" s="2" t="s">
        <v>39</v>
      </c>
      <c r="F328" s="2"/>
      <c r="G328" s="2"/>
      <c r="H328" s="2"/>
      <c r="I328" s="3">
        <f t="shared" si="10"/>
        <v>223</v>
      </c>
    </row>
    <row r="329" spans="1:9" ht="36" x14ac:dyDescent="0.3">
      <c r="A329" s="2" t="s">
        <v>245</v>
      </c>
      <c r="B329" s="2" t="s">
        <v>195</v>
      </c>
      <c r="C329" s="2" t="s">
        <v>1244</v>
      </c>
      <c r="D329" s="2" t="s">
        <v>6570</v>
      </c>
      <c r="E329" s="2" t="s">
        <v>39</v>
      </c>
      <c r="F329" s="2"/>
      <c r="G329" s="2"/>
      <c r="H329" s="2"/>
      <c r="I329" s="3">
        <f t="shared" si="10"/>
        <v>233</v>
      </c>
    </row>
    <row r="330" spans="1:9" ht="24" x14ac:dyDescent="0.3">
      <c r="A330" s="2" t="s">
        <v>245</v>
      </c>
      <c r="B330" s="2" t="s">
        <v>5688</v>
      </c>
      <c r="C330" s="2" t="s">
        <v>5689</v>
      </c>
      <c r="D330" s="2" t="s">
        <v>5690</v>
      </c>
      <c r="E330" s="2" t="s">
        <v>616</v>
      </c>
      <c r="F330" s="2"/>
      <c r="G330" s="2"/>
      <c r="H330" s="2"/>
      <c r="I330" s="3">
        <f t="shared" si="10"/>
        <v>174</v>
      </c>
    </row>
    <row r="331" spans="1:9" x14ac:dyDescent="0.3">
      <c r="A331" s="2" t="s">
        <v>245</v>
      </c>
      <c r="B331" s="2" t="s">
        <v>1746</v>
      </c>
      <c r="C331" s="2" t="s">
        <v>268</v>
      </c>
      <c r="D331" s="2" t="s">
        <v>1747</v>
      </c>
      <c r="E331" s="2" t="s">
        <v>39</v>
      </c>
      <c r="F331" s="2"/>
      <c r="G331" s="2"/>
      <c r="H331" s="2"/>
      <c r="I331" s="3">
        <f t="shared" si="10"/>
        <v>68</v>
      </c>
    </row>
    <row r="332" spans="1:9" ht="24" x14ac:dyDescent="0.3">
      <c r="A332" s="2" t="s">
        <v>245</v>
      </c>
      <c r="B332" s="2" t="s">
        <v>34</v>
      </c>
      <c r="C332" s="2" t="s">
        <v>823</v>
      </c>
      <c r="D332" s="2" t="s">
        <v>6071</v>
      </c>
      <c r="E332" s="2" t="s">
        <v>39</v>
      </c>
      <c r="F332" s="2"/>
      <c r="G332" s="2"/>
      <c r="H332" s="2"/>
      <c r="I332" s="3">
        <f t="shared" si="10"/>
        <v>195</v>
      </c>
    </row>
    <row r="333" spans="1:9" ht="24" x14ac:dyDescent="0.3">
      <c r="A333" s="2" t="s">
        <v>245</v>
      </c>
      <c r="B333" s="2" t="s">
        <v>34</v>
      </c>
      <c r="C333" s="2" t="s">
        <v>823</v>
      </c>
      <c r="D333" s="2" t="s">
        <v>5822</v>
      </c>
      <c r="E333" s="2" t="s">
        <v>39</v>
      </c>
      <c r="F333" s="2"/>
      <c r="G333" s="2"/>
      <c r="H333" s="2"/>
      <c r="I333" s="3">
        <f t="shared" si="10"/>
        <v>180</v>
      </c>
    </row>
    <row r="334" spans="1:9" x14ac:dyDescent="0.3">
      <c r="A334" s="2" t="s">
        <v>245</v>
      </c>
      <c r="B334" s="2" t="s">
        <v>2584</v>
      </c>
      <c r="C334" s="2" t="s">
        <v>823</v>
      </c>
      <c r="D334" s="2" t="s">
        <v>3644</v>
      </c>
      <c r="E334" s="2" t="s">
        <v>39</v>
      </c>
      <c r="F334" s="2"/>
      <c r="G334" s="2"/>
      <c r="H334" s="2" t="s">
        <v>646</v>
      </c>
      <c r="I334" s="3">
        <f t="shared" si="10"/>
        <v>105</v>
      </c>
    </row>
    <row r="335" spans="1:9" x14ac:dyDescent="0.3">
      <c r="A335" s="2" t="s">
        <v>245</v>
      </c>
      <c r="B335" s="2" t="s">
        <v>3541</v>
      </c>
      <c r="C335" s="2" t="s">
        <v>823</v>
      </c>
      <c r="D335" s="2" t="s">
        <v>3542</v>
      </c>
      <c r="E335" s="2" t="s">
        <v>39</v>
      </c>
      <c r="F335" s="2"/>
      <c r="G335" s="2"/>
      <c r="H335" s="2"/>
      <c r="I335" s="3">
        <f t="shared" si="10"/>
        <v>103</v>
      </c>
    </row>
    <row r="336" spans="1:9" ht="24" x14ac:dyDescent="0.3">
      <c r="A336" s="2" t="s">
        <v>245</v>
      </c>
      <c r="B336" s="2" t="s">
        <v>4227</v>
      </c>
      <c r="C336" s="2" t="s">
        <v>4228</v>
      </c>
      <c r="D336" s="2" t="s">
        <v>4229</v>
      </c>
      <c r="E336" s="2" t="s">
        <v>211</v>
      </c>
      <c r="F336" s="2"/>
      <c r="G336" s="2"/>
      <c r="H336" s="2"/>
      <c r="I336" s="3">
        <f t="shared" si="10"/>
        <v>120</v>
      </c>
    </row>
    <row r="337" spans="1:9" ht="24" x14ac:dyDescent="0.3">
      <c r="A337" s="2" t="s">
        <v>245</v>
      </c>
      <c r="B337" s="2" t="s">
        <v>5372</v>
      </c>
      <c r="C337" s="2" t="s">
        <v>1329</v>
      </c>
      <c r="D337" s="2" t="s">
        <v>5373</v>
      </c>
      <c r="E337" s="2" t="s">
        <v>39</v>
      </c>
      <c r="F337" s="2"/>
      <c r="G337" s="2"/>
      <c r="H337" s="2"/>
      <c r="I337" s="3">
        <f t="shared" si="10"/>
        <v>157</v>
      </c>
    </row>
    <row r="338" spans="1:9" ht="24" x14ac:dyDescent="0.3">
      <c r="A338" s="2" t="s">
        <v>245</v>
      </c>
      <c r="B338" s="2" t="s">
        <v>5630</v>
      </c>
      <c r="C338" s="2" t="s">
        <v>1329</v>
      </c>
      <c r="D338" s="2" t="s">
        <v>5631</v>
      </c>
      <c r="E338" s="2"/>
      <c r="F338" s="2"/>
      <c r="G338" s="2"/>
      <c r="H338" s="2"/>
      <c r="I338" s="3">
        <f t="shared" si="10"/>
        <v>171</v>
      </c>
    </row>
    <row r="339" spans="1:9" ht="24" x14ac:dyDescent="0.3">
      <c r="A339" s="2" t="s">
        <v>245</v>
      </c>
      <c r="B339" s="2" t="s">
        <v>4230</v>
      </c>
      <c r="C339" s="2" t="s">
        <v>4228</v>
      </c>
      <c r="D339" s="2" t="s">
        <v>4231</v>
      </c>
      <c r="E339" s="2" t="s">
        <v>211</v>
      </c>
      <c r="F339" s="2"/>
      <c r="G339" s="2"/>
      <c r="H339" s="2"/>
      <c r="I339" s="3">
        <f t="shared" si="10"/>
        <v>120</v>
      </c>
    </row>
    <row r="340" spans="1:9" ht="24" x14ac:dyDescent="0.3">
      <c r="A340" s="2" t="s">
        <v>245</v>
      </c>
      <c r="B340" s="2" t="s">
        <v>5452</v>
      </c>
      <c r="C340" s="2" t="s">
        <v>4228</v>
      </c>
      <c r="D340" s="2" t="s">
        <v>5453</v>
      </c>
      <c r="E340" s="2" t="s">
        <v>39</v>
      </c>
      <c r="F340" s="2"/>
      <c r="G340" s="2"/>
      <c r="H340" s="2"/>
      <c r="I340" s="3">
        <f t="shared" ref="I340:I371" si="11">LEN(D340)</f>
        <v>162</v>
      </c>
    </row>
    <row r="341" spans="1:9" x14ac:dyDescent="0.3">
      <c r="A341" s="2" t="s">
        <v>245</v>
      </c>
      <c r="B341" s="2" t="s">
        <v>1328</v>
      </c>
      <c r="C341" s="2" t="s">
        <v>1329</v>
      </c>
      <c r="D341" s="2" t="s">
        <v>1330</v>
      </c>
      <c r="E341" s="2"/>
      <c r="F341" s="2"/>
      <c r="G341" s="2"/>
      <c r="H341" s="2"/>
      <c r="I341" s="3">
        <f t="shared" si="11"/>
        <v>61</v>
      </c>
    </row>
    <row r="342" spans="1:9" ht="120" x14ac:dyDescent="0.3">
      <c r="A342" s="2" t="s">
        <v>245</v>
      </c>
      <c r="B342" s="2" t="s">
        <v>8578</v>
      </c>
      <c r="C342" s="2" t="s">
        <v>8579</v>
      </c>
      <c r="D342" s="2" t="s">
        <v>8580</v>
      </c>
      <c r="E342" s="2" t="s">
        <v>39</v>
      </c>
      <c r="F342" s="2"/>
      <c r="G342" s="2" t="s">
        <v>1717</v>
      </c>
      <c r="H342" s="2" t="s">
        <v>537</v>
      </c>
      <c r="I342" s="3">
        <f t="shared" si="11"/>
        <v>915</v>
      </c>
    </row>
    <row r="343" spans="1:9" ht="24" x14ac:dyDescent="0.3">
      <c r="A343" s="2" t="s">
        <v>245</v>
      </c>
      <c r="B343" s="2" t="s">
        <v>5292</v>
      </c>
      <c r="C343" s="2" t="s">
        <v>5293</v>
      </c>
      <c r="D343" s="2" t="s">
        <v>5294</v>
      </c>
      <c r="E343" s="2" t="s">
        <v>39</v>
      </c>
      <c r="F343" s="2"/>
      <c r="G343" s="2"/>
      <c r="H343" s="2"/>
      <c r="I343" s="3">
        <f t="shared" si="11"/>
        <v>154</v>
      </c>
    </row>
    <row r="344" spans="1:9" ht="60" x14ac:dyDescent="0.3">
      <c r="A344" s="2" t="s">
        <v>245</v>
      </c>
      <c r="B344" s="2" t="s">
        <v>6279</v>
      </c>
      <c r="C344" s="2" t="s">
        <v>1754</v>
      </c>
      <c r="D344" s="2" t="s">
        <v>8098</v>
      </c>
      <c r="E344" s="2" t="s">
        <v>39</v>
      </c>
      <c r="F344" s="2"/>
      <c r="G344" s="2"/>
      <c r="H344" s="2"/>
      <c r="I344" s="3">
        <f t="shared" si="11"/>
        <v>476</v>
      </c>
    </row>
    <row r="345" spans="1:9" x14ac:dyDescent="0.3">
      <c r="A345" s="2" t="s">
        <v>245</v>
      </c>
      <c r="B345" s="2" t="s">
        <v>2982</v>
      </c>
      <c r="C345" s="2" t="s">
        <v>1329</v>
      </c>
      <c r="D345" s="2" t="s">
        <v>2983</v>
      </c>
      <c r="E345" s="2"/>
      <c r="F345" s="2"/>
      <c r="G345" s="2"/>
      <c r="H345" s="2"/>
      <c r="I345" s="3">
        <f t="shared" si="11"/>
        <v>90</v>
      </c>
    </row>
    <row r="346" spans="1:9" ht="24" x14ac:dyDescent="0.3">
      <c r="A346" s="2" t="s">
        <v>245</v>
      </c>
      <c r="B346" s="2" t="s">
        <v>2584</v>
      </c>
      <c r="C346" s="2" t="s">
        <v>1329</v>
      </c>
      <c r="D346" s="2" t="s">
        <v>5127</v>
      </c>
      <c r="E346" s="2" t="s">
        <v>39</v>
      </c>
      <c r="F346" s="2"/>
      <c r="G346" s="2"/>
      <c r="H346" s="2" t="s">
        <v>646</v>
      </c>
      <c r="I346" s="3">
        <f t="shared" si="11"/>
        <v>148</v>
      </c>
    </row>
    <row r="347" spans="1:9" ht="48" x14ac:dyDescent="0.3">
      <c r="A347" s="2" t="s">
        <v>245</v>
      </c>
      <c r="B347" s="2" t="s">
        <v>7390</v>
      </c>
      <c r="C347" s="2" t="s">
        <v>7391</v>
      </c>
      <c r="D347" s="2" t="s">
        <v>9387</v>
      </c>
      <c r="E347" s="2" t="s">
        <v>5938</v>
      </c>
      <c r="F347" s="2" t="s">
        <v>1778</v>
      </c>
      <c r="G347" s="2" t="s">
        <v>1717</v>
      </c>
      <c r="H347" s="2"/>
      <c r="I347" s="3">
        <f t="shared" si="11"/>
        <v>320</v>
      </c>
    </row>
    <row r="348" spans="1:9" ht="36" x14ac:dyDescent="0.3">
      <c r="A348" s="2" t="s">
        <v>245</v>
      </c>
      <c r="B348" s="2" t="s">
        <v>6360</v>
      </c>
      <c r="C348" s="2" t="s">
        <v>1754</v>
      </c>
      <c r="D348" s="2" t="s">
        <v>6361</v>
      </c>
      <c r="E348" s="2"/>
      <c r="F348" s="2"/>
      <c r="G348" s="2"/>
      <c r="H348" s="2"/>
      <c r="I348" s="3">
        <f t="shared" si="11"/>
        <v>216</v>
      </c>
    </row>
    <row r="349" spans="1:9" ht="24" x14ac:dyDescent="0.3">
      <c r="A349" s="2" t="s">
        <v>245</v>
      </c>
      <c r="B349" s="2" t="s">
        <v>3941</v>
      </c>
      <c r="C349" s="2" t="s">
        <v>1754</v>
      </c>
      <c r="D349" s="2" t="s">
        <v>3942</v>
      </c>
      <c r="E349" s="2" t="s">
        <v>39</v>
      </c>
      <c r="F349" s="2"/>
      <c r="G349" s="2"/>
      <c r="H349" s="2"/>
      <c r="I349" s="3">
        <f t="shared" si="11"/>
        <v>112</v>
      </c>
    </row>
    <row r="350" spans="1:9" x14ac:dyDescent="0.3">
      <c r="A350" s="2" t="s">
        <v>245</v>
      </c>
      <c r="B350" s="2" t="s">
        <v>2864</v>
      </c>
      <c r="C350" s="2" t="s">
        <v>1754</v>
      </c>
      <c r="D350" s="2" t="s">
        <v>2865</v>
      </c>
      <c r="E350" s="2" t="s">
        <v>39</v>
      </c>
      <c r="F350" s="2"/>
      <c r="G350" s="2"/>
      <c r="H350" s="2"/>
      <c r="I350" s="3">
        <f t="shared" si="11"/>
        <v>88</v>
      </c>
    </row>
    <row r="351" spans="1:9" x14ac:dyDescent="0.3">
      <c r="A351" s="2" t="s">
        <v>245</v>
      </c>
      <c r="B351" s="2" t="s">
        <v>2923</v>
      </c>
      <c r="C351" s="2" t="s">
        <v>1754</v>
      </c>
      <c r="D351" s="2" t="s">
        <v>2924</v>
      </c>
      <c r="E351" s="2" t="s">
        <v>39</v>
      </c>
      <c r="F351" s="2"/>
      <c r="G351" s="2"/>
      <c r="H351" s="2"/>
      <c r="I351" s="3">
        <f t="shared" si="11"/>
        <v>89</v>
      </c>
    </row>
    <row r="352" spans="1:9" x14ac:dyDescent="0.3">
      <c r="A352" s="2" t="s">
        <v>245</v>
      </c>
      <c r="B352" s="2" t="s">
        <v>1290</v>
      </c>
      <c r="C352" s="2" t="s">
        <v>1754</v>
      </c>
      <c r="D352" s="2" t="s">
        <v>3115</v>
      </c>
      <c r="E352" s="2" t="s">
        <v>39</v>
      </c>
      <c r="F352" s="2"/>
      <c r="G352" s="2"/>
      <c r="H352" s="2"/>
      <c r="I352" s="3">
        <f t="shared" si="11"/>
        <v>93</v>
      </c>
    </row>
    <row r="353" spans="1:9" ht="24" x14ac:dyDescent="0.3">
      <c r="A353" s="2" t="s">
        <v>245</v>
      </c>
      <c r="B353" s="2" t="s">
        <v>4036</v>
      </c>
      <c r="C353" s="2" t="s">
        <v>1754</v>
      </c>
      <c r="D353" s="2" t="s">
        <v>4037</v>
      </c>
      <c r="E353" s="2"/>
      <c r="F353" s="2"/>
      <c r="G353" s="2"/>
      <c r="H353" s="2"/>
      <c r="I353" s="3">
        <f t="shared" si="11"/>
        <v>115</v>
      </c>
    </row>
    <row r="354" spans="1:9" ht="24" x14ac:dyDescent="0.3">
      <c r="A354" s="2" t="s">
        <v>245</v>
      </c>
      <c r="B354" s="2" t="s">
        <v>3982</v>
      </c>
      <c r="C354" s="2" t="s">
        <v>1754</v>
      </c>
      <c r="D354" s="2" t="s">
        <v>3983</v>
      </c>
      <c r="E354" s="2"/>
      <c r="F354" s="2"/>
      <c r="G354" s="2"/>
      <c r="H354" s="2"/>
      <c r="I354" s="3">
        <f t="shared" si="11"/>
        <v>113</v>
      </c>
    </row>
    <row r="355" spans="1:9" ht="24" x14ac:dyDescent="0.3">
      <c r="A355" s="2" t="s">
        <v>245</v>
      </c>
      <c r="B355" s="2" t="s">
        <v>4154</v>
      </c>
      <c r="C355" s="2" t="s">
        <v>1754</v>
      </c>
      <c r="D355" s="2" t="s">
        <v>4155</v>
      </c>
      <c r="E355" s="2" t="s">
        <v>39</v>
      </c>
      <c r="F355" s="2"/>
      <c r="G355" s="2"/>
      <c r="H355" s="2"/>
      <c r="I355" s="3">
        <f t="shared" si="11"/>
        <v>118</v>
      </c>
    </row>
    <row r="356" spans="1:9" x14ac:dyDescent="0.3">
      <c r="A356" s="2" t="s">
        <v>245</v>
      </c>
      <c r="B356" s="2" t="s">
        <v>3468</v>
      </c>
      <c r="C356" s="2" t="s">
        <v>1754</v>
      </c>
      <c r="D356" s="2" t="s">
        <v>3469</v>
      </c>
      <c r="E356" s="2"/>
      <c r="F356" s="2"/>
      <c r="G356" s="2"/>
      <c r="H356" s="2"/>
      <c r="I356" s="3">
        <f t="shared" si="11"/>
        <v>101</v>
      </c>
    </row>
    <row r="357" spans="1:9" ht="24" x14ac:dyDescent="0.3">
      <c r="A357" s="2" t="s">
        <v>245</v>
      </c>
      <c r="B357" s="2" t="s">
        <v>5972</v>
      </c>
      <c r="C357" s="2" t="s">
        <v>1754</v>
      </c>
      <c r="D357" s="2" t="s">
        <v>5973</v>
      </c>
      <c r="E357" s="2" t="s">
        <v>39</v>
      </c>
      <c r="F357" s="2"/>
      <c r="G357" s="2"/>
      <c r="H357" s="2" t="s">
        <v>646</v>
      </c>
      <c r="I357" s="3">
        <f t="shared" si="11"/>
        <v>188</v>
      </c>
    </row>
    <row r="358" spans="1:9" x14ac:dyDescent="0.3">
      <c r="A358" s="2" t="s">
        <v>245</v>
      </c>
      <c r="B358" s="2" t="s">
        <v>3470</v>
      </c>
      <c r="C358" s="2" t="s">
        <v>1754</v>
      </c>
      <c r="D358" s="2" t="s">
        <v>3471</v>
      </c>
      <c r="E358" s="2"/>
      <c r="F358" s="2"/>
      <c r="G358" s="2"/>
      <c r="H358" s="2"/>
      <c r="I358" s="3">
        <f t="shared" si="11"/>
        <v>101</v>
      </c>
    </row>
    <row r="359" spans="1:9" x14ac:dyDescent="0.3">
      <c r="A359" s="2" t="s">
        <v>245</v>
      </c>
      <c r="B359" s="2" t="s">
        <v>1331</v>
      </c>
      <c r="C359" s="2" t="s">
        <v>1332</v>
      </c>
      <c r="D359" s="2" t="s">
        <v>1333</v>
      </c>
      <c r="E359" s="2" t="s">
        <v>39</v>
      </c>
      <c r="F359" s="2"/>
      <c r="G359" s="2"/>
      <c r="H359" s="2"/>
      <c r="I359" s="3">
        <f t="shared" si="11"/>
        <v>61</v>
      </c>
    </row>
    <row r="360" spans="1:9" x14ac:dyDescent="0.3">
      <c r="A360" s="2" t="s">
        <v>245</v>
      </c>
      <c r="B360" s="2" t="s">
        <v>1528</v>
      </c>
      <c r="C360" s="2" t="s">
        <v>1529</v>
      </c>
      <c r="D360" s="2" t="s">
        <v>1530</v>
      </c>
      <c r="E360" s="2" t="s">
        <v>39</v>
      </c>
      <c r="F360" s="2"/>
      <c r="G360" s="2"/>
      <c r="H360" s="2"/>
      <c r="I360" s="3">
        <f t="shared" si="11"/>
        <v>64</v>
      </c>
    </row>
    <row r="361" spans="1:9" ht="24" x14ac:dyDescent="0.3">
      <c r="A361" s="2" t="s">
        <v>245</v>
      </c>
      <c r="B361" s="2" t="s">
        <v>5608</v>
      </c>
      <c r="C361" s="2" t="s">
        <v>5609</v>
      </c>
      <c r="D361" s="2" t="s">
        <v>5610</v>
      </c>
      <c r="E361" s="2" t="s">
        <v>383</v>
      </c>
      <c r="F361" s="2"/>
      <c r="G361" s="2"/>
      <c r="H361" s="2"/>
      <c r="I361" s="3">
        <f t="shared" si="11"/>
        <v>170</v>
      </c>
    </row>
    <row r="362" spans="1:9" x14ac:dyDescent="0.3">
      <c r="A362" s="2" t="s">
        <v>245</v>
      </c>
      <c r="B362" s="2" t="s">
        <v>3645</v>
      </c>
      <c r="C362" s="2" t="s">
        <v>823</v>
      </c>
      <c r="D362" s="2" t="s">
        <v>3646</v>
      </c>
      <c r="E362" s="2"/>
      <c r="F362" s="2"/>
      <c r="G362" s="2"/>
      <c r="H362" s="2"/>
      <c r="I362" s="3">
        <f t="shared" si="11"/>
        <v>105</v>
      </c>
    </row>
    <row r="363" spans="1:9" ht="36" x14ac:dyDescent="0.3">
      <c r="A363" s="2" t="s">
        <v>245</v>
      </c>
      <c r="B363" s="2" t="s">
        <v>6118</v>
      </c>
      <c r="C363" s="2" t="s">
        <v>6119</v>
      </c>
      <c r="D363" s="2" t="s">
        <v>6120</v>
      </c>
      <c r="E363" s="2" t="s">
        <v>616</v>
      </c>
      <c r="F363" s="2"/>
      <c r="G363" s="2"/>
      <c r="H363" s="2"/>
      <c r="I363" s="3">
        <f t="shared" si="11"/>
        <v>198</v>
      </c>
    </row>
    <row r="364" spans="1:9" ht="24" x14ac:dyDescent="0.3">
      <c r="A364" s="2" t="s">
        <v>245</v>
      </c>
      <c r="B364" s="2" t="s">
        <v>4016</v>
      </c>
      <c r="C364" s="2" t="s">
        <v>4017</v>
      </c>
      <c r="D364" s="2" t="s">
        <v>4018</v>
      </c>
      <c r="E364" s="2" t="s">
        <v>211</v>
      </c>
      <c r="F364" s="2"/>
      <c r="G364" s="2"/>
      <c r="H364" s="2"/>
      <c r="I364" s="3">
        <f t="shared" si="11"/>
        <v>114</v>
      </c>
    </row>
    <row r="365" spans="1:9" ht="48" x14ac:dyDescent="0.3">
      <c r="A365" s="2" t="s">
        <v>245</v>
      </c>
      <c r="B365" s="2" t="s">
        <v>7556</v>
      </c>
      <c r="C365" s="2" t="s">
        <v>3385</v>
      </c>
      <c r="D365" s="2" t="s">
        <v>7557</v>
      </c>
      <c r="E365" s="2" t="s">
        <v>39</v>
      </c>
      <c r="F365" s="2"/>
      <c r="G365" s="2"/>
      <c r="H365" s="2" t="s">
        <v>1644</v>
      </c>
      <c r="I365" s="3">
        <f t="shared" si="11"/>
        <v>351</v>
      </c>
    </row>
    <row r="366" spans="1:9" ht="24" x14ac:dyDescent="0.3">
      <c r="A366" s="2" t="s">
        <v>245</v>
      </c>
      <c r="B366" s="2" t="s">
        <v>6183</v>
      </c>
      <c r="C366" s="2" t="s">
        <v>554</v>
      </c>
      <c r="D366" s="2" t="s">
        <v>6184</v>
      </c>
      <c r="E366" s="2" t="s">
        <v>616</v>
      </c>
      <c r="F366" s="2"/>
      <c r="G366" s="2"/>
      <c r="H366" s="2"/>
      <c r="I366" s="3">
        <f t="shared" si="11"/>
        <v>203</v>
      </c>
    </row>
    <row r="367" spans="1:9" ht="24" x14ac:dyDescent="0.3">
      <c r="A367" s="2" t="s">
        <v>245</v>
      </c>
      <c r="B367" s="2" t="s">
        <v>5347</v>
      </c>
      <c r="C367" s="2" t="s">
        <v>5348</v>
      </c>
      <c r="D367" s="2" t="s">
        <v>9388</v>
      </c>
      <c r="E367" s="2" t="s">
        <v>39</v>
      </c>
      <c r="F367" s="2" t="s">
        <v>1778</v>
      </c>
      <c r="G367" s="2" t="s">
        <v>1717</v>
      </c>
      <c r="H367" s="2" t="s">
        <v>646</v>
      </c>
      <c r="I367" s="3">
        <f t="shared" si="11"/>
        <v>154</v>
      </c>
    </row>
    <row r="368" spans="1:9" x14ac:dyDescent="0.3">
      <c r="A368" s="2" t="s">
        <v>245</v>
      </c>
      <c r="B368" s="2" t="s">
        <v>1169</v>
      </c>
      <c r="C368" s="2" t="s">
        <v>1170</v>
      </c>
      <c r="D368" s="2" t="s">
        <v>1171</v>
      </c>
      <c r="E368" s="2"/>
      <c r="F368" s="2"/>
      <c r="G368" s="2"/>
      <c r="H368" s="2"/>
      <c r="I368" s="3">
        <f t="shared" si="11"/>
        <v>58</v>
      </c>
    </row>
    <row r="369" spans="1:9" x14ac:dyDescent="0.3">
      <c r="A369" s="2" t="s">
        <v>245</v>
      </c>
      <c r="B369" s="2" t="s">
        <v>981</v>
      </c>
      <c r="C369" s="2" t="s">
        <v>982</v>
      </c>
      <c r="D369" s="2" t="s">
        <v>983</v>
      </c>
      <c r="E369" s="2" t="s">
        <v>39</v>
      </c>
      <c r="F369" s="2"/>
      <c r="G369" s="2"/>
      <c r="H369" s="2"/>
      <c r="I369" s="3">
        <f t="shared" si="11"/>
        <v>54</v>
      </c>
    </row>
    <row r="370" spans="1:9" ht="36" x14ac:dyDescent="0.3">
      <c r="A370" s="2" t="s">
        <v>245</v>
      </c>
      <c r="B370" s="2" t="s">
        <v>5801</v>
      </c>
      <c r="C370" s="2" t="s">
        <v>6334</v>
      </c>
      <c r="D370" s="2" t="s">
        <v>6335</v>
      </c>
      <c r="E370" s="2" t="s">
        <v>39</v>
      </c>
      <c r="F370" s="2"/>
      <c r="G370" s="2"/>
      <c r="H370" s="2" t="s">
        <v>194</v>
      </c>
      <c r="I370" s="3">
        <f t="shared" si="11"/>
        <v>214</v>
      </c>
    </row>
    <row r="371" spans="1:9" ht="36" x14ac:dyDescent="0.3">
      <c r="A371" s="2" t="s">
        <v>245</v>
      </c>
      <c r="B371" s="2" t="s">
        <v>5801</v>
      </c>
      <c r="C371" s="2" t="s">
        <v>554</v>
      </c>
      <c r="D371" s="2" t="s">
        <v>7136</v>
      </c>
      <c r="E371" s="2" t="s">
        <v>39</v>
      </c>
      <c r="F371" s="2"/>
      <c r="G371" s="2"/>
      <c r="H371" s="2"/>
      <c r="I371" s="3">
        <f t="shared" si="11"/>
        <v>291</v>
      </c>
    </row>
    <row r="372" spans="1:9" ht="24" x14ac:dyDescent="0.3">
      <c r="A372" s="2" t="s">
        <v>245</v>
      </c>
      <c r="B372" s="2" t="s">
        <v>5801</v>
      </c>
      <c r="C372" s="2" t="s">
        <v>554</v>
      </c>
      <c r="D372" s="2" t="s">
        <v>5802</v>
      </c>
      <c r="E372" s="2" t="s">
        <v>39</v>
      </c>
      <c r="F372" s="2"/>
      <c r="G372" s="2"/>
      <c r="H372" s="2"/>
      <c r="I372" s="3">
        <f t="shared" ref="I372:I403" si="12">LEN(D372)</f>
        <v>179</v>
      </c>
    </row>
    <row r="373" spans="1:9" x14ac:dyDescent="0.3">
      <c r="A373" s="2" t="s">
        <v>245</v>
      </c>
      <c r="B373" s="2" t="s">
        <v>8673</v>
      </c>
      <c r="C373" s="2" t="s">
        <v>8672</v>
      </c>
      <c r="D373" s="2" t="s">
        <v>8674</v>
      </c>
      <c r="E373" s="2" t="s">
        <v>39</v>
      </c>
      <c r="F373" s="2"/>
      <c r="G373" s="2"/>
      <c r="H373" s="2"/>
      <c r="I373" s="3">
        <f t="shared" si="12"/>
        <v>87</v>
      </c>
    </row>
    <row r="374" spans="1:9" x14ac:dyDescent="0.3">
      <c r="A374" s="2" t="s">
        <v>245</v>
      </c>
      <c r="B374" s="2" t="s">
        <v>741</v>
      </c>
      <c r="C374" s="2" t="s">
        <v>186</v>
      </c>
      <c r="D374" s="2" t="s">
        <v>742</v>
      </c>
      <c r="E374" s="2"/>
      <c r="F374" s="2"/>
      <c r="G374" s="2"/>
      <c r="H374" s="2"/>
      <c r="I374" s="3">
        <f t="shared" si="12"/>
        <v>49</v>
      </c>
    </row>
    <row r="375" spans="1:9" ht="24" x14ac:dyDescent="0.3">
      <c r="A375" s="2" t="s">
        <v>245</v>
      </c>
      <c r="B375" s="2" t="s">
        <v>746</v>
      </c>
      <c r="C375" s="2" t="s">
        <v>747</v>
      </c>
      <c r="D375" s="2" t="s">
        <v>742</v>
      </c>
      <c r="E375" s="2"/>
      <c r="F375" s="2"/>
      <c r="G375" s="2"/>
      <c r="H375" s="2"/>
      <c r="I375" s="3">
        <f t="shared" si="12"/>
        <v>49</v>
      </c>
    </row>
    <row r="376" spans="1:9" x14ac:dyDescent="0.3">
      <c r="A376" s="2" t="s">
        <v>245</v>
      </c>
      <c r="B376" s="2" t="s">
        <v>748</v>
      </c>
      <c r="C376" s="2" t="s">
        <v>747</v>
      </c>
      <c r="D376" s="2" t="s">
        <v>742</v>
      </c>
      <c r="E376" s="2" t="s">
        <v>39</v>
      </c>
      <c r="F376" s="2"/>
      <c r="G376" s="2"/>
      <c r="H376" s="2"/>
      <c r="I376" s="3">
        <f t="shared" si="12"/>
        <v>49</v>
      </c>
    </row>
    <row r="377" spans="1:9" ht="24" x14ac:dyDescent="0.3">
      <c r="A377" s="2" t="s">
        <v>245</v>
      </c>
      <c r="B377" s="2" t="s">
        <v>1807</v>
      </c>
      <c r="C377" s="2" t="s">
        <v>1808</v>
      </c>
      <c r="D377" s="2" t="s">
        <v>3379</v>
      </c>
      <c r="E377" s="2"/>
      <c r="F377" s="2"/>
      <c r="G377" s="2"/>
      <c r="H377" s="2"/>
      <c r="I377" s="3">
        <f t="shared" si="12"/>
        <v>99</v>
      </c>
    </row>
    <row r="378" spans="1:9" x14ac:dyDescent="0.3">
      <c r="A378" s="2" t="s">
        <v>245</v>
      </c>
      <c r="B378" s="2" t="s">
        <v>950</v>
      </c>
      <c r="C378" s="2" t="s">
        <v>951</v>
      </c>
      <c r="D378" s="2" t="s">
        <v>952</v>
      </c>
      <c r="E378" s="2" t="s">
        <v>39</v>
      </c>
      <c r="F378" s="2"/>
      <c r="G378" s="2"/>
      <c r="H378" s="2" t="s">
        <v>86</v>
      </c>
      <c r="I378" s="3">
        <f t="shared" si="12"/>
        <v>53</v>
      </c>
    </row>
    <row r="379" spans="1:9" x14ac:dyDescent="0.3">
      <c r="A379" s="2" t="s">
        <v>245</v>
      </c>
      <c r="B379" s="2" t="s">
        <v>2925</v>
      </c>
      <c r="C379" s="2" t="s">
        <v>2926</v>
      </c>
      <c r="D379" s="2" t="s">
        <v>2927</v>
      </c>
      <c r="E379" s="2"/>
      <c r="F379" s="2"/>
      <c r="G379" s="2"/>
      <c r="H379" s="2"/>
      <c r="I379" s="3">
        <f t="shared" si="12"/>
        <v>89</v>
      </c>
    </row>
    <row r="380" spans="1:9" x14ac:dyDescent="0.3">
      <c r="A380" s="2" t="s">
        <v>245</v>
      </c>
      <c r="B380" s="2" t="s">
        <v>1292</v>
      </c>
      <c r="C380" s="2" t="s">
        <v>1293</v>
      </c>
      <c r="D380" s="2" t="s">
        <v>2685</v>
      </c>
      <c r="E380" s="2"/>
      <c r="F380" s="2"/>
      <c r="G380" s="2"/>
      <c r="H380" s="2"/>
      <c r="I380" s="3">
        <f t="shared" si="12"/>
        <v>85</v>
      </c>
    </row>
    <row r="381" spans="1:9" ht="24" x14ac:dyDescent="0.3">
      <c r="A381" s="2" t="s">
        <v>245</v>
      </c>
      <c r="B381" s="2" t="s">
        <v>3512</v>
      </c>
      <c r="C381" s="2" t="s">
        <v>1293</v>
      </c>
      <c r="D381" s="2" t="s">
        <v>3513</v>
      </c>
      <c r="E381" s="2"/>
      <c r="F381" s="2"/>
      <c r="G381" s="2"/>
      <c r="H381" s="2"/>
      <c r="I381" s="3">
        <f t="shared" si="12"/>
        <v>102</v>
      </c>
    </row>
    <row r="382" spans="1:9" x14ac:dyDescent="0.3">
      <c r="A382" s="2" t="s">
        <v>245</v>
      </c>
      <c r="B382" s="2" t="s">
        <v>950</v>
      </c>
      <c r="C382" s="2" t="s">
        <v>951</v>
      </c>
      <c r="D382" s="2" t="s">
        <v>1583</v>
      </c>
      <c r="E382" s="2"/>
      <c r="F382" s="2"/>
      <c r="G382" s="2"/>
      <c r="H382" s="2" t="s">
        <v>86</v>
      </c>
      <c r="I382" s="3">
        <f t="shared" si="12"/>
        <v>65</v>
      </c>
    </row>
    <row r="383" spans="1:9" x14ac:dyDescent="0.3">
      <c r="A383" s="2" t="s">
        <v>245</v>
      </c>
      <c r="B383" s="2" t="s">
        <v>2578</v>
      </c>
      <c r="C383" s="2" t="s">
        <v>186</v>
      </c>
      <c r="D383" s="2" t="s">
        <v>2579</v>
      </c>
      <c r="E383" s="2" t="s">
        <v>39</v>
      </c>
      <c r="F383" s="2"/>
      <c r="G383" s="2"/>
      <c r="H383" s="2" t="s">
        <v>194</v>
      </c>
      <c r="I383" s="3">
        <f t="shared" si="12"/>
        <v>83</v>
      </c>
    </row>
    <row r="384" spans="1:9" x14ac:dyDescent="0.3">
      <c r="A384" s="2" t="s">
        <v>245</v>
      </c>
      <c r="B384" s="2" t="s">
        <v>1358</v>
      </c>
      <c r="C384" s="2" t="s">
        <v>1359</v>
      </c>
      <c r="D384" s="2" t="s">
        <v>1360</v>
      </c>
      <c r="E384" s="2"/>
      <c r="F384" s="2"/>
      <c r="G384" s="2"/>
      <c r="H384" s="2"/>
      <c r="I384" s="3">
        <f t="shared" si="12"/>
        <v>62</v>
      </c>
    </row>
    <row r="385" spans="1:9" x14ac:dyDescent="0.3">
      <c r="A385" s="2" t="s">
        <v>245</v>
      </c>
      <c r="B385" s="2" t="s">
        <v>748</v>
      </c>
      <c r="C385" s="2" t="s">
        <v>951</v>
      </c>
      <c r="D385" s="2" t="s">
        <v>1531</v>
      </c>
      <c r="E385" s="2" t="s">
        <v>39</v>
      </c>
      <c r="F385" s="2"/>
      <c r="G385" s="2"/>
      <c r="H385" s="2"/>
      <c r="I385" s="3">
        <f t="shared" si="12"/>
        <v>64</v>
      </c>
    </row>
    <row r="386" spans="1:9" ht="24" x14ac:dyDescent="0.3">
      <c r="A386" s="2" t="s">
        <v>245</v>
      </c>
      <c r="B386" s="2" t="s">
        <v>1807</v>
      </c>
      <c r="C386" s="2" t="s">
        <v>1808</v>
      </c>
      <c r="D386" s="2" t="s">
        <v>1809</v>
      </c>
      <c r="E386" s="2"/>
      <c r="F386" s="2"/>
      <c r="G386" s="2"/>
      <c r="H386" s="2" t="s">
        <v>86</v>
      </c>
      <c r="I386" s="3">
        <f t="shared" si="12"/>
        <v>69</v>
      </c>
    </row>
    <row r="387" spans="1:9" ht="24" x14ac:dyDescent="0.3">
      <c r="A387" s="2" t="s">
        <v>245</v>
      </c>
      <c r="B387" s="2" t="s">
        <v>746</v>
      </c>
      <c r="C387" s="2" t="s">
        <v>951</v>
      </c>
      <c r="D387" s="2" t="s">
        <v>2866</v>
      </c>
      <c r="E387" s="2"/>
      <c r="F387" s="2"/>
      <c r="G387" s="2"/>
      <c r="H387" s="2"/>
      <c r="I387" s="3">
        <f t="shared" si="12"/>
        <v>88</v>
      </c>
    </row>
    <row r="388" spans="1:9" ht="24" x14ac:dyDescent="0.3">
      <c r="A388" s="2" t="s">
        <v>245</v>
      </c>
      <c r="B388" s="2" t="s">
        <v>6102</v>
      </c>
      <c r="C388" s="2" t="s">
        <v>6103</v>
      </c>
      <c r="D388" s="2" t="s">
        <v>9389</v>
      </c>
      <c r="E388" s="2" t="s">
        <v>39</v>
      </c>
      <c r="F388" s="2" t="s">
        <v>3082</v>
      </c>
      <c r="G388" s="2" t="s">
        <v>1717</v>
      </c>
      <c r="H388" s="2"/>
      <c r="I388" s="3">
        <f t="shared" si="12"/>
        <v>195</v>
      </c>
    </row>
    <row r="389" spans="1:9" ht="36" x14ac:dyDescent="0.3">
      <c r="A389" s="2" t="s">
        <v>245</v>
      </c>
      <c r="B389" s="2" t="s">
        <v>1358</v>
      </c>
      <c r="C389" s="2" t="s">
        <v>1359</v>
      </c>
      <c r="D389" s="2" t="s">
        <v>9390</v>
      </c>
      <c r="E389" s="2" t="s">
        <v>39</v>
      </c>
      <c r="F389" s="2" t="s">
        <v>1778</v>
      </c>
      <c r="G389" s="2" t="s">
        <v>1717</v>
      </c>
      <c r="H389" s="2" t="s">
        <v>646</v>
      </c>
      <c r="I389" s="3">
        <f t="shared" si="12"/>
        <v>230</v>
      </c>
    </row>
    <row r="390" spans="1:9" ht="24" x14ac:dyDescent="0.3">
      <c r="A390" s="2" t="s">
        <v>245</v>
      </c>
      <c r="B390" s="2" t="s">
        <v>5444</v>
      </c>
      <c r="C390" s="2" t="s">
        <v>2707</v>
      </c>
      <c r="D390" s="2" t="s">
        <v>9391</v>
      </c>
      <c r="E390" s="2" t="s">
        <v>1140</v>
      </c>
      <c r="F390" s="2" t="s">
        <v>1778</v>
      </c>
      <c r="G390" s="2" t="s">
        <v>1717</v>
      </c>
      <c r="H390" s="2" t="s">
        <v>898</v>
      </c>
      <c r="I390" s="3">
        <f t="shared" si="12"/>
        <v>159</v>
      </c>
    </row>
    <row r="391" spans="1:9" ht="24" x14ac:dyDescent="0.3">
      <c r="A391" s="2" t="s">
        <v>245</v>
      </c>
      <c r="B391" s="2" t="s">
        <v>2706</v>
      </c>
      <c r="C391" s="2" t="s">
        <v>2707</v>
      </c>
      <c r="D391" s="2" t="s">
        <v>8720</v>
      </c>
      <c r="E391" s="2" t="s">
        <v>3209</v>
      </c>
      <c r="F391" s="2"/>
      <c r="G391" s="2"/>
      <c r="H391" s="2" t="s">
        <v>898</v>
      </c>
      <c r="I391" s="3">
        <f t="shared" si="12"/>
        <v>115</v>
      </c>
    </row>
    <row r="392" spans="1:9" ht="24" x14ac:dyDescent="0.3">
      <c r="A392" s="2" t="s">
        <v>245</v>
      </c>
      <c r="B392" s="2" t="s">
        <v>2706</v>
      </c>
      <c r="C392" s="2" t="s">
        <v>2707</v>
      </c>
      <c r="D392" s="2" t="s">
        <v>8721</v>
      </c>
      <c r="E392" s="2" t="s">
        <v>3980</v>
      </c>
      <c r="F392" s="2"/>
      <c r="G392" s="2"/>
      <c r="H392" s="2" t="s">
        <v>898</v>
      </c>
      <c r="I392" s="3">
        <f t="shared" si="12"/>
        <v>123</v>
      </c>
    </row>
    <row r="393" spans="1:9" x14ac:dyDescent="0.3">
      <c r="A393" s="2" t="s">
        <v>245</v>
      </c>
      <c r="B393" s="2" t="s">
        <v>3543</v>
      </c>
      <c r="C393" s="2" t="s">
        <v>2707</v>
      </c>
      <c r="D393" s="2" t="s">
        <v>3544</v>
      </c>
      <c r="E393" s="2" t="s">
        <v>3545</v>
      </c>
      <c r="F393" s="2"/>
      <c r="G393" s="2"/>
      <c r="H393" s="2" t="s">
        <v>898</v>
      </c>
      <c r="I393" s="3">
        <f t="shared" si="12"/>
        <v>103</v>
      </c>
    </row>
    <row r="394" spans="1:9" ht="24" x14ac:dyDescent="0.3">
      <c r="A394" s="2" t="s">
        <v>245</v>
      </c>
      <c r="B394" s="2" t="s">
        <v>5912</v>
      </c>
      <c r="C394" s="2" t="s">
        <v>5913</v>
      </c>
      <c r="D394" s="2" t="s">
        <v>5914</v>
      </c>
      <c r="E394" s="2" t="s">
        <v>2524</v>
      </c>
      <c r="F394" s="2"/>
      <c r="G394" s="2"/>
      <c r="H394" s="2" t="s">
        <v>3494</v>
      </c>
      <c r="I394" s="3">
        <f t="shared" si="12"/>
        <v>184</v>
      </c>
    </row>
    <row r="395" spans="1:9" ht="24" x14ac:dyDescent="0.3">
      <c r="A395" s="2" t="s">
        <v>245</v>
      </c>
      <c r="B395" s="2" t="s">
        <v>3543</v>
      </c>
      <c r="C395" s="2" t="s">
        <v>2707</v>
      </c>
      <c r="D395" s="2" t="s">
        <v>3895</v>
      </c>
      <c r="E395" s="2" t="s">
        <v>2524</v>
      </c>
      <c r="F395" s="2"/>
      <c r="G395" s="2"/>
      <c r="H395" s="2" t="s">
        <v>898</v>
      </c>
      <c r="I395" s="3">
        <f t="shared" si="12"/>
        <v>111</v>
      </c>
    </row>
    <row r="396" spans="1:9" ht="24" x14ac:dyDescent="0.3">
      <c r="A396" s="2" t="s">
        <v>245</v>
      </c>
      <c r="B396" s="2" t="s">
        <v>2460</v>
      </c>
      <c r="C396" s="2" t="s">
        <v>2461</v>
      </c>
      <c r="D396" s="2" t="s">
        <v>2462</v>
      </c>
      <c r="E396" s="2"/>
      <c r="F396" s="2"/>
      <c r="G396" s="2"/>
      <c r="H396" s="2"/>
      <c r="I396" s="3">
        <f t="shared" si="12"/>
        <v>81</v>
      </c>
    </row>
    <row r="397" spans="1:9" ht="24" x14ac:dyDescent="0.3">
      <c r="A397" s="2" t="s">
        <v>245</v>
      </c>
      <c r="B397" s="2" t="s">
        <v>2460</v>
      </c>
      <c r="C397" s="2" t="s">
        <v>2461</v>
      </c>
      <c r="D397" s="2" t="s">
        <v>3341</v>
      </c>
      <c r="E397" s="2"/>
      <c r="F397" s="2"/>
      <c r="G397" s="2"/>
      <c r="H397" s="2"/>
      <c r="I397" s="3">
        <f t="shared" si="12"/>
        <v>98</v>
      </c>
    </row>
    <row r="398" spans="1:9" ht="24" x14ac:dyDescent="0.3">
      <c r="A398" s="2" t="s">
        <v>245</v>
      </c>
      <c r="B398" s="2" t="s">
        <v>2045</v>
      </c>
      <c r="C398" s="2" t="s">
        <v>186</v>
      </c>
      <c r="D398" s="2" t="s">
        <v>2046</v>
      </c>
      <c r="E398" s="2"/>
      <c r="F398" s="2"/>
      <c r="G398" s="2"/>
      <c r="H398" s="2" t="s">
        <v>194</v>
      </c>
      <c r="I398" s="3">
        <f t="shared" si="12"/>
        <v>73</v>
      </c>
    </row>
    <row r="399" spans="1:9" x14ac:dyDescent="0.3">
      <c r="A399" s="2" t="s">
        <v>245</v>
      </c>
      <c r="B399" s="2" t="s">
        <v>2047</v>
      </c>
      <c r="C399" s="2" t="s">
        <v>1313</v>
      </c>
      <c r="D399" s="2" t="s">
        <v>2048</v>
      </c>
      <c r="E399" s="2"/>
      <c r="F399" s="2"/>
      <c r="G399" s="2"/>
      <c r="H399" s="2" t="s">
        <v>194</v>
      </c>
      <c r="I399" s="3">
        <f t="shared" si="12"/>
        <v>73</v>
      </c>
    </row>
    <row r="400" spans="1:9" x14ac:dyDescent="0.3">
      <c r="A400" s="2" t="s">
        <v>245</v>
      </c>
      <c r="B400" s="2" t="s">
        <v>1406</v>
      </c>
      <c r="C400" s="2" t="s">
        <v>1451</v>
      </c>
      <c r="D400" s="2" t="s">
        <v>3026</v>
      </c>
      <c r="E400" s="2"/>
      <c r="F400" s="2"/>
      <c r="G400" s="2"/>
      <c r="H400" s="2"/>
      <c r="I400" s="3">
        <f t="shared" si="12"/>
        <v>91</v>
      </c>
    </row>
    <row r="401" spans="1:9" x14ac:dyDescent="0.3">
      <c r="A401" s="2" t="s">
        <v>245</v>
      </c>
      <c r="B401" s="2" t="s">
        <v>2686</v>
      </c>
      <c r="C401" s="2" t="s">
        <v>856</v>
      </c>
      <c r="D401" s="2" t="s">
        <v>2687</v>
      </c>
      <c r="E401" s="2"/>
      <c r="F401" s="2"/>
      <c r="G401" s="2"/>
      <c r="H401" s="2"/>
      <c r="I401" s="3">
        <f t="shared" si="12"/>
        <v>85</v>
      </c>
    </row>
    <row r="402" spans="1:9" x14ac:dyDescent="0.3">
      <c r="A402" s="2" t="s">
        <v>245</v>
      </c>
      <c r="B402" s="2" t="s">
        <v>1406</v>
      </c>
      <c r="C402" s="2" t="s">
        <v>856</v>
      </c>
      <c r="D402" s="2" t="s">
        <v>1407</v>
      </c>
      <c r="E402" s="2"/>
      <c r="F402" s="2"/>
      <c r="G402" s="2"/>
      <c r="H402" s="2"/>
      <c r="I402" s="3">
        <f t="shared" si="12"/>
        <v>62</v>
      </c>
    </row>
    <row r="403" spans="1:9" x14ac:dyDescent="0.3">
      <c r="A403" s="2" t="s">
        <v>245</v>
      </c>
      <c r="B403" s="2" t="s">
        <v>2387</v>
      </c>
      <c r="C403" s="2" t="s">
        <v>2388</v>
      </c>
      <c r="D403" s="2" t="s">
        <v>2389</v>
      </c>
      <c r="E403" s="2" t="s">
        <v>39</v>
      </c>
      <c r="F403" s="2"/>
      <c r="G403" s="2"/>
      <c r="H403" s="2" t="s">
        <v>646</v>
      </c>
      <c r="I403" s="3">
        <f t="shared" si="12"/>
        <v>80</v>
      </c>
    </row>
    <row r="404" spans="1:9" x14ac:dyDescent="0.3">
      <c r="A404" s="2" t="s">
        <v>245</v>
      </c>
      <c r="B404" s="2" t="s">
        <v>2867</v>
      </c>
      <c r="C404" s="2" t="s">
        <v>2868</v>
      </c>
      <c r="D404" s="2" t="s">
        <v>2869</v>
      </c>
      <c r="E404" s="2"/>
      <c r="F404" s="2"/>
      <c r="G404" s="2"/>
      <c r="H404" s="2"/>
      <c r="I404" s="3">
        <f t="shared" ref="I404:I412" si="13">LEN(D404)</f>
        <v>88</v>
      </c>
    </row>
    <row r="405" spans="1:9" x14ac:dyDescent="0.3">
      <c r="A405" s="2" t="s">
        <v>245</v>
      </c>
      <c r="B405" s="2" t="s">
        <v>3069</v>
      </c>
      <c r="C405" s="2" t="s">
        <v>3070</v>
      </c>
      <c r="D405" s="2" t="s">
        <v>3071</v>
      </c>
      <c r="E405" s="2" t="s">
        <v>39</v>
      </c>
      <c r="F405" s="2"/>
      <c r="G405" s="2"/>
      <c r="H405" s="2"/>
      <c r="I405" s="3">
        <f t="shared" si="13"/>
        <v>92</v>
      </c>
    </row>
    <row r="406" spans="1:9" ht="24" x14ac:dyDescent="0.3">
      <c r="A406" s="2" t="s">
        <v>245</v>
      </c>
      <c r="B406" s="2" t="s">
        <v>4266</v>
      </c>
      <c r="C406" s="2" t="s">
        <v>2814</v>
      </c>
      <c r="D406" s="2" t="s">
        <v>4267</v>
      </c>
      <c r="E406" s="2" t="s">
        <v>211</v>
      </c>
      <c r="F406" s="2"/>
      <c r="G406" s="2"/>
      <c r="H406" s="2"/>
      <c r="I406" s="3">
        <f t="shared" si="13"/>
        <v>121</v>
      </c>
    </row>
    <row r="407" spans="1:9" ht="24" x14ac:dyDescent="0.3">
      <c r="A407" s="2" t="s">
        <v>245</v>
      </c>
      <c r="B407" s="2" t="s">
        <v>5070</v>
      </c>
      <c r="C407" s="2" t="s">
        <v>2814</v>
      </c>
      <c r="D407" s="2" t="s">
        <v>5071</v>
      </c>
      <c r="E407" s="2" t="s">
        <v>211</v>
      </c>
      <c r="F407" s="2"/>
      <c r="G407" s="2"/>
      <c r="H407" s="2"/>
      <c r="I407" s="3">
        <f t="shared" si="13"/>
        <v>146</v>
      </c>
    </row>
    <row r="408" spans="1:9" ht="24" x14ac:dyDescent="0.3">
      <c r="A408" s="2" t="s">
        <v>245</v>
      </c>
      <c r="B408" s="2" t="s">
        <v>2813</v>
      </c>
      <c r="C408" s="2" t="s">
        <v>2814</v>
      </c>
      <c r="D408" s="2" t="s">
        <v>2815</v>
      </c>
      <c r="E408" s="2"/>
      <c r="F408" s="2"/>
      <c r="G408" s="2"/>
      <c r="H408" s="2"/>
      <c r="I408" s="3">
        <f t="shared" si="13"/>
        <v>87</v>
      </c>
    </row>
    <row r="409" spans="1:9" x14ac:dyDescent="0.3">
      <c r="A409" s="2" t="s">
        <v>245</v>
      </c>
      <c r="B409" s="2" t="s">
        <v>827</v>
      </c>
      <c r="C409" s="2" t="s">
        <v>2868</v>
      </c>
      <c r="D409" s="2" t="s">
        <v>3072</v>
      </c>
      <c r="E409" s="2"/>
      <c r="F409" s="2"/>
      <c r="G409" s="2"/>
      <c r="H409" s="2"/>
      <c r="I409" s="3">
        <f t="shared" si="13"/>
        <v>92</v>
      </c>
    </row>
    <row r="410" spans="1:9" x14ac:dyDescent="0.3">
      <c r="A410" s="2" t="s">
        <v>245</v>
      </c>
      <c r="B410" s="2" t="s">
        <v>3244</v>
      </c>
      <c r="C410" s="2" t="s">
        <v>2868</v>
      </c>
      <c r="D410" s="2" t="s">
        <v>3682</v>
      </c>
      <c r="E410" s="2"/>
      <c r="F410" s="2"/>
      <c r="G410" s="2"/>
      <c r="H410" s="2"/>
      <c r="I410" s="3">
        <f t="shared" si="13"/>
        <v>106</v>
      </c>
    </row>
    <row r="411" spans="1:9" x14ac:dyDescent="0.3">
      <c r="A411" s="2" t="s">
        <v>245</v>
      </c>
      <c r="B411" s="2" t="s">
        <v>3244</v>
      </c>
      <c r="C411" s="2" t="s">
        <v>2868</v>
      </c>
      <c r="D411" s="2" t="s">
        <v>3245</v>
      </c>
      <c r="E411" s="2"/>
      <c r="F411" s="2"/>
      <c r="G411" s="2"/>
      <c r="H411" s="2"/>
      <c r="I411" s="3">
        <f t="shared" si="13"/>
        <v>96</v>
      </c>
    </row>
    <row r="412" spans="1:9" ht="48" x14ac:dyDescent="0.3">
      <c r="A412" s="2" t="s">
        <v>245</v>
      </c>
      <c r="B412" s="2" t="s">
        <v>1825</v>
      </c>
      <c r="C412" s="2" t="s">
        <v>7443</v>
      </c>
      <c r="D412" s="2" t="s">
        <v>7444</v>
      </c>
      <c r="E412" s="2"/>
      <c r="F412" s="2"/>
      <c r="G412" s="2"/>
      <c r="H412" s="2" t="s">
        <v>1644</v>
      </c>
      <c r="I412" s="3">
        <f t="shared" si="13"/>
        <v>331</v>
      </c>
    </row>
    <row r="413" spans="1:9" x14ac:dyDescent="0.3">
      <c r="A413" s="2" t="s">
        <v>245</v>
      </c>
      <c r="B413" s="2" t="s">
        <v>7749</v>
      </c>
      <c r="C413" s="2" t="s">
        <v>2519</v>
      </c>
      <c r="D413" s="2" t="s">
        <v>8150</v>
      </c>
      <c r="E413" s="2" t="s">
        <v>39</v>
      </c>
      <c r="F413" s="2"/>
      <c r="G413" s="2"/>
      <c r="H413" s="2"/>
      <c r="I413" s="3">
        <v>494</v>
      </c>
    </row>
    <row r="414" spans="1:9" x14ac:dyDescent="0.3">
      <c r="A414" s="2" t="s">
        <v>245</v>
      </c>
      <c r="B414" s="2" t="s">
        <v>8122</v>
      </c>
      <c r="C414" s="2" t="s">
        <v>2519</v>
      </c>
      <c r="D414" s="2" t="s">
        <v>8124</v>
      </c>
      <c r="E414" s="2"/>
      <c r="F414" s="2"/>
      <c r="G414" s="2"/>
      <c r="H414" s="2"/>
      <c r="I414" s="3">
        <v>485</v>
      </c>
    </row>
    <row r="415" spans="1:9" ht="24" x14ac:dyDescent="0.3">
      <c r="A415" s="2" t="s">
        <v>245</v>
      </c>
      <c r="B415" s="2" t="s">
        <v>5232</v>
      </c>
      <c r="C415" s="2" t="s">
        <v>6138</v>
      </c>
      <c r="D415" s="2" t="s">
        <v>6139</v>
      </c>
      <c r="E415" s="2" t="s">
        <v>39</v>
      </c>
      <c r="F415" s="2"/>
      <c r="G415" s="2"/>
      <c r="H415" s="2"/>
      <c r="I415" s="3">
        <f t="shared" ref="I415:I436" si="14">LEN(D415)</f>
        <v>199</v>
      </c>
    </row>
    <row r="416" spans="1:9" ht="36" x14ac:dyDescent="0.3">
      <c r="A416" s="2" t="s">
        <v>245</v>
      </c>
      <c r="B416" s="2" t="s">
        <v>1867</v>
      </c>
      <c r="C416" s="2" t="s">
        <v>7016</v>
      </c>
      <c r="D416" s="2" t="s">
        <v>7017</v>
      </c>
      <c r="E416" s="2"/>
      <c r="F416" s="2"/>
      <c r="G416" s="2"/>
      <c r="H416" s="2" t="s">
        <v>3494</v>
      </c>
      <c r="I416" s="3">
        <f t="shared" si="14"/>
        <v>274</v>
      </c>
    </row>
    <row r="417" spans="1:9" x14ac:dyDescent="0.3">
      <c r="A417" s="2" t="s">
        <v>245</v>
      </c>
      <c r="B417" s="2" t="s">
        <v>2518</v>
      </c>
      <c r="C417" s="2" t="s">
        <v>2519</v>
      </c>
      <c r="D417" s="2" t="s">
        <v>2520</v>
      </c>
      <c r="E417" s="2" t="s">
        <v>39</v>
      </c>
      <c r="F417" s="2"/>
      <c r="G417" s="2"/>
      <c r="H417" s="2"/>
      <c r="I417" s="3">
        <f t="shared" si="14"/>
        <v>82</v>
      </c>
    </row>
    <row r="418" spans="1:9" ht="24" x14ac:dyDescent="0.3">
      <c r="A418" s="2" t="s">
        <v>245</v>
      </c>
      <c r="B418" s="2" t="s">
        <v>3069</v>
      </c>
      <c r="C418" s="2" t="s">
        <v>2519</v>
      </c>
      <c r="D418" s="2" t="s">
        <v>4019</v>
      </c>
      <c r="E418" s="2" t="s">
        <v>39</v>
      </c>
      <c r="F418" s="2"/>
      <c r="G418" s="2"/>
      <c r="H418" s="2"/>
      <c r="I418" s="3">
        <f t="shared" si="14"/>
        <v>114</v>
      </c>
    </row>
    <row r="419" spans="1:9" ht="36" x14ac:dyDescent="0.3">
      <c r="A419" s="2" t="s">
        <v>245</v>
      </c>
      <c r="B419" s="2" t="s">
        <v>3069</v>
      </c>
      <c r="C419" s="2" t="s">
        <v>6645</v>
      </c>
      <c r="D419" s="2" t="s">
        <v>9392</v>
      </c>
      <c r="E419" s="2" t="s">
        <v>39</v>
      </c>
      <c r="F419" s="2" t="s">
        <v>1778</v>
      </c>
      <c r="G419" s="2" t="s">
        <v>1717</v>
      </c>
      <c r="H419" s="2"/>
      <c r="I419" s="3">
        <f t="shared" si="14"/>
        <v>237</v>
      </c>
    </row>
    <row r="420" spans="1:9" x14ac:dyDescent="0.3">
      <c r="A420" s="2" t="s">
        <v>245</v>
      </c>
      <c r="B420" s="2" t="s">
        <v>1362</v>
      </c>
      <c r="C420" s="2" t="s">
        <v>828</v>
      </c>
      <c r="D420" s="2" t="s">
        <v>1363</v>
      </c>
      <c r="E420" s="2"/>
      <c r="F420" s="2"/>
      <c r="G420" s="2"/>
      <c r="H420" s="2"/>
      <c r="I420" s="3">
        <f t="shared" si="14"/>
        <v>62</v>
      </c>
    </row>
    <row r="421" spans="1:9" x14ac:dyDescent="0.3">
      <c r="A421" s="2" t="s">
        <v>245</v>
      </c>
      <c r="B421" s="2" t="s">
        <v>827</v>
      </c>
      <c r="C421" s="2" t="s">
        <v>828</v>
      </c>
      <c r="D421" s="2" t="s">
        <v>829</v>
      </c>
      <c r="E421" s="2"/>
      <c r="F421" s="2"/>
      <c r="G421" s="2"/>
      <c r="H421" s="2"/>
      <c r="I421" s="3">
        <f t="shared" si="14"/>
        <v>51</v>
      </c>
    </row>
    <row r="422" spans="1:9" x14ac:dyDescent="0.3">
      <c r="A422" s="2" t="s">
        <v>245</v>
      </c>
      <c r="B422" s="2" t="s">
        <v>2113</v>
      </c>
      <c r="C422" s="2" t="s">
        <v>222</v>
      </c>
      <c r="D422" s="2" t="s">
        <v>2114</v>
      </c>
      <c r="E422" s="2" t="s">
        <v>1510</v>
      </c>
      <c r="F422" s="2"/>
      <c r="G422" s="2"/>
      <c r="H422" s="2"/>
      <c r="I422" s="3">
        <f t="shared" si="14"/>
        <v>74</v>
      </c>
    </row>
    <row r="423" spans="1:9" ht="120" x14ac:dyDescent="0.3">
      <c r="A423" s="2" t="s">
        <v>245</v>
      </c>
      <c r="B423" s="2" t="s">
        <v>8595</v>
      </c>
      <c r="C423" s="2" t="s">
        <v>8596</v>
      </c>
      <c r="D423" s="2" t="s">
        <v>9393</v>
      </c>
      <c r="E423" s="2" t="s">
        <v>39</v>
      </c>
      <c r="F423" s="2" t="s">
        <v>1778</v>
      </c>
      <c r="G423" s="2" t="s">
        <v>1717</v>
      </c>
      <c r="H423" s="2"/>
      <c r="I423" s="3">
        <f t="shared" si="14"/>
        <v>956</v>
      </c>
    </row>
    <row r="424" spans="1:9" ht="24" x14ac:dyDescent="0.3">
      <c r="A424" s="2" t="s">
        <v>245</v>
      </c>
      <c r="B424" s="2" t="s">
        <v>2518</v>
      </c>
      <c r="C424" s="2" t="s">
        <v>3070</v>
      </c>
      <c r="D424" s="2" t="s">
        <v>9394</v>
      </c>
      <c r="E424" s="2" t="s">
        <v>39</v>
      </c>
      <c r="F424" s="2" t="s">
        <v>1778</v>
      </c>
      <c r="G424" s="2" t="s">
        <v>1717</v>
      </c>
      <c r="H424" s="2"/>
      <c r="I424" s="3">
        <f t="shared" si="14"/>
        <v>170</v>
      </c>
    </row>
    <row r="425" spans="1:9" ht="24" x14ac:dyDescent="0.3">
      <c r="A425" s="2" t="s">
        <v>245</v>
      </c>
      <c r="B425" s="2" t="s">
        <v>1321</v>
      </c>
      <c r="C425" s="2" t="s">
        <v>1983</v>
      </c>
      <c r="D425" s="2" t="s">
        <v>9395</v>
      </c>
      <c r="E425" s="2" t="s">
        <v>3643</v>
      </c>
      <c r="F425" s="2" t="s">
        <v>1778</v>
      </c>
      <c r="G425" s="2" t="s">
        <v>1717</v>
      </c>
      <c r="H425" s="2"/>
      <c r="I425" s="3">
        <f t="shared" si="14"/>
        <v>191</v>
      </c>
    </row>
    <row r="426" spans="1:9" ht="48" x14ac:dyDescent="0.3">
      <c r="A426" s="2" t="s">
        <v>245</v>
      </c>
      <c r="B426" s="2" t="s">
        <v>5086</v>
      </c>
      <c r="C426" s="2" t="s">
        <v>7523</v>
      </c>
      <c r="D426" s="2" t="s">
        <v>7524</v>
      </c>
      <c r="E426" s="2" t="s">
        <v>6897</v>
      </c>
      <c r="F426" s="2"/>
      <c r="G426" s="2"/>
      <c r="H426" s="2"/>
      <c r="I426" s="3">
        <f t="shared" si="14"/>
        <v>345</v>
      </c>
    </row>
    <row r="427" spans="1:9" ht="60" x14ac:dyDescent="0.3">
      <c r="A427" s="2" t="s">
        <v>245</v>
      </c>
      <c r="B427" s="2" t="s">
        <v>8002</v>
      </c>
      <c r="C427" s="2" t="s">
        <v>8003</v>
      </c>
      <c r="D427" s="2" t="s">
        <v>8004</v>
      </c>
      <c r="E427" s="2" t="s">
        <v>8005</v>
      </c>
      <c r="F427" s="2"/>
      <c r="G427" s="2"/>
      <c r="H427" s="2" t="s">
        <v>646</v>
      </c>
      <c r="I427" s="3">
        <f t="shared" si="14"/>
        <v>447</v>
      </c>
    </row>
    <row r="428" spans="1:9" ht="60" x14ac:dyDescent="0.3">
      <c r="A428" s="2" t="s">
        <v>245</v>
      </c>
      <c r="B428" s="2" t="s">
        <v>6536</v>
      </c>
      <c r="C428" s="2" t="s">
        <v>7877</v>
      </c>
      <c r="D428" s="2" t="s">
        <v>9396</v>
      </c>
      <c r="E428" s="2" t="s">
        <v>2693</v>
      </c>
      <c r="F428" s="2" t="s">
        <v>1778</v>
      </c>
      <c r="G428" s="2" t="s">
        <v>1717</v>
      </c>
      <c r="H428" s="2" t="s">
        <v>898</v>
      </c>
      <c r="I428" s="3">
        <f t="shared" si="14"/>
        <v>417</v>
      </c>
    </row>
    <row r="429" spans="1:9" ht="36" x14ac:dyDescent="0.3">
      <c r="A429" s="2" t="s">
        <v>245</v>
      </c>
      <c r="B429" s="2" t="s">
        <v>2113</v>
      </c>
      <c r="C429" s="2" t="s">
        <v>6391</v>
      </c>
      <c r="D429" s="2" t="s">
        <v>9397</v>
      </c>
      <c r="E429" s="2" t="s">
        <v>885</v>
      </c>
      <c r="F429" s="2" t="s">
        <v>1778</v>
      </c>
      <c r="G429" s="2" t="s">
        <v>1717</v>
      </c>
      <c r="H429" s="2"/>
      <c r="I429" s="3">
        <f t="shared" si="14"/>
        <v>216</v>
      </c>
    </row>
    <row r="430" spans="1:9" ht="60" x14ac:dyDescent="0.3">
      <c r="A430" s="2" t="s">
        <v>245</v>
      </c>
      <c r="B430" s="2" t="s">
        <v>1641</v>
      </c>
      <c r="C430" s="2" t="s">
        <v>7957</v>
      </c>
      <c r="D430" s="2" t="s">
        <v>9398</v>
      </c>
      <c r="E430" s="2" t="s">
        <v>7958</v>
      </c>
      <c r="F430" s="2" t="s">
        <v>1778</v>
      </c>
      <c r="G430" s="2" t="s">
        <v>1717</v>
      </c>
      <c r="H430" s="2" t="s">
        <v>646</v>
      </c>
      <c r="I430" s="3">
        <f t="shared" si="14"/>
        <v>436</v>
      </c>
    </row>
    <row r="431" spans="1:9" ht="48" x14ac:dyDescent="0.3">
      <c r="A431" s="2" t="s">
        <v>245</v>
      </c>
      <c r="B431" s="2" t="s">
        <v>3252</v>
      </c>
      <c r="C431" s="2" t="s">
        <v>1983</v>
      </c>
      <c r="D431" s="2" t="s">
        <v>9399</v>
      </c>
      <c r="E431" s="2" t="s">
        <v>3700</v>
      </c>
      <c r="F431" s="2" t="s">
        <v>1778</v>
      </c>
      <c r="G431" s="2" t="s">
        <v>1717</v>
      </c>
      <c r="H431" s="2" t="s">
        <v>646</v>
      </c>
      <c r="I431" s="3">
        <f t="shared" si="14"/>
        <v>361</v>
      </c>
    </row>
    <row r="432" spans="1:9" ht="36" x14ac:dyDescent="0.3">
      <c r="A432" s="2" t="s">
        <v>245</v>
      </c>
      <c r="B432" s="2" t="s">
        <v>4455</v>
      </c>
      <c r="C432" s="2" t="s">
        <v>6391</v>
      </c>
      <c r="D432" s="2" t="s">
        <v>9400</v>
      </c>
      <c r="E432" s="2" t="s">
        <v>6516</v>
      </c>
      <c r="F432" s="2" t="s">
        <v>1778</v>
      </c>
      <c r="G432" s="2" t="s">
        <v>1717</v>
      </c>
      <c r="H432" s="2"/>
      <c r="I432" s="3">
        <f t="shared" si="14"/>
        <v>226</v>
      </c>
    </row>
    <row r="433" spans="1:9" ht="36" x14ac:dyDescent="0.3">
      <c r="A433" s="2" t="s">
        <v>245</v>
      </c>
      <c r="B433" s="2" t="s">
        <v>7023</v>
      </c>
      <c r="C433" s="2" t="s">
        <v>7024</v>
      </c>
      <c r="D433" s="2" t="s">
        <v>9401</v>
      </c>
      <c r="E433" s="2" t="s">
        <v>7025</v>
      </c>
      <c r="F433" s="2" t="s">
        <v>1778</v>
      </c>
      <c r="G433" s="2" t="s">
        <v>1717</v>
      </c>
      <c r="H433" s="2"/>
      <c r="I433" s="3">
        <f t="shared" si="14"/>
        <v>273</v>
      </c>
    </row>
    <row r="434" spans="1:9" ht="24" x14ac:dyDescent="0.3">
      <c r="A434" s="2" t="s">
        <v>245</v>
      </c>
      <c r="B434" s="2" t="s">
        <v>2867</v>
      </c>
      <c r="C434" s="2" t="s">
        <v>5000</v>
      </c>
      <c r="D434" s="2" t="s">
        <v>9402</v>
      </c>
      <c r="E434" s="2" t="s">
        <v>3980</v>
      </c>
      <c r="F434" s="2" t="s">
        <v>1778</v>
      </c>
      <c r="G434" s="2" t="s">
        <v>1717</v>
      </c>
      <c r="H434" s="2" t="s">
        <v>898</v>
      </c>
      <c r="I434" s="3">
        <f t="shared" si="14"/>
        <v>142</v>
      </c>
    </row>
    <row r="435" spans="1:9" ht="24" x14ac:dyDescent="0.3">
      <c r="A435" s="2" t="s">
        <v>245</v>
      </c>
      <c r="B435" s="2" t="s">
        <v>5375</v>
      </c>
      <c r="C435" s="2" t="s">
        <v>2868</v>
      </c>
      <c r="D435" s="2" t="s">
        <v>5376</v>
      </c>
      <c r="E435" s="2"/>
      <c r="F435" s="2"/>
      <c r="G435" s="2"/>
      <c r="H435" s="2"/>
      <c r="I435" s="3">
        <f t="shared" si="14"/>
        <v>157</v>
      </c>
    </row>
    <row r="436" spans="1:9" ht="24" x14ac:dyDescent="0.3">
      <c r="A436" s="2" t="s">
        <v>245</v>
      </c>
      <c r="B436" s="2" t="s">
        <v>3244</v>
      </c>
      <c r="C436" s="2" t="s">
        <v>5000</v>
      </c>
      <c r="D436" s="2" t="s">
        <v>5199</v>
      </c>
      <c r="E436" s="2" t="s">
        <v>5200</v>
      </c>
      <c r="F436" s="2"/>
      <c r="G436" s="2"/>
      <c r="H436" s="2" t="s">
        <v>898</v>
      </c>
      <c r="I436" s="3">
        <f t="shared" si="14"/>
        <v>150</v>
      </c>
    </row>
    <row r="437" spans="1:9" x14ac:dyDescent="0.3">
      <c r="A437" s="2" t="s">
        <v>245</v>
      </c>
      <c r="B437" s="2" t="s">
        <v>8125</v>
      </c>
      <c r="C437" s="2" t="s">
        <v>222</v>
      </c>
      <c r="D437" s="2" t="s">
        <v>8126</v>
      </c>
      <c r="E437" s="2" t="s">
        <v>2709</v>
      </c>
      <c r="F437" s="2"/>
      <c r="G437" s="2"/>
      <c r="H437" s="2"/>
      <c r="I437" s="3">
        <v>485</v>
      </c>
    </row>
    <row r="438" spans="1:9" ht="72" x14ac:dyDescent="0.3">
      <c r="A438" s="2" t="s">
        <v>245</v>
      </c>
      <c r="B438" s="2" t="s">
        <v>8372</v>
      </c>
      <c r="C438" s="2" t="s">
        <v>8373</v>
      </c>
      <c r="D438" s="2" t="s">
        <v>8374</v>
      </c>
      <c r="E438" s="2" t="s">
        <v>3226</v>
      </c>
      <c r="F438" s="2"/>
      <c r="G438" s="2"/>
      <c r="H438" s="2" t="s">
        <v>646</v>
      </c>
      <c r="I438" s="3">
        <f t="shared" ref="I438:I471" si="15">LEN(D438)</f>
        <v>612</v>
      </c>
    </row>
    <row r="439" spans="1:9" ht="24" x14ac:dyDescent="0.3">
      <c r="A439" s="2" t="s">
        <v>245</v>
      </c>
      <c r="B439" s="2" t="s">
        <v>4040</v>
      </c>
      <c r="C439" s="2" t="s">
        <v>178</v>
      </c>
      <c r="D439" s="2" t="s">
        <v>4041</v>
      </c>
      <c r="E439" s="2" t="s">
        <v>39</v>
      </c>
      <c r="F439" s="2"/>
      <c r="G439" s="2"/>
      <c r="H439" s="2"/>
      <c r="I439" s="3">
        <f t="shared" si="15"/>
        <v>115</v>
      </c>
    </row>
    <row r="440" spans="1:9" x14ac:dyDescent="0.3">
      <c r="A440" s="2" t="s">
        <v>245</v>
      </c>
      <c r="B440" s="2" t="s">
        <v>744</v>
      </c>
      <c r="C440" s="2" t="s">
        <v>342</v>
      </c>
      <c r="D440" s="2" t="s">
        <v>745</v>
      </c>
      <c r="E440" s="2"/>
      <c r="F440" s="2"/>
      <c r="G440" s="2"/>
      <c r="H440" s="2"/>
      <c r="I440" s="3">
        <f t="shared" si="15"/>
        <v>49</v>
      </c>
    </row>
    <row r="441" spans="1:9" ht="24" x14ac:dyDescent="0.3">
      <c r="A441" s="2" t="s">
        <v>245</v>
      </c>
      <c r="B441" s="2" t="s">
        <v>4588</v>
      </c>
      <c r="C441" s="2" t="s">
        <v>4589</v>
      </c>
      <c r="D441" s="2" t="s">
        <v>4590</v>
      </c>
      <c r="E441" s="2" t="s">
        <v>39</v>
      </c>
      <c r="F441" s="2"/>
      <c r="G441" s="2"/>
      <c r="H441" s="2"/>
      <c r="I441" s="3">
        <f t="shared" si="15"/>
        <v>131</v>
      </c>
    </row>
    <row r="442" spans="1:9" x14ac:dyDescent="0.3">
      <c r="A442" s="2" t="s">
        <v>245</v>
      </c>
      <c r="B442" s="2" t="s">
        <v>1474</v>
      </c>
      <c r="C442" s="2" t="s">
        <v>1475</v>
      </c>
      <c r="D442" s="2" t="s">
        <v>1476</v>
      </c>
      <c r="E442" s="2"/>
      <c r="F442" s="2"/>
      <c r="G442" s="2"/>
      <c r="H442" s="2"/>
      <c r="I442" s="3">
        <f t="shared" si="15"/>
        <v>63</v>
      </c>
    </row>
    <row r="443" spans="1:9" ht="24" x14ac:dyDescent="0.3">
      <c r="A443" s="2" t="s">
        <v>245</v>
      </c>
      <c r="B443" s="2" t="s">
        <v>3865</v>
      </c>
      <c r="C443" s="2" t="s">
        <v>3866</v>
      </c>
      <c r="D443" s="2" t="s">
        <v>3867</v>
      </c>
      <c r="E443" s="2" t="s">
        <v>39</v>
      </c>
      <c r="F443" s="2"/>
      <c r="G443" s="2"/>
      <c r="H443" s="2"/>
      <c r="I443" s="3">
        <f t="shared" si="15"/>
        <v>110</v>
      </c>
    </row>
    <row r="444" spans="1:9" ht="24" x14ac:dyDescent="0.3">
      <c r="A444" s="2" t="s">
        <v>245</v>
      </c>
      <c r="B444" s="2" t="s">
        <v>3777</v>
      </c>
      <c r="C444" s="2" t="s">
        <v>3778</v>
      </c>
      <c r="D444" s="2" t="s">
        <v>3779</v>
      </c>
      <c r="E444" s="2" t="s">
        <v>39</v>
      </c>
      <c r="F444" s="2"/>
      <c r="G444" s="2"/>
      <c r="H444" s="2"/>
      <c r="I444" s="3">
        <f t="shared" si="15"/>
        <v>108</v>
      </c>
    </row>
    <row r="445" spans="1:9" x14ac:dyDescent="0.3">
      <c r="A445" s="2" t="s">
        <v>245</v>
      </c>
      <c r="B445" s="2" t="s">
        <v>1532</v>
      </c>
      <c r="C445" s="2" t="s">
        <v>1533</v>
      </c>
      <c r="D445" s="2" t="s">
        <v>1534</v>
      </c>
      <c r="E445" s="2"/>
      <c r="F445" s="2"/>
      <c r="G445" s="2"/>
      <c r="H445" s="2"/>
      <c r="I445" s="3">
        <f t="shared" si="15"/>
        <v>64</v>
      </c>
    </row>
    <row r="446" spans="1:9" ht="24" x14ac:dyDescent="0.3">
      <c r="A446" s="2" t="s">
        <v>245</v>
      </c>
      <c r="B446" s="2" t="s">
        <v>5001</v>
      </c>
      <c r="C446" s="2" t="s">
        <v>5002</v>
      </c>
      <c r="D446" s="2" t="s">
        <v>5003</v>
      </c>
      <c r="E446" s="2" t="s">
        <v>39</v>
      </c>
      <c r="F446" s="2"/>
      <c r="G446" s="2"/>
      <c r="H446" s="2"/>
      <c r="I446" s="3">
        <f t="shared" si="15"/>
        <v>144</v>
      </c>
    </row>
    <row r="447" spans="1:9" x14ac:dyDescent="0.3">
      <c r="A447" s="2" t="s">
        <v>245</v>
      </c>
      <c r="B447" s="2" t="s">
        <v>1082</v>
      </c>
      <c r="C447" s="2" t="s">
        <v>1083</v>
      </c>
      <c r="D447" s="2" t="s">
        <v>1084</v>
      </c>
      <c r="E447" s="2"/>
      <c r="F447" s="2"/>
      <c r="G447" s="2"/>
      <c r="H447" s="2"/>
      <c r="I447" s="3">
        <f t="shared" si="15"/>
        <v>56</v>
      </c>
    </row>
    <row r="448" spans="1:9" x14ac:dyDescent="0.3">
      <c r="A448" s="2" t="s">
        <v>245</v>
      </c>
      <c r="B448" s="2" t="s">
        <v>890</v>
      </c>
      <c r="C448" s="2" t="s">
        <v>891</v>
      </c>
      <c r="D448" s="2" t="s">
        <v>892</v>
      </c>
      <c r="E448" s="2"/>
      <c r="F448" s="2"/>
      <c r="G448" s="2"/>
      <c r="H448" s="2"/>
      <c r="I448" s="3">
        <f t="shared" si="15"/>
        <v>52</v>
      </c>
    </row>
    <row r="449" spans="1:9" x14ac:dyDescent="0.3">
      <c r="A449" s="2" t="s">
        <v>245</v>
      </c>
      <c r="B449" s="2" t="s">
        <v>813</v>
      </c>
      <c r="C449" s="2" t="s">
        <v>814</v>
      </c>
      <c r="D449" s="2" t="s">
        <v>815</v>
      </c>
      <c r="E449" s="2" t="s">
        <v>39</v>
      </c>
      <c r="F449" s="2"/>
      <c r="G449" s="2"/>
      <c r="H449" s="2"/>
      <c r="I449" s="3">
        <f t="shared" si="15"/>
        <v>50</v>
      </c>
    </row>
    <row r="450" spans="1:9" x14ac:dyDescent="0.3">
      <c r="A450" s="2" t="s">
        <v>245</v>
      </c>
      <c r="B450" s="2" t="s">
        <v>3609</v>
      </c>
      <c r="C450" s="2" t="s">
        <v>3610</v>
      </c>
      <c r="D450" s="2" t="s">
        <v>3611</v>
      </c>
      <c r="E450" s="2"/>
      <c r="F450" s="2"/>
      <c r="G450" s="2"/>
      <c r="H450" s="2"/>
      <c r="I450" s="3">
        <f t="shared" si="15"/>
        <v>104</v>
      </c>
    </row>
    <row r="451" spans="1:9" ht="24" x14ac:dyDescent="0.3">
      <c r="A451" s="2" t="s">
        <v>245</v>
      </c>
      <c r="B451" s="2" t="s">
        <v>4591</v>
      </c>
      <c r="C451" s="2" t="s">
        <v>985</v>
      </c>
      <c r="D451" s="2" t="s">
        <v>5089</v>
      </c>
      <c r="E451" s="2"/>
      <c r="F451" s="2"/>
      <c r="G451" s="2"/>
      <c r="H451" s="2"/>
      <c r="I451" s="3">
        <f t="shared" si="15"/>
        <v>147</v>
      </c>
    </row>
    <row r="452" spans="1:9" ht="24" x14ac:dyDescent="0.3">
      <c r="A452" s="2" t="s">
        <v>245</v>
      </c>
      <c r="B452" s="2" t="s">
        <v>4591</v>
      </c>
      <c r="C452" s="2" t="s">
        <v>4592</v>
      </c>
      <c r="D452" s="2" t="s">
        <v>4593</v>
      </c>
      <c r="E452" s="2"/>
      <c r="F452" s="2"/>
      <c r="G452" s="2"/>
      <c r="H452" s="2"/>
      <c r="I452" s="3">
        <f t="shared" si="15"/>
        <v>131</v>
      </c>
    </row>
    <row r="453" spans="1:9" x14ac:dyDescent="0.3">
      <c r="A453" s="2" t="s">
        <v>245</v>
      </c>
      <c r="B453" s="2" t="s">
        <v>984</v>
      </c>
      <c r="C453" s="2" t="s">
        <v>985</v>
      </c>
      <c r="D453" s="2" t="s">
        <v>986</v>
      </c>
      <c r="E453" s="2"/>
      <c r="F453" s="2"/>
      <c r="G453" s="2"/>
      <c r="H453" s="2"/>
      <c r="I453" s="3">
        <f t="shared" si="15"/>
        <v>54</v>
      </c>
    </row>
    <row r="454" spans="1:9" ht="24" x14ac:dyDescent="0.3">
      <c r="A454" s="2" t="s">
        <v>245</v>
      </c>
      <c r="B454" s="2" t="s">
        <v>5636</v>
      </c>
      <c r="C454" s="2" t="s">
        <v>5637</v>
      </c>
      <c r="D454" s="2" t="s">
        <v>6033</v>
      </c>
      <c r="E454" s="2" t="s">
        <v>5017</v>
      </c>
      <c r="F454" s="2"/>
      <c r="G454" s="2"/>
      <c r="H454" s="2" t="s">
        <v>898</v>
      </c>
      <c r="I454" s="3">
        <f t="shared" si="15"/>
        <v>192</v>
      </c>
    </row>
    <row r="455" spans="1:9" ht="36" x14ac:dyDescent="0.3">
      <c r="A455" s="2" t="s">
        <v>245</v>
      </c>
      <c r="B455" s="2" t="s">
        <v>2770</v>
      </c>
      <c r="C455" s="2" t="s">
        <v>2756</v>
      </c>
      <c r="D455" s="2" t="s">
        <v>9403</v>
      </c>
      <c r="E455" s="2" t="s">
        <v>1960</v>
      </c>
      <c r="F455" s="2" t="s">
        <v>2281</v>
      </c>
      <c r="G455" s="2" t="s">
        <v>1717</v>
      </c>
      <c r="H455" s="2" t="s">
        <v>898</v>
      </c>
      <c r="I455" s="3">
        <f t="shared" si="15"/>
        <v>250</v>
      </c>
    </row>
    <row r="456" spans="1:9" ht="24" x14ac:dyDescent="0.3">
      <c r="A456" s="2" t="s">
        <v>245</v>
      </c>
      <c r="B456" s="2" t="s">
        <v>2755</v>
      </c>
      <c r="C456" s="2" t="s">
        <v>2756</v>
      </c>
      <c r="D456" s="2" t="s">
        <v>3548</v>
      </c>
      <c r="E456" s="2" t="s">
        <v>2709</v>
      </c>
      <c r="F456" s="2"/>
      <c r="G456" s="2"/>
      <c r="H456" s="2" t="s">
        <v>898</v>
      </c>
      <c r="I456" s="3">
        <f t="shared" si="15"/>
        <v>103</v>
      </c>
    </row>
    <row r="457" spans="1:9" ht="24" x14ac:dyDescent="0.3">
      <c r="A457" s="2" t="s">
        <v>245</v>
      </c>
      <c r="B457" s="2" t="s">
        <v>2755</v>
      </c>
      <c r="C457" s="2" t="s">
        <v>2756</v>
      </c>
      <c r="D457" s="2" t="s">
        <v>2757</v>
      </c>
      <c r="E457" s="2" t="s">
        <v>2709</v>
      </c>
      <c r="F457" s="2"/>
      <c r="G457" s="2"/>
      <c r="H457" s="2" t="s">
        <v>898</v>
      </c>
      <c r="I457" s="3">
        <f t="shared" si="15"/>
        <v>86</v>
      </c>
    </row>
    <row r="458" spans="1:9" x14ac:dyDescent="0.3">
      <c r="A458" s="2" t="s">
        <v>245</v>
      </c>
      <c r="B458" s="2" t="s">
        <v>3472</v>
      </c>
      <c r="C458" s="2" t="s">
        <v>3473</v>
      </c>
      <c r="D458" s="2" t="s">
        <v>3474</v>
      </c>
      <c r="E458" s="2" t="s">
        <v>734</v>
      </c>
      <c r="F458" s="2"/>
      <c r="G458" s="2"/>
      <c r="H458" s="2"/>
      <c r="I458" s="3">
        <f t="shared" si="15"/>
        <v>101</v>
      </c>
    </row>
    <row r="459" spans="1:9" x14ac:dyDescent="0.3">
      <c r="A459" s="2" t="s">
        <v>245</v>
      </c>
      <c r="B459" s="2" t="s">
        <v>1124</v>
      </c>
      <c r="C459" s="2" t="s">
        <v>1125</v>
      </c>
      <c r="D459" s="2" t="s">
        <v>1126</v>
      </c>
      <c r="E459" s="2"/>
      <c r="F459" s="2"/>
      <c r="G459" s="2"/>
      <c r="H459" s="2"/>
      <c r="I459" s="3">
        <f t="shared" si="15"/>
        <v>57</v>
      </c>
    </row>
    <row r="460" spans="1:9" ht="48" x14ac:dyDescent="0.3">
      <c r="A460" s="2" t="s">
        <v>245</v>
      </c>
      <c r="B460" s="2" t="s">
        <v>1746</v>
      </c>
      <c r="C460" s="2" t="s">
        <v>7679</v>
      </c>
      <c r="D460" s="2" t="s">
        <v>9404</v>
      </c>
      <c r="E460" s="2" t="s">
        <v>39</v>
      </c>
      <c r="F460" s="2" t="s">
        <v>2281</v>
      </c>
      <c r="G460" s="2" t="s">
        <v>1717</v>
      </c>
      <c r="H460" s="2" t="s">
        <v>646</v>
      </c>
      <c r="I460" s="3">
        <f t="shared" si="15"/>
        <v>369</v>
      </c>
    </row>
    <row r="461" spans="1:9" ht="24" x14ac:dyDescent="0.3">
      <c r="A461" s="2" t="s">
        <v>245</v>
      </c>
      <c r="B461" s="2" t="s">
        <v>5128</v>
      </c>
      <c r="C461" s="2" t="s">
        <v>5129</v>
      </c>
      <c r="D461" s="2" t="s">
        <v>8722</v>
      </c>
      <c r="E461" s="2" t="s">
        <v>1692</v>
      </c>
      <c r="F461" s="2"/>
      <c r="G461" s="2"/>
      <c r="H461" s="2"/>
      <c r="I461" s="3">
        <f t="shared" si="15"/>
        <v>148</v>
      </c>
    </row>
    <row r="462" spans="1:9" ht="36" x14ac:dyDescent="0.3">
      <c r="A462" s="2" t="s">
        <v>245</v>
      </c>
      <c r="B462" s="2" t="s">
        <v>3872</v>
      </c>
      <c r="C462" s="2" t="s">
        <v>6606</v>
      </c>
      <c r="D462" s="2" t="s">
        <v>8723</v>
      </c>
      <c r="E462" s="2" t="s">
        <v>1960</v>
      </c>
      <c r="F462" s="2"/>
      <c r="G462" s="2"/>
      <c r="H462" s="2" t="s">
        <v>194</v>
      </c>
      <c r="I462" s="3">
        <f t="shared" si="15"/>
        <v>236</v>
      </c>
    </row>
    <row r="463" spans="1:9" ht="24" x14ac:dyDescent="0.3">
      <c r="A463" s="2" t="s">
        <v>245</v>
      </c>
      <c r="B463" s="2" t="s">
        <v>3342</v>
      </c>
      <c r="C463" s="2" t="s">
        <v>2385</v>
      </c>
      <c r="D463" s="2" t="s">
        <v>3343</v>
      </c>
      <c r="E463" s="2"/>
      <c r="F463" s="2"/>
      <c r="G463" s="2"/>
      <c r="H463" s="2"/>
      <c r="I463" s="3">
        <f t="shared" si="15"/>
        <v>98</v>
      </c>
    </row>
    <row r="464" spans="1:9" x14ac:dyDescent="0.3">
      <c r="A464" s="2" t="s">
        <v>245</v>
      </c>
      <c r="B464" s="2" t="s">
        <v>1638</v>
      </c>
      <c r="C464" s="2" t="s">
        <v>1639</v>
      </c>
      <c r="D464" s="2" t="s">
        <v>1640</v>
      </c>
      <c r="E464" s="2"/>
      <c r="F464" s="2"/>
      <c r="G464" s="2"/>
      <c r="H464" s="2"/>
      <c r="I464" s="3">
        <f t="shared" si="15"/>
        <v>67</v>
      </c>
    </row>
    <row r="465" spans="1:9" x14ac:dyDescent="0.3">
      <c r="A465" s="2" t="s">
        <v>245</v>
      </c>
      <c r="B465" s="2" t="s">
        <v>1638</v>
      </c>
      <c r="C465" s="2" t="s">
        <v>1935</v>
      </c>
      <c r="D465" s="2" t="s">
        <v>1936</v>
      </c>
      <c r="E465" s="2"/>
      <c r="F465" s="2"/>
      <c r="G465" s="2"/>
      <c r="H465" s="2" t="s">
        <v>86</v>
      </c>
      <c r="I465" s="3">
        <f t="shared" si="15"/>
        <v>71</v>
      </c>
    </row>
    <row r="466" spans="1:9" x14ac:dyDescent="0.3">
      <c r="A466" s="2" t="s">
        <v>245</v>
      </c>
      <c r="B466" s="2" t="s">
        <v>2115</v>
      </c>
      <c r="C466" s="2" t="s">
        <v>1639</v>
      </c>
      <c r="D466" s="2" t="s">
        <v>2116</v>
      </c>
      <c r="E466" s="2"/>
      <c r="F466" s="2"/>
      <c r="G466" s="2"/>
      <c r="H466" s="2"/>
      <c r="I466" s="3">
        <f t="shared" si="15"/>
        <v>74</v>
      </c>
    </row>
    <row r="467" spans="1:9" ht="24" x14ac:dyDescent="0.3">
      <c r="A467" s="2" t="s">
        <v>245</v>
      </c>
      <c r="B467" s="2" t="s">
        <v>1570</v>
      </c>
      <c r="C467" s="2" t="s">
        <v>4123</v>
      </c>
      <c r="D467" s="2" t="s">
        <v>4124</v>
      </c>
      <c r="E467" s="2"/>
      <c r="F467" s="2"/>
      <c r="G467" s="2"/>
      <c r="H467" s="2"/>
      <c r="I467" s="3">
        <f t="shared" si="15"/>
        <v>117</v>
      </c>
    </row>
    <row r="468" spans="1:9" x14ac:dyDescent="0.3">
      <c r="A468" s="2" t="s">
        <v>245</v>
      </c>
      <c r="B468" s="2" t="s">
        <v>1321</v>
      </c>
      <c r="C468" s="2" t="s">
        <v>1935</v>
      </c>
      <c r="D468" s="2" t="s">
        <v>2176</v>
      </c>
      <c r="E468" s="2"/>
      <c r="F468" s="2"/>
      <c r="G468" s="2"/>
      <c r="H468" s="2"/>
      <c r="I468" s="3">
        <f t="shared" si="15"/>
        <v>75</v>
      </c>
    </row>
    <row r="469" spans="1:9" ht="24" x14ac:dyDescent="0.3">
      <c r="A469" s="2" t="s">
        <v>245</v>
      </c>
      <c r="B469" s="2" t="s">
        <v>1570</v>
      </c>
      <c r="C469" s="2" t="s">
        <v>5454</v>
      </c>
      <c r="D469" s="2" t="s">
        <v>5455</v>
      </c>
      <c r="E469" s="2" t="s">
        <v>3700</v>
      </c>
      <c r="F469" s="2"/>
      <c r="G469" s="2"/>
      <c r="H469" s="2" t="s">
        <v>898</v>
      </c>
      <c r="I469" s="3">
        <f t="shared" si="15"/>
        <v>162</v>
      </c>
    </row>
    <row r="470" spans="1:9" x14ac:dyDescent="0.3">
      <c r="A470" s="2" t="s">
        <v>245</v>
      </c>
      <c r="B470" s="2" t="s">
        <v>1937</v>
      </c>
      <c r="C470" s="2" t="s">
        <v>1938</v>
      </c>
      <c r="D470" s="2" t="s">
        <v>1939</v>
      </c>
      <c r="E470" s="2"/>
      <c r="F470" s="2"/>
      <c r="G470" s="2"/>
      <c r="H470" s="2"/>
      <c r="I470" s="3">
        <f t="shared" si="15"/>
        <v>71</v>
      </c>
    </row>
    <row r="471" spans="1:9" ht="48" x14ac:dyDescent="0.3">
      <c r="A471" s="2" t="s">
        <v>245</v>
      </c>
      <c r="B471" s="2" t="s">
        <v>7726</v>
      </c>
      <c r="C471" s="2" t="s">
        <v>7727</v>
      </c>
      <c r="D471" s="2" t="s">
        <v>9405</v>
      </c>
      <c r="E471" s="2" t="s">
        <v>2824</v>
      </c>
      <c r="F471" s="2" t="s">
        <v>2281</v>
      </c>
      <c r="G471" s="2" t="s">
        <v>1717</v>
      </c>
      <c r="H471" s="2" t="s">
        <v>194</v>
      </c>
      <c r="I471" s="3">
        <f t="shared" si="15"/>
        <v>379</v>
      </c>
    </row>
    <row r="472" spans="1:9" x14ac:dyDescent="0.3">
      <c r="A472" s="2" t="s">
        <v>245</v>
      </c>
      <c r="B472" s="2" t="s">
        <v>8679</v>
      </c>
      <c r="C472" s="2" t="s">
        <v>8678</v>
      </c>
      <c r="D472" s="2" t="s">
        <v>8677</v>
      </c>
      <c r="E472" s="2"/>
      <c r="F472" s="2"/>
      <c r="G472" s="2"/>
      <c r="H472" s="2"/>
      <c r="I472" s="3">
        <f>LEN(D472)</f>
        <v>42</v>
      </c>
    </row>
  </sheetData>
  <autoFilter ref="A1:I471" xr:uid="{00000000-0009-0000-0000-000000000000}">
    <sortState xmlns:xlrd2="http://schemas.microsoft.com/office/spreadsheetml/2017/richdata2" ref="A2:I471">
      <sortCondition ref="D1:D471"/>
    </sortState>
  </autoFilter>
  <conditionalFormatting sqref="H1:H473">
    <cfRule type="notContainsBlanks" dxfId="9" priority="1">
      <formula>LEN(TRIM(H1))&gt;0</formula>
    </cfRule>
  </conditionalFormatting>
  <dataValidations count="3">
    <dataValidation allowBlank="1" showErrorMessage="1" sqref="C2:C472" xr:uid="{AA7E1B38-D5B2-4623-AFD8-25B2A0000EFC}"/>
    <dataValidation type="list" allowBlank="1" sqref="H2:H471" xr:uid="{2B213C9D-5C4B-4E6D-B3CB-B244C7F2FB66}">
      <formula1>#REF!</formula1>
    </dataValidation>
    <dataValidation allowBlank="1" sqref="H472" xr:uid="{BA8B9725-C342-44FD-9CBE-E724390837DE}"/>
  </dataValidation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DA43A-508A-495E-97A0-C51E43C3622F}">
  <dimension ref="A1:I54"/>
  <sheetViews>
    <sheetView topLeftCell="C1" workbookViewId="0">
      <pane ySplit="1" topLeftCell="A37" activePane="bottomLeft" state="frozen"/>
      <selection pane="bottomLeft" activeCell="E51" sqref="E51"/>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816</v>
      </c>
      <c r="B2" s="2" t="s">
        <v>817</v>
      </c>
      <c r="C2" s="2" t="s">
        <v>354</v>
      </c>
      <c r="D2" s="2" t="s">
        <v>818</v>
      </c>
      <c r="E2" s="2"/>
      <c r="F2" s="2"/>
      <c r="G2" s="2"/>
      <c r="H2" s="2"/>
      <c r="I2" s="3">
        <f t="shared" ref="I2:I33" si="0">LEN(D2)</f>
        <v>51</v>
      </c>
    </row>
    <row r="3" spans="1:9" x14ac:dyDescent="0.3">
      <c r="A3" s="2" t="s">
        <v>816</v>
      </c>
      <c r="B3" s="2" t="s">
        <v>929</v>
      </c>
      <c r="C3" s="2" t="s">
        <v>332</v>
      </c>
      <c r="D3" s="2" t="s">
        <v>930</v>
      </c>
      <c r="E3" s="2"/>
      <c r="F3" s="2"/>
      <c r="G3" s="2"/>
      <c r="H3" s="2"/>
      <c r="I3" s="3">
        <f t="shared" si="0"/>
        <v>53</v>
      </c>
    </row>
    <row r="4" spans="1:9" x14ac:dyDescent="0.3">
      <c r="A4" s="2" t="s">
        <v>816</v>
      </c>
      <c r="B4" s="2" t="s">
        <v>987</v>
      </c>
      <c r="C4" s="2" t="s">
        <v>14</v>
      </c>
      <c r="D4" s="2" t="s">
        <v>988</v>
      </c>
      <c r="E4" s="2"/>
      <c r="F4" s="2"/>
      <c r="G4" s="2"/>
      <c r="H4" s="2"/>
      <c r="I4" s="3">
        <f t="shared" si="0"/>
        <v>55</v>
      </c>
    </row>
    <row r="5" spans="1:9" x14ac:dyDescent="0.3">
      <c r="A5" s="2" t="s">
        <v>816</v>
      </c>
      <c r="B5" s="2" t="s">
        <v>1146</v>
      </c>
      <c r="C5" s="2" t="s">
        <v>332</v>
      </c>
      <c r="D5" s="2" t="s">
        <v>1147</v>
      </c>
      <c r="E5" s="2"/>
      <c r="F5" s="2"/>
      <c r="G5" s="2"/>
      <c r="H5" s="2"/>
      <c r="I5" s="3">
        <f t="shared" si="0"/>
        <v>58</v>
      </c>
    </row>
    <row r="6" spans="1:9" x14ac:dyDescent="0.3">
      <c r="A6" s="2" t="s">
        <v>816</v>
      </c>
      <c r="B6" s="2" t="s">
        <v>1193</v>
      </c>
      <c r="C6" s="2" t="s">
        <v>14</v>
      </c>
      <c r="D6" s="2" t="s">
        <v>1194</v>
      </c>
      <c r="E6" s="2"/>
      <c r="F6" s="2"/>
      <c r="G6" s="2"/>
      <c r="H6" s="2"/>
      <c r="I6" s="3">
        <f t="shared" si="0"/>
        <v>59</v>
      </c>
    </row>
    <row r="7" spans="1:9" x14ac:dyDescent="0.3">
      <c r="A7" s="2" t="s">
        <v>816</v>
      </c>
      <c r="B7" s="2" t="s">
        <v>1336</v>
      </c>
      <c r="C7" s="2"/>
      <c r="D7" s="2" t="s">
        <v>1337</v>
      </c>
      <c r="E7" s="2"/>
      <c r="F7" s="2"/>
      <c r="G7" s="2"/>
      <c r="H7" s="2"/>
      <c r="I7" s="3">
        <f t="shared" si="0"/>
        <v>62</v>
      </c>
    </row>
    <row r="8" spans="1:9" x14ac:dyDescent="0.3">
      <c r="A8" s="2" t="s">
        <v>816</v>
      </c>
      <c r="B8" s="2" t="s">
        <v>1345</v>
      </c>
      <c r="C8" s="2"/>
      <c r="D8" s="2" t="s">
        <v>1346</v>
      </c>
      <c r="E8" s="2"/>
      <c r="F8" s="2"/>
      <c r="G8" s="2"/>
      <c r="H8" s="2"/>
      <c r="I8" s="3">
        <f t="shared" si="0"/>
        <v>62</v>
      </c>
    </row>
    <row r="9" spans="1:9" ht="24" x14ac:dyDescent="0.3">
      <c r="A9" s="2" t="s">
        <v>816</v>
      </c>
      <c r="B9" s="2" t="s">
        <v>1448</v>
      </c>
      <c r="C9" s="2" t="s">
        <v>590</v>
      </c>
      <c r="D9" s="2" t="s">
        <v>1449</v>
      </c>
      <c r="E9" s="2"/>
      <c r="F9" s="2"/>
      <c r="G9" s="2"/>
      <c r="H9" s="2"/>
      <c r="I9" s="3">
        <f t="shared" si="0"/>
        <v>63</v>
      </c>
    </row>
    <row r="10" spans="1:9" x14ac:dyDescent="0.3">
      <c r="A10" s="2" t="s">
        <v>816</v>
      </c>
      <c r="B10" s="2" t="s">
        <v>929</v>
      </c>
      <c r="C10" s="2" t="s">
        <v>332</v>
      </c>
      <c r="D10" s="2" t="s">
        <v>1509</v>
      </c>
      <c r="E10" s="2" t="s">
        <v>1510</v>
      </c>
      <c r="F10" s="2"/>
      <c r="G10" s="2"/>
      <c r="H10" s="2"/>
      <c r="I10" s="3">
        <f t="shared" si="0"/>
        <v>64</v>
      </c>
    </row>
    <row r="11" spans="1:9" x14ac:dyDescent="0.3">
      <c r="A11" s="2" t="s">
        <v>816</v>
      </c>
      <c r="B11" s="2" t="s">
        <v>1572</v>
      </c>
      <c r="C11" s="2" t="s">
        <v>125</v>
      </c>
      <c r="D11" s="2" t="s">
        <v>1573</v>
      </c>
      <c r="E11" s="2"/>
      <c r="F11" s="2"/>
      <c r="G11" s="2"/>
      <c r="H11" s="2"/>
      <c r="I11" s="3">
        <f t="shared" si="0"/>
        <v>65</v>
      </c>
    </row>
    <row r="12" spans="1:9" ht="24" x14ac:dyDescent="0.3">
      <c r="A12" s="2" t="s">
        <v>816</v>
      </c>
      <c r="B12" s="2" t="s">
        <v>1726</v>
      </c>
      <c r="C12" s="2" t="s">
        <v>590</v>
      </c>
      <c r="D12" s="2" t="s">
        <v>1727</v>
      </c>
      <c r="E12" s="2"/>
      <c r="F12" s="2"/>
      <c r="G12" s="2"/>
      <c r="H12" s="2"/>
      <c r="I12" s="3">
        <f t="shared" si="0"/>
        <v>68</v>
      </c>
    </row>
    <row r="13" spans="1:9" x14ac:dyDescent="0.3">
      <c r="A13" s="2" t="s">
        <v>816</v>
      </c>
      <c r="B13" s="2" t="s">
        <v>1146</v>
      </c>
      <c r="C13" s="2" t="s">
        <v>332</v>
      </c>
      <c r="D13" s="2" t="s">
        <v>1784</v>
      </c>
      <c r="E13" s="2" t="s">
        <v>1510</v>
      </c>
      <c r="F13" s="2"/>
      <c r="G13" s="2"/>
      <c r="H13" s="2"/>
      <c r="I13" s="3">
        <f t="shared" si="0"/>
        <v>69</v>
      </c>
    </row>
    <row r="14" spans="1:9" x14ac:dyDescent="0.3">
      <c r="A14" s="2" t="s">
        <v>816</v>
      </c>
      <c r="B14" s="2" t="s">
        <v>2005</v>
      </c>
      <c r="C14" s="2" t="s">
        <v>408</v>
      </c>
      <c r="D14" s="2" t="s">
        <v>2006</v>
      </c>
      <c r="E14" s="2"/>
      <c r="F14" s="2"/>
      <c r="G14" s="2"/>
      <c r="H14" s="2"/>
      <c r="I14" s="3">
        <f t="shared" si="0"/>
        <v>73</v>
      </c>
    </row>
    <row r="15" spans="1:9" ht="24" x14ac:dyDescent="0.3">
      <c r="A15" s="2" t="s">
        <v>816</v>
      </c>
      <c r="B15" s="2" t="s">
        <v>1448</v>
      </c>
      <c r="C15" s="2" t="s">
        <v>590</v>
      </c>
      <c r="D15" s="2" t="s">
        <v>2084</v>
      </c>
      <c r="E15" s="2" t="s">
        <v>1510</v>
      </c>
      <c r="F15" s="2"/>
      <c r="G15" s="2"/>
      <c r="H15" s="2"/>
      <c r="I15" s="3">
        <f t="shared" si="0"/>
        <v>74</v>
      </c>
    </row>
    <row r="16" spans="1:9" x14ac:dyDescent="0.3">
      <c r="A16" s="2" t="s">
        <v>816</v>
      </c>
      <c r="B16" s="2" t="s">
        <v>1146</v>
      </c>
      <c r="C16" s="2" t="s">
        <v>332</v>
      </c>
      <c r="D16" s="2" t="s">
        <v>2149</v>
      </c>
      <c r="E16" s="2" t="s">
        <v>1510</v>
      </c>
      <c r="F16" s="2"/>
      <c r="G16" s="2"/>
      <c r="H16" s="2"/>
      <c r="I16" s="3">
        <f t="shared" si="0"/>
        <v>75</v>
      </c>
    </row>
    <row r="17" spans="1:9" x14ac:dyDescent="0.3">
      <c r="A17" s="2" t="s">
        <v>816</v>
      </c>
      <c r="B17" s="2" t="s">
        <v>2212</v>
      </c>
      <c r="C17" s="2"/>
      <c r="D17" s="2" t="s">
        <v>2213</v>
      </c>
      <c r="E17" s="2" t="s">
        <v>379</v>
      </c>
      <c r="F17" s="2"/>
      <c r="G17" s="2"/>
      <c r="H17" s="2"/>
      <c r="I17" s="3">
        <f t="shared" si="0"/>
        <v>76</v>
      </c>
    </row>
    <row r="18" spans="1:9" x14ac:dyDescent="0.3">
      <c r="A18" s="2" t="s">
        <v>816</v>
      </c>
      <c r="B18" s="2" t="s">
        <v>929</v>
      </c>
      <c r="C18" s="2" t="s">
        <v>332</v>
      </c>
      <c r="D18" s="2" t="s">
        <v>2294</v>
      </c>
      <c r="E18" s="2"/>
      <c r="F18" s="2"/>
      <c r="G18" s="2"/>
      <c r="H18" s="2"/>
      <c r="I18" s="3">
        <f t="shared" si="0"/>
        <v>78</v>
      </c>
    </row>
    <row r="19" spans="1:9" ht="24" x14ac:dyDescent="0.3">
      <c r="A19" s="2" t="s">
        <v>816</v>
      </c>
      <c r="B19" s="2" t="s">
        <v>1726</v>
      </c>
      <c r="C19" s="2" t="s">
        <v>590</v>
      </c>
      <c r="D19" s="2" t="s">
        <v>2321</v>
      </c>
      <c r="E19" s="2" t="s">
        <v>1510</v>
      </c>
      <c r="F19" s="2"/>
      <c r="G19" s="2"/>
      <c r="H19" s="2"/>
      <c r="I19" s="3">
        <f t="shared" si="0"/>
        <v>79</v>
      </c>
    </row>
    <row r="20" spans="1:9" x14ac:dyDescent="0.3">
      <c r="A20" s="2" t="s">
        <v>816</v>
      </c>
      <c r="B20" s="2" t="s">
        <v>2364</v>
      </c>
      <c r="C20" s="2" t="s">
        <v>2365</v>
      </c>
      <c r="D20" s="2" t="s">
        <v>2366</v>
      </c>
      <c r="E20" s="2"/>
      <c r="F20" s="2"/>
      <c r="G20" s="2"/>
      <c r="H20" s="2"/>
      <c r="I20" s="3">
        <f t="shared" si="0"/>
        <v>80</v>
      </c>
    </row>
    <row r="21" spans="1:9" x14ac:dyDescent="0.3">
      <c r="A21" s="2" t="s">
        <v>816</v>
      </c>
      <c r="B21" s="2" t="s">
        <v>2390</v>
      </c>
      <c r="C21" s="2" t="s">
        <v>14</v>
      </c>
      <c r="D21" s="2" t="s">
        <v>2391</v>
      </c>
      <c r="E21" s="2"/>
      <c r="F21" s="2"/>
      <c r="G21" s="2"/>
      <c r="H21" s="2"/>
      <c r="I21" s="3">
        <f t="shared" si="0"/>
        <v>81</v>
      </c>
    </row>
    <row r="22" spans="1:9" x14ac:dyDescent="0.3">
      <c r="A22" s="2" t="s">
        <v>816</v>
      </c>
      <c r="B22" s="2" t="s">
        <v>2475</v>
      </c>
      <c r="C22" s="2"/>
      <c r="D22" s="2" t="s">
        <v>2476</v>
      </c>
      <c r="E22" s="2" t="s">
        <v>2477</v>
      </c>
      <c r="F22" s="2"/>
      <c r="G22" s="2"/>
      <c r="H22" s="2"/>
      <c r="I22" s="3">
        <f t="shared" si="0"/>
        <v>82</v>
      </c>
    </row>
    <row r="23" spans="1:9" x14ac:dyDescent="0.3">
      <c r="A23" s="2" t="s">
        <v>816</v>
      </c>
      <c r="B23" s="2" t="s">
        <v>2727</v>
      </c>
      <c r="C23" s="2" t="s">
        <v>332</v>
      </c>
      <c r="D23" s="2" t="s">
        <v>2728</v>
      </c>
      <c r="E23" s="2"/>
      <c r="F23" s="2"/>
      <c r="G23" s="2"/>
      <c r="H23" s="2"/>
      <c r="I23" s="3">
        <f t="shared" si="0"/>
        <v>86</v>
      </c>
    </row>
    <row r="24" spans="1:9" x14ac:dyDescent="0.3">
      <c r="A24" s="2" t="s">
        <v>816</v>
      </c>
      <c r="B24" s="2" t="s">
        <v>2872</v>
      </c>
      <c r="C24" s="2" t="s">
        <v>408</v>
      </c>
      <c r="D24" s="2" t="s">
        <v>2873</v>
      </c>
      <c r="E24" s="2"/>
      <c r="F24" s="2"/>
      <c r="G24" s="2"/>
      <c r="H24" s="2"/>
      <c r="I24" s="3">
        <f t="shared" si="0"/>
        <v>89</v>
      </c>
    </row>
    <row r="25" spans="1:9" x14ac:dyDescent="0.3">
      <c r="A25" s="2" t="s">
        <v>816</v>
      </c>
      <c r="B25" s="2" t="s">
        <v>929</v>
      </c>
      <c r="C25" s="2" t="s">
        <v>332</v>
      </c>
      <c r="D25" s="2" t="s">
        <v>2890</v>
      </c>
      <c r="E25" s="2" t="s">
        <v>2891</v>
      </c>
      <c r="F25" s="2"/>
      <c r="G25" s="2"/>
      <c r="H25" s="2"/>
      <c r="I25" s="3">
        <f t="shared" si="0"/>
        <v>89</v>
      </c>
    </row>
    <row r="26" spans="1:9" ht="24" x14ac:dyDescent="0.3">
      <c r="A26" s="2" t="s">
        <v>816</v>
      </c>
      <c r="B26" s="2" t="s">
        <v>1448</v>
      </c>
      <c r="C26" s="2" t="s">
        <v>590</v>
      </c>
      <c r="D26" s="2" t="s">
        <v>3362</v>
      </c>
      <c r="E26" s="2" t="s">
        <v>1510</v>
      </c>
      <c r="F26" s="2"/>
      <c r="G26" s="2"/>
      <c r="H26" s="2"/>
      <c r="I26" s="3">
        <f t="shared" si="0"/>
        <v>99</v>
      </c>
    </row>
    <row r="27" spans="1:9" x14ac:dyDescent="0.3">
      <c r="A27" s="2" t="s">
        <v>816</v>
      </c>
      <c r="B27" s="2" t="s">
        <v>3552</v>
      </c>
      <c r="C27" s="2"/>
      <c r="D27" s="2" t="s">
        <v>3553</v>
      </c>
      <c r="E27" s="2" t="s">
        <v>39</v>
      </c>
      <c r="F27" s="2"/>
      <c r="G27" s="2"/>
      <c r="H27" s="2" t="s">
        <v>646</v>
      </c>
      <c r="I27" s="3">
        <f t="shared" si="0"/>
        <v>104</v>
      </c>
    </row>
    <row r="28" spans="1:9" ht="24" x14ac:dyDescent="0.3">
      <c r="A28" s="2" t="s">
        <v>816</v>
      </c>
      <c r="B28" s="2" t="s">
        <v>3579</v>
      </c>
      <c r="C28" s="2" t="s">
        <v>3580</v>
      </c>
      <c r="D28" s="2" t="s">
        <v>3581</v>
      </c>
      <c r="E28" s="2"/>
      <c r="F28" s="2"/>
      <c r="G28" s="2"/>
      <c r="H28" s="2"/>
      <c r="I28" s="3">
        <f t="shared" si="0"/>
        <v>104</v>
      </c>
    </row>
    <row r="29" spans="1:9" x14ac:dyDescent="0.3">
      <c r="A29" s="2" t="s">
        <v>816</v>
      </c>
      <c r="B29" s="2" t="s">
        <v>2364</v>
      </c>
      <c r="C29" s="2" t="s">
        <v>3709</v>
      </c>
      <c r="D29" s="2" t="s">
        <v>3710</v>
      </c>
      <c r="E29" s="2"/>
      <c r="F29" s="2"/>
      <c r="G29" s="2"/>
      <c r="H29" s="2"/>
      <c r="I29" s="3">
        <f t="shared" si="0"/>
        <v>107</v>
      </c>
    </row>
    <row r="30" spans="1:9" ht="24" x14ac:dyDescent="0.3">
      <c r="A30" s="2" t="s">
        <v>816</v>
      </c>
      <c r="B30" s="2" t="s">
        <v>3834</v>
      </c>
      <c r="C30" s="2" t="s">
        <v>3835</v>
      </c>
      <c r="D30" s="2" t="s">
        <v>3836</v>
      </c>
      <c r="E30" s="2" t="s">
        <v>1510</v>
      </c>
      <c r="F30" s="2"/>
      <c r="G30" s="2"/>
      <c r="H30" s="2" t="s">
        <v>194</v>
      </c>
      <c r="I30" s="3">
        <f t="shared" si="0"/>
        <v>110</v>
      </c>
    </row>
    <row r="31" spans="1:9" ht="24" x14ac:dyDescent="0.3">
      <c r="A31" s="2" t="s">
        <v>816</v>
      </c>
      <c r="B31" s="2" t="s">
        <v>4115</v>
      </c>
      <c r="C31" s="2"/>
      <c r="D31" s="2" t="s">
        <v>4116</v>
      </c>
      <c r="E31" s="2" t="s">
        <v>39</v>
      </c>
      <c r="F31" s="2"/>
      <c r="G31" s="2" t="s">
        <v>4117</v>
      </c>
      <c r="H31" s="2"/>
      <c r="I31" s="3">
        <f t="shared" si="0"/>
        <v>117</v>
      </c>
    </row>
    <row r="32" spans="1:9" ht="24" x14ac:dyDescent="0.3">
      <c r="A32" s="2" t="s">
        <v>816</v>
      </c>
      <c r="B32" s="2" t="s">
        <v>4185</v>
      </c>
      <c r="C32" s="2" t="s">
        <v>275</v>
      </c>
      <c r="D32" s="2" t="s">
        <v>4186</v>
      </c>
      <c r="E32" s="2" t="s">
        <v>393</v>
      </c>
      <c r="F32" s="2"/>
      <c r="G32" s="2"/>
      <c r="H32" s="2"/>
      <c r="I32" s="3">
        <f t="shared" si="0"/>
        <v>119</v>
      </c>
    </row>
    <row r="33" spans="1:9" ht="24" x14ac:dyDescent="0.3">
      <c r="A33" s="2" t="s">
        <v>816</v>
      </c>
      <c r="B33" s="2" t="s">
        <v>4248</v>
      </c>
      <c r="C33" s="2" t="s">
        <v>4249</v>
      </c>
      <c r="D33" s="2" t="s">
        <v>4250</v>
      </c>
      <c r="E33" s="2"/>
      <c r="F33" s="2"/>
      <c r="G33" s="2"/>
      <c r="H33" s="2"/>
      <c r="I33" s="3">
        <f t="shared" si="0"/>
        <v>121</v>
      </c>
    </row>
    <row r="34" spans="1:9" ht="24" x14ac:dyDescent="0.3">
      <c r="A34" s="2" t="s">
        <v>816</v>
      </c>
      <c r="B34" s="2" t="s">
        <v>4453</v>
      </c>
      <c r="C34" s="2"/>
      <c r="D34" s="2" t="s">
        <v>4454</v>
      </c>
      <c r="E34" s="2"/>
      <c r="F34" s="2"/>
      <c r="G34" s="2"/>
      <c r="H34" s="2"/>
      <c r="I34" s="3">
        <f t="shared" ref="I34:I53" si="1">LEN(D34)</f>
        <v>128</v>
      </c>
    </row>
    <row r="35" spans="1:9" ht="24" x14ac:dyDescent="0.3">
      <c r="A35" s="2" t="s">
        <v>816</v>
      </c>
      <c r="B35" s="2" t="s">
        <v>4457</v>
      </c>
      <c r="C35" s="2" t="s">
        <v>1647</v>
      </c>
      <c r="D35" s="2" t="s">
        <v>4458</v>
      </c>
      <c r="E35" s="2"/>
      <c r="F35" s="2"/>
      <c r="G35" s="2"/>
      <c r="H35" s="2" t="s">
        <v>1644</v>
      </c>
      <c r="I35" s="3">
        <f t="shared" si="1"/>
        <v>128</v>
      </c>
    </row>
    <row r="36" spans="1:9" ht="24" x14ac:dyDescent="0.3">
      <c r="A36" s="2" t="s">
        <v>816</v>
      </c>
      <c r="B36" s="2" t="s">
        <v>2719</v>
      </c>
      <c r="C36" s="2" t="s">
        <v>1647</v>
      </c>
      <c r="D36" s="2" t="s">
        <v>4626</v>
      </c>
      <c r="E36" s="2"/>
      <c r="F36" s="2"/>
      <c r="G36" s="2"/>
      <c r="H36" s="2" t="s">
        <v>1644</v>
      </c>
      <c r="I36" s="3">
        <f t="shared" si="1"/>
        <v>133</v>
      </c>
    </row>
    <row r="37" spans="1:9" ht="24" x14ac:dyDescent="0.3">
      <c r="A37" s="2" t="s">
        <v>816</v>
      </c>
      <c r="B37" s="2" t="s">
        <v>732</v>
      </c>
      <c r="C37" s="2" t="s">
        <v>729</v>
      </c>
      <c r="D37" s="2" t="s">
        <v>4670</v>
      </c>
      <c r="E37" s="2" t="s">
        <v>4671</v>
      </c>
      <c r="F37" s="2"/>
      <c r="G37" s="2"/>
      <c r="H37" s="2" t="s">
        <v>646</v>
      </c>
      <c r="I37" s="3">
        <f t="shared" si="1"/>
        <v>134</v>
      </c>
    </row>
    <row r="38" spans="1:9" ht="24" x14ac:dyDescent="0.3">
      <c r="A38" s="2" t="s">
        <v>816</v>
      </c>
      <c r="B38" s="2" t="s">
        <v>4693</v>
      </c>
      <c r="C38" s="2" t="s">
        <v>3580</v>
      </c>
      <c r="D38" s="2" t="s">
        <v>4694</v>
      </c>
      <c r="E38" s="2"/>
      <c r="F38" s="2"/>
      <c r="G38" s="2"/>
      <c r="H38" s="2"/>
      <c r="I38" s="3">
        <f t="shared" si="1"/>
        <v>135</v>
      </c>
    </row>
    <row r="39" spans="1:9" ht="24" x14ac:dyDescent="0.3">
      <c r="A39" s="2" t="s">
        <v>816</v>
      </c>
      <c r="B39" s="2" t="s">
        <v>4695</v>
      </c>
      <c r="C39" s="2" t="s">
        <v>4696</v>
      </c>
      <c r="D39" s="2" t="s">
        <v>4697</v>
      </c>
      <c r="E39" s="2"/>
      <c r="F39" s="2"/>
      <c r="G39" s="2"/>
      <c r="H39" s="2"/>
      <c r="I39" s="3">
        <f t="shared" si="1"/>
        <v>135</v>
      </c>
    </row>
    <row r="40" spans="1:9" ht="24" x14ac:dyDescent="0.3">
      <c r="A40" s="2" t="s">
        <v>816</v>
      </c>
      <c r="B40" s="2" t="s">
        <v>4717</v>
      </c>
      <c r="C40" s="2"/>
      <c r="D40" s="2" t="s">
        <v>4718</v>
      </c>
      <c r="E40" s="2" t="s">
        <v>616</v>
      </c>
      <c r="F40" s="2"/>
      <c r="G40" s="2"/>
      <c r="H40" s="2" t="s">
        <v>194</v>
      </c>
      <c r="I40" s="3">
        <f t="shared" si="1"/>
        <v>136</v>
      </c>
    </row>
    <row r="41" spans="1:9" ht="36" x14ac:dyDescent="0.3">
      <c r="A41" s="2" t="s">
        <v>816</v>
      </c>
      <c r="B41" s="2" t="s">
        <v>4991</v>
      </c>
      <c r="C41" s="2" t="s">
        <v>4992</v>
      </c>
      <c r="D41" s="2" t="s">
        <v>4993</v>
      </c>
      <c r="E41" s="2" t="s">
        <v>1510</v>
      </c>
      <c r="F41" s="2"/>
      <c r="G41" s="2"/>
      <c r="H41" s="2" t="s">
        <v>3494</v>
      </c>
      <c r="I41" s="3">
        <f t="shared" si="1"/>
        <v>144</v>
      </c>
    </row>
    <row r="42" spans="1:9" ht="24" x14ac:dyDescent="0.3">
      <c r="A42" s="2" t="s">
        <v>816</v>
      </c>
      <c r="B42" s="2" t="s">
        <v>5080</v>
      </c>
      <c r="C42" s="2"/>
      <c r="D42" s="2" t="s">
        <v>5081</v>
      </c>
      <c r="E42" s="2"/>
      <c r="F42" s="2"/>
      <c r="G42" s="2"/>
      <c r="H42" s="2" t="s">
        <v>194</v>
      </c>
      <c r="I42" s="3">
        <f t="shared" si="1"/>
        <v>147</v>
      </c>
    </row>
    <row r="43" spans="1:9" ht="24" x14ac:dyDescent="0.3">
      <c r="A43" s="2" t="s">
        <v>816</v>
      </c>
      <c r="B43" s="2" t="s">
        <v>5152</v>
      </c>
      <c r="C43" s="2" t="s">
        <v>2063</v>
      </c>
      <c r="D43" s="2" t="s">
        <v>9406</v>
      </c>
      <c r="E43" s="2" t="s">
        <v>1510</v>
      </c>
      <c r="F43" s="2" t="s">
        <v>1778</v>
      </c>
      <c r="G43" s="2" t="s">
        <v>1717</v>
      </c>
      <c r="H43" s="2"/>
      <c r="I43" s="3">
        <f t="shared" si="1"/>
        <v>147</v>
      </c>
    </row>
    <row r="44" spans="1:9" ht="24" x14ac:dyDescent="0.3">
      <c r="A44" s="2" t="s">
        <v>816</v>
      </c>
      <c r="B44" s="2" t="s">
        <v>5333</v>
      </c>
      <c r="C44" s="2" t="s">
        <v>240</v>
      </c>
      <c r="D44" s="2" t="s">
        <v>5334</v>
      </c>
      <c r="E44" s="2" t="s">
        <v>5335</v>
      </c>
      <c r="F44" s="2"/>
      <c r="G44" s="2"/>
      <c r="H44" s="2"/>
      <c r="I44" s="3">
        <f t="shared" si="1"/>
        <v>156</v>
      </c>
    </row>
    <row r="45" spans="1:9" ht="24" x14ac:dyDescent="0.3">
      <c r="A45" s="2" t="s">
        <v>816</v>
      </c>
      <c r="B45" s="2" t="s">
        <v>5396</v>
      </c>
      <c r="C45" s="2" t="s">
        <v>5397</v>
      </c>
      <c r="D45" s="2" t="s">
        <v>5398</v>
      </c>
      <c r="E45" s="2" t="s">
        <v>1510</v>
      </c>
      <c r="F45" s="2"/>
      <c r="G45" s="2"/>
      <c r="H45" s="2"/>
      <c r="I45" s="3">
        <f t="shared" si="1"/>
        <v>159</v>
      </c>
    </row>
    <row r="46" spans="1:9" ht="24" x14ac:dyDescent="0.3">
      <c r="A46" s="2" t="s">
        <v>816</v>
      </c>
      <c r="B46" s="2" t="s">
        <v>5399</v>
      </c>
      <c r="C46" s="2" t="s">
        <v>2057</v>
      </c>
      <c r="D46" s="2" t="s">
        <v>5400</v>
      </c>
      <c r="E46" s="2"/>
      <c r="F46" s="2"/>
      <c r="G46" s="2"/>
      <c r="H46" s="2"/>
      <c r="I46" s="3">
        <f t="shared" si="1"/>
        <v>159</v>
      </c>
    </row>
    <row r="47" spans="1:9" ht="24" x14ac:dyDescent="0.3">
      <c r="A47" s="2" t="s">
        <v>816</v>
      </c>
      <c r="B47" s="2" t="s">
        <v>5531</v>
      </c>
      <c r="C47" s="2" t="s">
        <v>5532</v>
      </c>
      <c r="D47" s="2" t="s">
        <v>5533</v>
      </c>
      <c r="E47" s="2"/>
      <c r="F47" s="2"/>
      <c r="G47" s="2"/>
      <c r="H47" s="2"/>
      <c r="I47" s="3">
        <f t="shared" si="1"/>
        <v>166</v>
      </c>
    </row>
    <row r="48" spans="1:9" ht="24" x14ac:dyDescent="0.3">
      <c r="A48" s="2" t="s">
        <v>816</v>
      </c>
      <c r="B48" s="2" t="s">
        <v>5934</v>
      </c>
      <c r="C48" s="2" t="s">
        <v>500</v>
      </c>
      <c r="D48" s="2" t="s">
        <v>5935</v>
      </c>
      <c r="E48" s="2" t="s">
        <v>2693</v>
      </c>
      <c r="F48" s="2"/>
      <c r="G48" s="2"/>
      <c r="H48" s="2"/>
      <c r="I48" s="3">
        <f t="shared" si="1"/>
        <v>186</v>
      </c>
    </row>
    <row r="49" spans="1:9" ht="24" x14ac:dyDescent="0.3">
      <c r="A49" s="2" t="s">
        <v>816</v>
      </c>
      <c r="B49" s="2" t="s">
        <v>6175</v>
      </c>
      <c r="C49" s="2" t="s">
        <v>250</v>
      </c>
      <c r="D49" s="2" t="s">
        <v>6176</v>
      </c>
      <c r="E49" s="2"/>
      <c r="F49" s="2"/>
      <c r="G49" s="2"/>
      <c r="H49" s="2"/>
      <c r="I49" s="3">
        <f t="shared" si="1"/>
        <v>203</v>
      </c>
    </row>
    <row r="50" spans="1:9" ht="36" x14ac:dyDescent="0.3">
      <c r="A50" s="2" t="s">
        <v>816</v>
      </c>
      <c r="B50" s="2" t="s">
        <v>6340</v>
      </c>
      <c r="C50" s="2" t="s">
        <v>4733</v>
      </c>
      <c r="D50" s="2" t="s">
        <v>6341</v>
      </c>
      <c r="E50" s="2"/>
      <c r="F50" s="2"/>
      <c r="G50" s="2"/>
      <c r="H50" s="2" t="s">
        <v>1644</v>
      </c>
      <c r="I50" s="3">
        <f t="shared" si="1"/>
        <v>215</v>
      </c>
    </row>
    <row r="51" spans="1:9" ht="36" x14ac:dyDescent="0.3">
      <c r="A51" s="2" t="s">
        <v>816</v>
      </c>
      <c r="B51" s="2" t="s">
        <v>6392</v>
      </c>
      <c r="C51" s="2" t="s">
        <v>6393</v>
      </c>
      <c r="D51" s="2" t="s">
        <v>6394</v>
      </c>
      <c r="E51" s="2"/>
      <c r="F51" s="2"/>
      <c r="G51" s="2"/>
      <c r="H51" s="2"/>
      <c r="I51" s="3">
        <f t="shared" si="1"/>
        <v>219</v>
      </c>
    </row>
    <row r="52" spans="1:9" ht="36" x14ac:dyDescent="0.3">
      <c r="A52" s="2" t="s">
        <v>816</v>
      </c>
      <c r="B52" s="2" t="s">
        <v>6416</v>
      </c>
      <c r="C52" s="2"/>
      <c r="D52" s="2" t="s">
        <v>6417</v>
      </c>
      <c r="E52" s="2"/>
      <c r="F52" s="2"/>
      <c r="G52" s="2"/>
      <c r="H52" s="2"/>
      <c r="I52" s="3">
        <f t="shared" si="1"/>
        <v>220</v>
      </c>
    </row>
    <row r="53" spans="1:9" ht="36" x14ac:dyDescent="0.3">
      <c r="A53" s="2" t="s">
        <v>816</v>
      </c>
      <c r="B53" s="2" t="s">
        <v>6416</v>
      </c>
      <c r="C53" s="2"/>
      <c r="D53" s="2" t="s">
        <v>7131</v>
      </c>
      <c r="E53" s="2"/>
      <c r="F53" s="2"/>
      <c r="G53" s="2"/>
      <c r="H53" s="2"/>
      <c r="I53" s="3">
        <f t="shared" si="1"/>
        <v>291</v>
      </c>
    </row>
    <row r="54" spans="1:9" x14ac:dyDescent="0.3">
      <c r="A54" s="2" t="s">
        <v>816</v>
      </c>
      <c r="B54" s="2" t="s">
        <v>5152</v>
      </c>
      <c r="C54" s="2" t="s">
        <v>2063</v>
      </c>
      <c r="D54" s="2" t="s">
        <v>2252</v>
      </c>
      <c r="E54" s="2"/>
      <c r="F54" s="2"/>
      <c r="G54" s="2"/>
      <c r="H54" s="2"/>
      <c r="I54" s="3">
        <v>464</v>
      </c>
    </row>
  </sheetData>
  <autoFilter ref="A1:I54" xr:uid="{00000000-0009-0000-0000-000000000000}">
    <sortState xmlns:xlrd2="http://schemas.microsoft.com/office/spreadsheetml/2017/richdata2" ref="A2:I54">
      <sortCondition ref="A1:A54"/>
    </sortState>
  </autoFilter>
  <conditionalFormatting sqref="H1:H56">
    <cfRule type="notContainsBlanks" dxfId="8" priority="1">
      <formula>LEN(TRIM(H1))&gt;0</formula>
    </cfRule>
  </conditionalFormatting>
  <dataValidations count="2">
    <dataValidation type="list" allowBlank="1" sqref="H2:H54" xr:uid="{46B4B3E0-B8F8-4EE5-A754-094C0D3979F9}">
      <formula1>#REF!</formula1>
    </dataValidation>
    <dataValidation type="list" allowBlank="1" showErrorMessage="1" sqref="C2:C54" xr:uid="{BC850CA8-9D50-4F74-9F9D-2A428C04526D}">
      <formula1>#REF!</formula1>
    </dataValidation>
  </dataValidations>
  <pageMargins left="0.7" right="0.7" top="0.75" bottom="0.75" header="0" footer="0"/>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F2CAF-C044-4C5F-9A56-26FE996AFB65}">
  <dimension ref="A1:I71"/>
  <sheetViews>
    <sheetView topLeftCell="C1" workbookViewId="0">
      <pane ySplit="1" topLeftCell="A53" activePane="bottomLeft" state="frozen"/>
      <selection pane="bottomLeft" activeCell="E64" sqref="E64"/>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666</v>
      </c>
      <c r="B2" s="2" t="s">
        <v>667</v>
      </c>
      <c r="C2" s="2" t="s">
        <v>389</v>
      </c>
      <c r="D2" s="2" t="s">
        <v>668</v>
      </c>
      <c r="E2" s="2"/>
      <c r="F2" s="2"/>
      <c r="G2" s="2"/>
      <c r="H2" s="2"/>
      <c r="I2" s="3">
        <f t="shared" ref="I2:I33" si="0">LEN(D2)</f>
        <v>46</v>
      </c>
    </row>
    <row r="3" spans="1:9" x14ac:dyDescent="0.3">
      <c r="A3" s="2" t="s">
        <v>666</v>
      </c>
      <c r="B3" s="2" t="s">
        <v>756</v>
      </c>
      <c r="C3" s="2" t="s">
        <v>389</v>
      </c>
      <c r="D3" s="2" t="s">
        <v>757</v>
      </c>
      <c r="E3" s="2" t="s">
        <v>39</v>
      </c>
      <c r="F3" s="2"/>
      <c r="G3" s="2"/>
      <c r="H3" s="2"/>
      <c r="I3" s="3">
        <f t="shared" si="0"/>
        <v>49</v>
      </c>
    </row>
    <row r="4" spans="1:9" ht="24" x14ac:dyDescent="0.3">
      <c r="A4" s="2" t="s">
        <v>666</v>
      </c>
      <c r="B4" s="2" t="s">
        <v>913</v>
      </c>
      <c r="C4" s="2" t="s">
        <v>914</v>
      </c>
      <c r="D4" s="2" t="s">
        <v>915</v>
      </c>
      <c r="E4" s="2"/>
      <c r="F4" s="2"/>
      <c r="G4" s="2"/>
      <c r="H4" s="2"/>
      <c r="I4" s="3">
        <f t="shared" si="0"/>
        <v>53</v>
      </c>
    </row>
    <row r="5" spans="1:9" x14ac:dyDescent="0.3">
      <c r="A5" s="2" t="s">
        <v>666</v>
      </c>
      <c r="B5" s="2" t="s">
        <v>953</v>
      </c>
      <c r="C5" s="2" t="s">
        <v>354</v>
      </c>
      <c r="D5" s="2" t="s">
        <v>954</v>
      </c>
      <c r="E5" s="2"/>
      <c r="F5" s="2"/>
      <c r="G5" s="2"/>
      <c r="H5" s="2"/>
      <c r="I5" s="3">
        <f t="shared" si="0"/>
        <v>54</v>
      </c>
    </row>
    <row r="6" spans="1:9" x14ac:dyDescent="0.3">
      <c r="A6" s="2" t="s">
        <v>666</v>
      </c>
      <c r="B6" s="2" t="s">
        <v>977</v>
      </c>
      <c r="C6" s="2"/>
      <c r="D6" s="2" t="s">
        <v>978</v>
      </c>
      <c r="E6" s="2"/>
      <c r="F6" s="2"/>
      <c r="G6" s="2"/>
      <c r="H6" s="2"/>
      <c r="I6" s="3">
        <f t="shared" si="0"/>
        <v>54</v>
      </c>
    </row>
    <row r="7" spans="1:9" x14ac:dyDescent="0.3">
      <c r="A7" s="2" t="s">
        <v>666</v>
      </c>
      <c r="B7" s="2" t="s">
        <v>1129</v>
      </c>
      <c r="C7" s="2"/>
      <c r="D7" s="2" t="s">
        <v>1130</v>
      </c>
      <c r="E7" s="2"/>
      <c r="F7" s="2"/>
      <c r="G7" s="2"/>
      <c r="H7" s="2"/>
      <c r="I7" s="3">
        <f t="shared" si="0"/>
        <v>58</v>
      </c>
    </row>
    <row r="8" spans="1:9" x14ac:dyDescent="0.3">
      <c r="A8" s="2" t="s">
        <v>666</v>
      </c>
      <c r="B8" s="2" t="s">
        <v>1131</v>
      </c>
      <c r="C8" s="2"/>
      <c r="D8" s="2" t="s">
        <v>1132</v>
      </c>
      <c r="E8" s="2"/>
      <c r="F8" s="2"/>
      <c r="G8" s="2"/>
      <c r="H8" s="2"/>
      <c r="I8" s="3">
        <f t="shared" si="0"/>
        <v>58</v>
      </c>
    </row>
    <row r="9" spans="1:9" x14ac:dyDescent="0.3">
      <c r="A9" s="2" t="s">
        <v>666</v>
      </c>
      <c r="B9" s="2" t="s">
        <v>1172</v>
      </c>
      <c r="C9" s="2" t="s">
        <v>491</v>
      </c>
      <c r="D9" s="2" t="s">
        <v>1173</v>
      </c>
      <c r="E9" s="2"/>
      <c r="F9" s="2"/>
      <c r="G9" s="2"/>
      <c r="H9" s="2"/>
      <c r="I9" s="3">
        <f t="shared" si="0"/>
        <v>59</v>
      </c>
    </row>
    <row r="10" spans="1:9" x14ac:dyDescent="0.3">
      <c r="A10" s="2" t="s">
        <v>666</v>
      </c>
      <c r="B10" s="2" t="s">
        <v>1174</v>
      </c>
      <c r="C10" s="2" t="s">
        <v>389</v>
      </c>
      <c r="D10" s="2" t="s">
        <v>1175</v>
      </c>
      <c r="E10" s="2"/>
      <c r="F10" s="2"/>
      <c r="G10" s="2"/>
      <c r="H10" s="2" t="s">
        <v>1176</v>
      </c>
      <c r="I10" s="3">
        <f t="shared" si="0"/>
        <v>59</v>
      </c>
    </row>
    <row r="11" spans="1:9" x14ac:dyDescent="0.3">
      <c r="A11" s="2" t="s">
        <v>666</v>
      </c>
      <c r="B11" s="2" t="s">
        <v>1251</v>
      </c>
      <c r="C11" s="2" t="s">
        <v>1252</v>
      </c>
      <c r="D11" s="2" t="s">
        <v>1253</v>
      </c>
      <c r="E11" s="2" t="s">
        <v>39</v>
      </c>
      <c r="F11" s="2"/>
      <c r="G11" s="2"/>
      <c r="H11" s="2"/>
      <c r="I11" s="3">
        <f t="shared" si="0"/>
        <v>60</v>
      </c>
    </row>
    <row r="12" spans="1:9" x14ac:dyDescent="0.3">
      <c r="A12" s="2" t="s">
        <v>666</v>
      </c>
      <c r="B12" s="2" t="s">
        <v>1483</v>
      </c>
      <c r="C12" s="2"/>
      <c r="D12" s="2" t="s">
        <v>1484</v>
      </c>
      <c r="E12" s="2" t="s">
        <v>39</v>
      </c>
      <c r="F12" s="2"/>
      <c r="G12" s="2"/>
      <c r="H12" s="2"/>
      <c r="I12" s="3">
        <f t="shared" si="0"/>
        <v>64</v>
      </c>
    </row>
    <row r="13" spans="1:9" x14ac:dyDescent="0.3">
      <c r="A13" s="2" t="s">
        <v>666</v>
      </c>
      <c r="B13" s="2" t="s">
        <v>1485</v>
      </c>
      <c r="C13" s="2"/>
      <c r="D13" s="2" t="s">
        <v>1486</v>
      </c>
      <c r="E13" s="2" t="s">
        <v>39</v>
      </c>
      <c r="F13" s="2"/>
      <c r="G13" s="2"/>
      <c r="H13" s="2"/>
      <c r="I13" s="3">
        <f t="shared" si="0"/>
        <v>64</v>
      </c>
    </row>
    <row r="14" spans="1:9" x14ac:dyDescent="0.3">
      <c r="A14" s="2" t="s">
        <v>666</v>
      </c>
      <c r="B14" s="2" t="s">
        <v>1539</v>
      </c>
      <c r="C14" s="2"/>
      <c r="D14" s="2" t="s">
        <v>1540</v>
      </c>
      <c r="E14" s="2" t="s">
        <v>39</v>
      </c>
      <c r="F14" s="2"/>
      <c r="G14" s="2"/>
      <c r="H14" s="2"/>
      <c r="I14" s="3">
        <f t="shared" si="0"/>
        <v>65</v>
      </c>
    </row>
    <row r="15" spans="1:9" x14ac:dyDescent="0.3">
      <c r="A15" s="2" t="s">
        <v>666</v>
      </c>
      <c r="B15" s="2" t="s">
        <v>1541</v>
      </c>
      <c r="C15" s="2"/>
      <c r="D15" s="2" t="s">
        <v>1542</v>
      </c>
      <c r="E15" s="2" t="s">
        <v>39</v>
      </c>
      <c r="F15" s="2"/>
      <c r="G15" s="2"/>
      <c r="H15" s="2"/>
      <c r="I15" s="3">
        <f t="shared" si="0"/>
        <v>65</v>
      </c>
    </row>
    <row r="16" spans="1:9" x14ac:dyDescent="0.3">
      <c r="A16" s="2" t="s">
        <v>666</v>
      </c>
      <c r="B16" s="2" t="s">
        <v>1591</v>
      </c>
      <c r="C16" s="2"/>
      <c r="D16" s="2" t="s">
        <v>1592</v>
      </c>
      <c r="E16" s="2"/>
      <c r="F16" s="2"/>
      <c r="G16" s="2"/>
      <c r="H16" s="2"/>
      <c r="I16" s="3">
        <f t="shared" si="0"/>
        <v>66</v>
      </c>
    </row>
    <row r="17" spans="1:9" ht="24" x14ac:dyDescent="0.3">
      <c r="A17" s="2" t="s">
        <v>666</v>
      </c>
      <c r="B17" s="2" t="s">
        <v>1593</v>
      </c>
      <c r="C17" s="2"/>
      <c r="D17" s="2" t="s">
        <v>1594</v>
      </c>
      <c r="E17" s="2"/>
      <c r="F17" s="2"/>
      <c r="G17" s="2"/>
      <c r="H17" s="2"/>
      <c r="I17" s="3">
        <f t="shared" si="0"/>
        <v>66</v>
      </c>
    </row>
    <row r="18" spans="1:9" x14ac:dyDescent="0.3">
      <c r="A18" s="2" t="s">
        <v>666</v>
      </c>
      <c r="B18" s="2" t="s">
        <v>1636</v>
      </c>
      <c r="C18" s="2" t="s">
        <v>389</v>
      </c>
      <c r="D18" s="2" t="s">
        <v>1637</v>
      </c>
      <c r="E18" s="2" t="s">
        <v>39</v>
      </c>
      <c r="F18" s="2"/>
      <c r="G18" s="2"/>
      <c r="H18" s="2"/>
      <c r="I18" s="3">
        <f t="shared" si="0"/>
        <v>67</v>
      </c>
    </row>
    <row r="19" spans="1:9" x14ac:dyDescent="0.3">
      <c r="A19" s="2" t="s">
        <v>666</v>
      </c>
      <c r="B19" s="2" t="s">
        <v>1753</v>
      </c>
      <c r="C19" s="2" t="s">
        <v>1754</v>
      </c>
      <c r="D19" s="2" t="s">
        <v>1755</v>
      </c>
      <c r="E19" s="2"/>
      <c r="F19" s="2"/>
      <c r="G19" s="2"/>
      <c r="H19" s="2"/>
      <c r="I19" s="3">
        <f t="shared" si="0"/>
        <v>69</v>
      </c>
    </row>
    <row r="20" spans="1:9" x14ac:dyDescent="0.3">
      <c r="A20" s="2" t="s">
        <v>666</v>
      </c>
      <c r="B20" s="2" t="s">
        <v>1756</v>
      </c>
      <c r="C20" s="2" t="s">
        <v>1757</v>
      </c>
      <c r="D20" s="2" t="s">
        <v>1758</v>
      </c>
      <c r="E20" s="2"/>
      <c r="F20" s="2"/>
      <c r="G20" s="2"/>
      <c r="H20" s="2"/>
      <c r="I20" s="3">
        <f t="shared" si="0"/>
        <v>69</v>
      </c>
    </row>
    <row r="21" spans="1:9" x14ac:dyDescent="0.3">
      <c r="A21" s="2" t="s">
        <v>666</v>
      </c>
      <c r="B21" s="2" t="s">
        <v>1813</v>
      </c>
      <c r="C21" s="2" t="s">
        <v>1814</v>
      </c>
      <c r="D21" s="2" t="s">
        <v>1815</v>
      </c>
      <c r="E21" s="2"/>
      <c r="F21" s="2"/>
      <c r="G21" s="2"/>
      <c r="H21" s="2"/>
      <c r="I21" s="3">
        <f t="shared" si="0"/>
        <v>70</v>
      </c>
    </row>
    <row r="22" spans="1:9" x14ac:dyDescent="0.3">
      <c r="A22" s="2" t="s">
        <v>666</v>
      </c>
      <c r="B22" s="2" t="s">
        <v>1818</v>
      </c>
      <c r="C22" s="2" t="s">
        <v>389</v>
      </c>
      <c r="D22" s="2" t="s">
        <v>1819</v>
      </c>
      <c r="E22" s="2"/>
      <c r="F22" s="2"/>
      <c r="G22" s="2"/>
      <c r="H22" s="2"/>
      <c r="I22" s="3">
        <f t="shared" si="0"/>
        <v>70</v>
      </c>
    </row>
    <row r="23" spans="1:9" ht="24" x14ac:dyDescent="0.3">
      <c r="A23" s="2" t="s">
        <v>666</v>
      </c>
      <c r="B23" s="2" t="s">
        <v>1833</v>
      </c>
      <c r="C23" s="2"/>
      <c r="D23" s="2" t="s">
        <v>1834</v>
      </c>
      <c r="E23" s="2"/>
      <c r="F23" s="2"/>
      <c r="G23" s="2"/>
      <c r="H23" s="2"/>
      <c r="I23" s="3">
        <f t="shared" si="0"/>
        <v>70</v>
      </c>
    </row>
    <row r="24" spans="1:9" x14ac:dyDescent="0.3">
      <c r="A24" s="2" t="s">
        <v>666</v>
      </c>
      <c r="B24" s="2" t="s">
        <v>1871</v>
      </c>
      <c r="C24" s="2" t="s">
        <v>1293</v>
      </c>
      <c r="D24" s="2" t="s">
        <v>1872</v>
      </c>
      <c r="E24" s="2"/>
      <c r="F24" s="2"/>
      <c r="G24" s="2"/>
      <c r="H24" s="2"/>
      <c r="I24" s="3">
        <f t="shared" si="0"/>
        <v>71</v>
      </c>
    </row>
    <row r="25" spans="1:9" ht="24" x14ac:dyDescent="0.3">
      <c r="A25" s="2" t="s">
        <v>666</v>
      </c>
      <c r="B25" s="2" t="s">
        <v>1885</v>
      </c>
      <c r="C25" s="2"/>
      <c r="D25" s="2" t="s">
        <v>1886</v>
      </c>
      <c r="E25" s="2"/>
      <c r="F25" s="2"/>
      <c r="G25" s="2"/>
      <c r="H25" s="2"/>
      <c r="I25" s="3">
        <f t="shared" si="0"/>
        <v>71</v>
      </c>
    </row>
    <row r="26" spans="1:9" x14ac:dyDescent="0.3">
      <c r="A26" s="2" t="s">
        <v>666</v>
      </c>
      <c r="B26" s="2" t="s">
        <v>1940</v>
      </c>
      <c r="C26" s="2" t="s">
        <v>389</v>
      </c>
      <c r="D26" s="2" t="s">
        <v>1941</v>
      </c>
      <c r="E26" s="2"/>
      <c r="F26" s="2"/>
      <c r="G26" s="2"/>
      <c r="H26" s="2"/>
      <c r="I26" s="3">
        <f t="shared" si="0"/>
        <v>72</v>
      </c>
    </row>
    <row r="27" spans="1:9" x14ac:dyDescent="0.3">
      <c r="A27" s="2" t="s">
        <v>666</v>
      </c>
      <c r="B27" s="2" t="s">
        <v>1978</v>
      </c>
      <c r="C27" s="2" t="s">
        <v>823</v>
      </c>
      <c r="D27" s="2" t="s">
        <v>1979</v>
      </c>
      <c r="E27" s="2"/>
      <c r="F27" s="2"/>
      <c r="G27" s="2"/>
      <c r="H27" s="2"/>
      <c r="I27" s="3">
        <f t="shared" si="0"/>
        <v>73</v>
      </c>
    </row>
    <row r="28" spans="1:9" ht="24" x14ac:dyDescent="0.3">
      <c r="A28" s="2" t="s">
        <v>666</v>
      </c>
      <c r="B28" s="2" t="s">
        <v>1994</v>
      </c>
      <c r="C28" s="2"/>
      <c r="D28" s="2" t="s">
        <v>1995</v>
      </c>
      <c r="E28" s="2" t="s">
        <v>39</v>
      </c>
      <c r="F28" s="2"/>
      <c r="G28" s="2"/>
      <c r="H28" s="2"/>
      <c r="I28" s="3">
        <f t="shared" si="0"/>
        <v>73</v>
      </c>
    </row>
    <row r="29" spans="1:9" ht="24" x14ac:dyDescent="0.3">
      <c r="A29" s="2" t="s">
        <v>666</v>
      </c>
      <c r="B29" s="2" t="s">
        <v>1996</v>
      </c>
      <c r="C29" s="2"/>
      <c r="D29" s="2" t="s">
        <v>1997</v>
      </c>
      <c r="E29" s="2" t="s">
        <v>39</v>
      </c>
      <c r="F29" s="2"/>
      <c r="G29" s="2"/>
      <c r="H29" s="2"/>
      <c r="I29" s="3">
        <f t="shared" si="0"/>
        <v>73</v>
      </c>
    </row>
    <row r="30" spans="1:9" ht="24" x14ac:dyDescent="0.3">
      <c r="A30" s="2" t="s">
        <v>666</v>
      </c>
      <c r="B30" s="2" t="s">
        <v>2065</v>
      </c>
      <c r="C30" s="2"/>
      <c r="D30" s="2" t="s">
        <v>2066</v>
      </c>
      <c r="E30" s="2"/>
      <c r="F30" s="2"/>
      <c r="G30" s="2"/>
      <c r="H30" s="2"/>
      <c r="I30" s="3">
        <f t="shared" si="0"/>
        <v>74</v>
      </c>
    </row>
    <row r="31" spans="1:9" ht="24" x14ac:dyDescent="0.3">
      <c r="A31" s="2" t="s">
        <v>666</v>
      </c>
      <c r="B31" s="2" t="s">
        <v>2067</v>
      </c>
      <c r="C31" s="2"/>
      <c r="D31" s="2" t="s">
        <v>2068</v>
      </c>
      <c r="E31" s="2"/>
      <c r="F31" s="2"/>
      <c r="G31" s="2"/>
      <c r="H31" s="2"/>
      <c r="I31" s="3">
        <f t="shared" si="0"/>
        <v>74</v>
      </c>
    </row>
    <row r="32" spans="1:9" x14ac:dyDescent="0.3">
      <c r="A32" s="2" t="s">
        <v>666</v>
      </c>
      <c r="B32" s="2" t="s">
        <v>2117</v>
      </c>
      <c r="C32" s="2" t="s">
        <v>389</v>
      </c>
      <c r="D32" s="2" t="s">
        <v>2118</v>
      </c>
      <c r="E32" s="2"/>
      <c r="F32" s="2"/>
      <c r="G32" s="2"/>
      <c r="H32" s="2"/>
      <c r="I32" s="3">
        <f t="shared" si="0"/>
        <v>75</v>
      </c>
    </row>
    <row r="33" spans="1:9" x14ac:dyDescent="0.3">
      <c r="A33" s="2" t="s">
        <v>666</v>
      </c>
      <c r="B33" s="2" t="s">
        <v>2216</v>
      </c>
      <c r="C33" s="2"/>
      <c r="D33" s="2" t="s">
        <v>2217</v>
      </c>
      <c r="E33" s="2" t="s">
        <v>2218</v>
      </c>
      <c r="F33" s="2"/>
      <c r="G33" s="2"/>
      <c r="H33" s="2" t="s">
        <v>194</v>
      </c>
      <c r="I33" s="3">
        <f t="shared" si="0"/>
        <v>77</v>
      </c>
    </row>
    <row r="34" spans="1:9" x14ac:dyDescent="0.3">
      <c r="A34" s="2" t="s">
        <v>666</v>
      </c>
      <c r="B34" s="2" t="s">
        <v>2347</v>
      </c>
      <c r="C34" s="2" t="s">
        <v>554</v>
      </c>
      <c r="D34" s="2" t="s">
        <v>2348</v>
      </c>
      <c r="E34" s="2"/>
      <c r="F34" s="2"/>
      <c r="G34" s="2"/>
      <c r="H34" s="2"/>
      <c r="I34" s="3">
        <f t="shared" ref="I34:I65" si="1">LEN(D34)</f>
        <v>79</v>
      </c>
    </row>
    <row r="35" spans="1:9" x14ac:dyDescent="0.3">
      <c r="A35" s="2" t="s">
        <v>666</v>
      </c>
      <c r="B35" s="2" t="s">
        <v>2361</v>
      </c>
      <c r="C35" s="2" t="s">
        <v>2362</v>
      </c>
      <c r="D35" s="2" t="s">
        <v>2363</v>
      </c>
      <c r="E35" s="2" t="s">
        <v>39</v>
      </c>
      <c r="F35" s="2"/>
      <c r="G35" s="2"/>
      <c r="H35" s="2"/>
      <c r="I35" s="3">
        <f t="shared" si="1"/>
        <v>80</v>
      </c>
    </row>
    <row r="36" spans="1:9" x14ac:dyDescent="0.3">
      <c r="A36" s="2" t="s">
        <v>666</v>
      </c>
      <c r="B36" s="2" t="s">
        <v>2469</v>
      </c>
      <c r="C36" s="2"/>
      <c r="D36" s="2" t="s">
        <v>2470</v>
      </c>
      <c r="E36" s="2" t="s">
        <v>39</v>
      </c>
      <c r="F36" s="2"/>
      <c r="G36" s="2"/>
      <c r="H36" s="2"/>
      <c r="I36" s="3">
        <f t="shared" si="1"/>
        <v>82</v>
      </c>
    </row>
    <row r="37" spans="1:9" x14ac:dyDescent="0.3">
      <c r="A37" s="2" t="s">
        <v>666</v>
      </c>
      <c r="B37" s="2" t="s">
        <v>2710</v>
      </c>
      <c r="C37" s="2" t="s">
        <v>389</v>
      </c>
      <c r="D37" s="2" t="s">
        <v>2711</v>
      </c>
      <c r="E37" s="2"/>
      <c r="F37" s="2"/>
      <c r="G37" s="2"/>
      <c r="H37" s="2"/>
      <c r="I37" s="3">
        <f t="shared" si="1"/>
        <v>86</v>
      </c>
    </row>
    <row r="38" spans="1:9" ht="24" x14ac:dyDescent="0.3">
      <c r="A38" s="2" t="s">
        <v>666</v>
      </c>
      <c r="B38" s="2" t="s">
        <v>2712</v>
      </c>
      <c r="C38" s="2"/>
      <c r="D38" s="2" t="s">
        <v>2713</v>
      </c>
      <c r="E38" s="2"/>
      <c r="F38" s="2"/>
      <c r="G38" s="2"/>
      <c r="H38" s="2"/>
      <c r="I38" s="3">
        <f t="shared" si="1"/>
        <v>86</v>
      </c>
    </row>
    <row r="39" spans="1:9" x14ac:dyDescent="0.3">
      <c r="A39" s="2" t="s">
        <v>666</v>
      </c>
      <c r="B39" s="2" t="s">
        <v>2827</v>
      </c>
      <c r="C39" s="2"/>
      <c r="D39" s="2" t="s">
        <v>2828</v>
      </c>
      <c r="E39" s="2"/>
      <c r="F39" s="2"/>
      <c r="G39" s="2"/>
      <c r="H39" s="2"/>
      <c r="I39" s="3">
        <f t="shared" si="1"/>
        <v>88</v>
      </c>
    </row>
    <row r="40" spans="1:9" ht="24" x14ac:dyDescent="0.3">
      <c r="A40" s="2" t="s">
        <v>666</v>
      </c>
      <c r="B40" s="2" t="s">
        <v>2986</v>
      </c>
      <c r="C40" s="2" t="s">
        <v>2987</v>
      </c>
      <c r="D40" s="2" t="s">
        <v>2988</v>
      </c>
      <c r="E40" s="2" t="s">
        <v>39</v>
      </c>
      <c r="F40" s="2"/>
      <c r="G40" s="2"/>
      <c r="H40" s="2"/>
      <c r="I40" s="3">
        <f t="shared" si="1"/>
        <v>91</v>
      </c>
    </row>
    <row r="41" spans="1:9" x14ac:dyDescent="0.3">
      <c r="A41" s="2" t="s">
        <v>666</v>
      </c>
      <c r="B41" s="2" t="s">
        <v>3073</v>
      </c>
      <c r="C41" s="2" t="s">
        <v>389</v>
      </c>
      <c r="D41" s="2" t="s">
        <v>3074</v>
      </c>
      <c r="E41" s="2"/>
      <c r="F41" s="2"/>
      <c r="G41" s="2"/>
      <c r="H41" s="2"/>
      <c r="I41" s="3">
        <f t="shared" si="1"/>
        <v>93</v>
      </c>
    </row>
    <row r="42" spans="1:9" x14ac:dyDescent="0.3">
      <c r="A42" s="2" t="s">
        <v>666</v>
      </c>
      <c r="B42" s="2" t="s">
        <v>3077</v>
      </c>
      <c r="C42" s="2"/>
      <c r="D42" s="2" t="s">
        <v>3078</v>
      </c>
      <c r="E42" s="2"/>
      <c r="F42" s="2"/>
      <c r="G42" s="2"/>
      <c r="H42" s="2"/>
      <c r="I42" s="3">
        <f t="shared" si="1"/>
        <v>93</v>
      </c>
    </row>
    <row r="43" spans="1:9" ht="24" x14ac:dyDescent="0.3">
      <c r="A43" s="2" t="s">
        <v>666</v>
      </c>
      <c r="B43" s="2" t="s">
        <v>3313</v>
      </c>
      <c r="C43" s="2" t="s">
        <v>389</v>
      </c>
      <c r="D43" s="2" t="s">
        <v>3314</v>
      </c>
      <c r="E43" s="2"/>
      <c r="F43" s="2"/>
      <c r="G43" s="2"/>
      <c r="H43" s="2" t="s">
        <v>646</v>
      </c>
      <c r="I43" s="3">
        <f t="shared" si="1"/>
        <v>98</v>
      </c>
    </row>
    <row r="44" spans="1:9" x14ac:dyDescent="0.3">
      <c r="A44" s="2" t="s">
        <v>666</v>
      </c>
      <c r="B44" s="2" t="s">
        <v>3344</v>
      </c>
      <c r="C44" s="2" t="s">
        <v>491</v>
      </c>
      <c r="D44" s="2" t="s">
        <v>3345</v>
      </c>
      <c r="E44" s="2" t="s">
        <v>39</v>
      </c>
      <c r="F44" s="2"/>
      <c r="G44" s="2"/>
      <c r="H44" s="2"/>
      <c r="I44" s="3">
        <f t="shared" si="1"/>
        <v>99</v>
      </c>
    </row>
    <row r="45" spans="1:9" ht="24" x14ac:dyDescent="0.3">
      <c r="A45" s="2" t="s">
        <v>666</v>
      </c>
      <c r="B45" s="2" t="s">
        <v>3475</v>
      </c>
      <c r="C45" s="2" t="s">
        <v>389</v>
      </c>
      <c r="D45" s="2" t="s">
        <v>3476</v>
      </c>
      <c r="E45" s="2" t="s">
        <v>39</v>
      </c>
      <c r="F45" s="2"/>
      <c r="G45" s="2"/>
      <c r="H45" s="2"/>
      <c r="I45" s="3">
        <f t="shared" si="1"/>
        <v>102</v>
      </c>
    </row>
    <row r="46" spans="1:9" x14ac:dyDescent="0.3">
      <c r="A46" s="2" t="s">
        <v>666</v>
      </c>
      <c r="B46" s="2" t="s">
        <v>3477</v>
      </c>
      <c r="C46" s="2" t="s">
        <v>389</v>
      </c>
      <c r="D46" s="2" t="s">
        <v>3478</v>
      </c>
      <c r="E46" s="2" t="s">
        <v>39</v>
      </c>
      <c r="F46" s="2"/>
      <c r="G46" s="2"/>
      <c r="H46" s="2"/>
      <c r="I46" s="3">
        <f t="shared" si="1"/>
        <v>102</v>
      </c>
    </row>
    <row r="47" spans="1:9" ht="24" x14ac:dyDescent="0.3">
      <c r="A47" s="2" t="s">
        <v>666</v>
      </c>
      <c r="B47" s="2" t="s">
        <v>3516</v>
      </c>
      <c r="C47" s="2" t="s">
        <v>389</v>
      </c>
      <c r="D47" s="2" t="s">
        <v>3517</v>
      </c>
      <c r="E47" s="2" t="s">
        <v>2891</v>
      </c>
      <c r="F47" s="2"/>
      <c r="G47" s="2"/>
      <c r="H47" s="2" t="s">
        <v>898</v>
      </c>
      <c r="I47" s="3">
        <f t="shared" si="1"/>
        <v>103</v>
      </c>
    </row>
    <row r="48" spans="1:9" ht="24" x14ac:dyDescent="0.3">
      <c r="A48" s="2" t="s">
        <v>666</v>
      </c>
      <c r="B48" s="2" t="s">
        <v>3738</v>
      </c>
      <c r="C48" s="2" t="s">
        <v>3739</v>
      </c>
      <c r="D48" s="2" t="s">
        <v>3740</v>
      </c>
      <c r="E48" s="2"/>
      <c r="F48" s="2"/>
      <c r="G48" s="2"/>
      <c r="H48" s="2"/>
      <c r="I48" s="3">
        <f t="shared" si="1"/>
        <v>108</v>
      </c>
    </row>
    <row r="49" spans="1:9" ht="24" x14ac:dyDescent="0.3">
      <c r="A49" s="2" t="s">
        <v>666</v>
      </c>
      <c r="B49" s="2" t="s">
        <v>2117</v>
      </c>
      <c r="C49" s="2" t="s">
        <v>389</v>
      </c>
      <c r="D49" s="2" t="s">
        <v>3784</v>
      </c>
      <c r="E49" s="2"/>
      <c r="F49" s="2"/>
      <c r="G49" s="2"/>
      <c r="H49" s="2"/>
      <c r="I49" s="3">
        <f t="shared" si="1"/>
        <v>109</v>
      </c>
    </row>
    <row r="50" spans="1:9" ht="24" x14ac:dyDescent="0.3">
      <c r="A50" s="2" t="s">
        <v>666</v>
      </c>
      <c r="B50" s="2" t="s">
        <v>3077</v>
      </c>
      <c r="C50" s="2"/>
      <c r="D50" s="2" t="s">
        <v>3821</v>
      </c>
      <c r="E50" s="2" t="s">
        <v>39</v>
      </c>
      <c r="F50" s="2"/>
      <c r="G50" s="2"/>
      <c r="H50" s="2" t="s">
        <v>646</v>
      </c>
      <c r="I50" s="3">
        <f t="shared" si="1"/>
        <v>110</v>
      </c>
    </row>
    <row r="51" spans="1:9" ht="24" x14ac:dyDescent="0.3">
      <c r="A51" s="2" t="s">
        <v>666</v>
      </c>
      <c r="B51" s="2" t="s">
        <v>3872</v>
      </c>
      <c r="C51" s="2" t="s">
        <v>389</v>
      </c>
      <c r="D51" s="2" t="s">
        <v>3873</v>
      </c>
      <c r="E51" s="2"/>
      <c r="F51" s="2"/>
      <c r="G51" s="2"/>
      <c r="H51" s="2" t="s">
        <v>194</v>
      </c>
      <c r="I51" s="3">
        <f t="shared" si="1"/>
        <v>111</v>
      </c>
    </row>
    <row r="52" spans="1:9" ht="24" x14ac:dyDescent="0.3">
      <c r="A52" s="2" t="s">
        <v>666</v>
      </c>
      <c r="B52" s="2" t="s">
        <v>3477</v>
      </c>
      <c r="C52" s="2" t="s">
        <v>389</v>
      </c>
      <c r="D52" s="2" t="s">
        <v>4023</v>
      </c>
      <c r="E52" s="2" t="s">
        <v>2891</v>
      </c>
      <c r="F52" s="2"/>
      <c r="G52" s="2"/>
      <c r="H52" s="2"/>
      <c r="I52" s="3">
        <f t="shared" si="1"/>
        <v>115</v>
      </c>
    </row>
    <row r="53" spans="1:9" ht="24" x14ac:dyDescent="0.3">
      <c r="A53" s="2" t="s">
        <v>666</v>
      </c>
      <c r="B53" s="2" t="s">
        <v>4169</v>
      </c>
      <c r="C53" s="2"/>
      <c r="D53" s="2" t="s">
        <v>4170</v>
      </c>
      <c r="E53" s="2" t="s">
        <v>39</v>
      </c>
      <c r="F53" s="2"/>
      <c r="G53" s="2"/>
      <c r="H53" s="2"/>
      <c r="I53" s="3">
        <f t="shared" si="1"/>
        <v>119</v>
      </c>
    </row>
    <row r="54" spans="1:9" ht="24" x14ac:dyDescent="0.3">
      <c r="A54" s="2" t="s">
        <v>666</v>
      </c>
      <c r="B54" s="2" t="s">
        <v>4237</v>
      </c>
      <c r="C54" s="2"/>
      <c r="D54" s="2" t="s">
        <v>4238</v>
      </c>
      <c r="E54" s="2" t="s">
        <v>39</v>
      </c>
      <c r="F54" s="2"/>
      <c r="G54" s="2"/>
      <c r="H54" s="2"/>
      <c r="I54" s="3">
        <f t="shared" si="1"/>
        <v>121</v>
      </c>
    </row>
    <row r="55" spans="1:9" ht="24" x14ac:dyDescent="0.3">
      <c r="A55" s="2" t="s">
        <v>666</v>
      </c>
      <c r="B55" s="2" t="s">
        <v>4240</v>
      </c>
      <c r="C55" s="2" t="s">
        <v>389</v>
      </c>
      <c r="D55" s="2" t="s">
        <v>4241</v>
      </c>
      <c r="E55" s="2"/>
      <c r="F55" s="2"/>
      <c r="G55" s="2"/>
      <c r="H55" s="2"/>
      <c r="I55" s="3">
        <f t="shared" si="1"/>
        <v>121</v>
      </c>
    </row>
    <row r="56" spans="1:9" ht="24" x14ac:dyDescent="0.3">
      <c r="A56" s="2" t="s">
        <v>666</v>
      </c>
      <c r="B56" s="2" t="s">
        <v>4335</v>
      </c>
      <c r="C56" s="2"/>
      <c r="D56" s="2" t="s">
        <v>4336</v>
      </c>
      <c r="E56" s="2"/>
      <c r="F56" s="2"/>
      <c r="G56" s="2"/>
      <c r="H56" s="2"/>
      <c r="I56" s="3">
        <f t="shared" si="1"/>
        <v>124</v>
      </c>
    </row>
    <row r="57" spans="1:9" ht="24" x14ac:dyDescent="0.3">
      <c r="A57" s="2" t="s">
        <v>666</v>
      </c>
      <c r="B57" s="2" t="s">
        <v>4337</v>
      </c>
      <c r="C57" s="2"/>
      <c r="D57" s="2" t="s">
        <v>4338</v>
      </c>
      <c r="E57" s="2"/>
      <c r="F57" s="2"/>
      <c r="G57" s="2"/>
      <c r="H57" s="2"/>
      <c r="I57" s="3">
        <f t="shared" si="1"/>
        <v>124</v>
      </c>
    </row>
    <row r="58" spans="1:9" ht="24" x14ac:dyDescent="0.3">
      <c r="A58" s="2" t="s">
        <v>666</v>
      </c>
      <c r="B58" s="2" t="s">
        <v>4409</v>
      </c>
      <c r="C58" s="2"/>
      <c r="D58" s="2" t="s">
        <v>4410</v>
      </c>
      <c r="E58" s="2"/>
      <c r="F58" s="2"/>
      <c r="G58" s="2"/>
      <c r="H58" s="2" t="s">
        <v>646</v>
      </c>
      <c r="I58" s="3">
        <f t="shared" si="1"/>
        <v>126</v>
      </c>
    </row>
    <row r="59" spans="1:9" ht="24" x14ac:dyDescent="0.3">
      <c r="A59" s="2" t="s">
        <v>666</v>
      </c>
      <c r="B59" s="2" t="s">
        <v>4441</v>
      </c>
      <c r="C59" s="2" t="s">
        <v>389</v>
      </c>
      <c r="D59" s="2" t="s">
        <v>4442</v>
      </c>
      <c r="E59" s="2"/>
      <c r="F59" s="2"/>
      <c r="G59" s="2"/>
      <c r="H59" s="2"/>
      <c r="I59" s="3">
        <f t="shared" si="1"/>
        <v>127</v>
      </c>
    </row>
    <row r="60" spans="1:9" ht="24" x14ac:dyDescent="0.3">
      <c r="A60" s="2" t="s">
        <v>666</v>
      </c>
      <c r="B60" s="2" t="s">
        <v>4459</v>
      </c>
      <c r="C60" s="2" t="s">
        <v>181</v>
      </c>
      <c r="D60" s="2" t="s">
        <v>4460</v>
      </c>
      <c r="E60" s="2"/>
      <c r="F60" s="2"/>
      <c r="G60" s="2"/>
      <c r="H60" s="2" t="s">
        <v>646</v>
      </c>
      <c r="I60" s="3">
        <f t="shared" si="1"/>
        <v>128</v>
      </c>
    </row>
    <row r="61" spans="1:9" ht="24" x14ac:dyDescent="0.3">
      <c r="A61" s="2" t="s">
        <v>666</v>
      </c>
      <c r="B61" s="2" t="s">
        <v>4596</v>
      </c>
      <c r="C61" s="2"/>
      <c r="D61" s="2" t="s">
        <v>4597</v>
      </c>
      <c r="E61" s="2"/>
      <c r="F61" s="2"/>
      <c r="G61" s="2"/>
      <c r="H61" s="2"/>
      <c r="I61" s="3">
        <f t="shared" si="1"/>
        <v>132</v>
      </c>
    </row>
    <row r="62" spans="1:9" ht="24" x14ac:dyDescent="0.3">
      <c r="A62" s="2" t="s">
        <v>666</v>
      </c>
      <c r="B62" s="2" t="s">
        <v>4649</v>
      </c>
      <c r="C62" s="2" t="s">
        <v>389</v>
      </c>
      <c r="D62" s="2" t="s">
        <v>4650</v>
      </c>
      <c r="E62" s="2"/>
      <c r="F62" s="2"/>
      <c r="G62" s="2"/>
      <c r="H62" s="2" t="s">
        <v>194</v>
      </c>
      <c r="I62" s="3">
        <f t="shared" si="1"/>
        <v>134</v>
      </c>
    </row>
    <row r="63" spans="1:9" ht="24" x14ac:dyDescent="0.3">
      <c r="A63" s="2" t="s">
        <v>666</v>
      </c>
      <c r="B63" s="2" t="s">
        <v>4826</v>
      </c>
      <c r="C63" s="2"/>
      <c r="D63" s="2" t="s">
        <v>4827</v>
      </c>
      <c r="E63" s="2"/>
      <c r="F63" s="2"/>
      <c r="G63" s="2"/>
      <c r="H63" s="2"/>
      <c r="I63" s="3">
        <f t="shared" si="1"/>
        <v>139</v>
      </c>
    </row>
    <row r="64" spans="1:9" ht="24" x14ac:dyDescent="0.3">
      <c r="A64" s="2" t="s">
        <v>666</v>
      </c>
      <c r="B64" s="2" t="s">
        <v>3344</v>
      </c>
      <c r="C64" s="2" t="s">
        <v>491</v>
      </c>
      <c r="D64" s="2" t="s">
        <v>4944</v>
      </c>
      <c r="E64" s="2" t="s">
        <v>39</v>
      </c>
      <c r="F64" s="2"/>
      <c r="G64" s="2"/>
      <c r="H64" s="2"/>
      <c r="I64" s="3">
        <f t="shared" si="1"/>
        <v>143</v>
      </c>
    </row>
    <row r="65" spans="1:9" ht="24" x14ac:dyDescent="0.3">
      <c r="A65" s="2" t="s">
        <v>666</v>
      </c>
      <c r="B65" s="2" t="s">
        <v>5014</v>
      </c>
      <c r="C65" s="2" t="s">
        <v>5015</v>
      </c>
      <c r="D65" s="2" t="s">
        <v>5016</v>
      </c>
      <c r="E65" s="2" t="s">
        <v>5017</v>
      </c>
      <c r="F65" s="2"/>
      <c r="G65" s="2"/>
      <c r="H65" s="2" t="s">
        <v>194</v>
      </c>
      <c r="I65" s="3">
        <f t="shared" si="1"/>
        <v>145</v>
      </c>
    </row>
    <row r="66" spans="1:9" ht="24" x14ac:dyDescent="0.3">
      <c r="A66" s="2" t="s">
        <v>666</v>
      </c>
      <c r="B66" s="2" t="s">
        <v>5036</v>
      </c>
      <c r="C66" s="2"/>
      <c r="D66" s="2" t="s">
        <v>5037</v>
      </c>
      <c r="E66" s="2"/>
      <c r="F66" s="2"/>
      <c r="G66" s="2"/>
      <c r="H66" s="2"/>
      <c r="I66" s="3">
        <f t="shared" ref="I66:I71" si="2">LEN(D66)</f>
        <v>146</v>
      </c>
    </row>
    <row r="67" spans="1:9" ht="24" x14ac:dyDescent="0.3">
      <c r="A67" s="2" t="s">
        <v>666</v>
      </c>
      <c r="B67" s="2" t="s">
        <v>5131</v>
      </c>
      <c r="C67" s="2"/>
      <c r="D67" s="2" t="s">
        <v>5132</v>
      </c>
      <c r="E67" s="2"/>
      <c r="F67" s="2"/>
      <c r="G67" s="2"/>
      <c r="H67" s="2"/>
      <c r="I67" s="3">
        <f t="shared" si="2"/>
        <v>149</v>
      </c>
    </row>
    <row r="68" spans="1:9" ht="24" x14ac:dyDescent="0.3">
      <c r="A68" s="2" t="s">
        <v>666</v>
      </c>
      <c r="B68" s="2" t="s">
        <v>5137</v>
      </c>
      <c r="C68" s="2"/>
      <c r="D68" s="2" t="s">
        <v>5138</v>
      </c>
      <c r="E68" s="2" t="s">
        <v>39</v>
      </c>
      <c r="F68" s="2"/>
      <c r="G68" s="2"/>
      <c r="H68" s="2"/>
      <c r="I68" s="3">
        <f t="shared" si="2"/>
        <v>149</v>
      </c>
    </row>
    <row r="69" spans="1:9" ht="24" x14ac:dyDescent="0.3">
      <c r="A69" s="2" t="s">
        <v>666</v>
      </c>
      <c r="B69" s="2" t="s">
        <v>5720</v>
      </c>
      <c r="C69" s="2"/>
      <c r="D69" s="2" t="s">
        <v>5721</v>
      </c>
      <c r="E69" s="2"/>
      <c r="F69" s="2"/>
      <c r="G69" s="2"/>
      <c r="H69" s="2"/>
      <c r="I69" s="3">
        <f t="shared" si="2"/>
        <v>176</v>
      </c>
    </row>
    <row r="70" spans="1:9" ht="36" x14ac:dyDescent="0.3">
      <c r="A70" s="2" t="s">
        <v>666</v>
      </c>
      <c r="B70" s="2" t="s">
        <v>6659</v>
      </c>
      <c r="C70" s="2"/>
      <c r="D70" s="2" t="s">
        <v>6660</v>
      </c>
      <c r="E70" s="2"/>
      <c r="F70" s="2"/>
      <c r="G70" s="2"/>
      <c r="H70" s="2"/>
      <c r="I70" s="3">
        <f t="shared" si="2"/>
        <v>241</v>
      </c>
    </row>
    <row r="71" spans="1:9" ht="36" x14ac:dyDescent="0.3">
      <c r="A71" s="2" t="s">
        <v>666</v>
      </c>
      <c r="B71" s="2" t="s">
        <v>7252</v>
      </c>
      <c r="C71" s="2"/>
      <c r="D71" s="2" t="s">
        <v>7253</v>
      </c>
      <c r="E71" s="2"/>
      <c r="F71" s="2"/>
      <c r="G71" s="2"/>
      <c r="H71" s="2"/>
      <c r="I71" s="3">
        <f t="shared" si="2"/>
        <v>307</v>
      </c>
    </row>
  </sheetData>
  <autoFilter ref="A1:I71" xr:uid="{00000000-0009-0000-0000-000000000000}">
    <sortState xmlns:xlrd2="http://schemas.microsoft.com/office/spreadsheetml/2017/richdata2" ref="A2:I71">
      <sortCondition ref="A1:A71"/>
    </sortState>
  </autoFilter>
  <conditionalFormatting sqref="H1:H73">
    <cfRule type="notContainsBlanks" dxfId="7" priority="1">
      <formula>LEN(TRIM(H1))&gt;0</formula>
    </cfRule>
  </conditionalFormatting>
  <dataValidations count="2">
    <dataValidation type="list" allowBlank="1" sqref="H2:H71" xr:uid="{EBC7E447-5104-49FB-A4D5-1C3F18E77355}">
      <formula1>#REF!</formula1>
    </dataValidation>
    <dataValidation type="list" allowBlank="1" showErrorMessage="1" sqref="C2:C71" xr:uid="{0B0A60DD-76AA-44E2-9B1B-09A01E45D151}">
      <formula1>#REF!</formula1>
    </dataValidation>
  </dataValidations>
  <pageMargins left="0.7" right="0.7" top="0.75" bottom="0.75" header="0" footer="0"/>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61498-0A76-4C5E-895A-4396E405C71E}">
  <dimension ref="A1:I80"/>
  <sheetViews>
    <sheetView topLeftCell="C1" workbookViewId="0">
      <pane ySplit="1" topLeftCell="A59" activePane="bottomLeft" state="frozen"/>
      <selection pane="bottomLeft" activeCell="E74" sqref="E74"/>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410</v>
      </c>
      <c r="B2" s="2" t="s">
        <v>411</v>
      </c>
      <c r="C2" s="2" t="s">
        <v>412</v>
      </c>
      <c r="D2" s="2" t="s">
        <v>413</v>
      </c>
      <c r="E2" s="2"/>
      <c r="F2" s="2"/>
      <c r="G2" s="2"/>
      <c r="H2" s="2"/>
      <c r="I2" s="3">
        <f t="shared" ref="I2:I33" si="0">LEN(D2)</f>
        <v>37</v>
      </c>
    </row>
    <row r="3" spans="1:9" x14ac:dyDescent="0.3">
      <c r="A3" s="2" t="s">
        <v>410</v>
      </c>
      <c r="B3" s="2" t="s">
        <v>434</v>
      </c>
      <c r="C3" s="2"/>
      <c r="D3" s="2" t="s">
        <v>435</v>
      </c>
      <c r="E3" s="2"/>
      <c r="F3" s="2"/>
      <c r="G3" s="2"/>
      <c r="H3" s="2"/>
      <c r="I3" s="3">
        <f t="shared" si="0"/>
        <v>38</v>
      </c>
    </row>
    <row r="4" spans="1:9" x14ac:dyDescent="0.3">
      <c r="A4" s="2" t="s">
        <v>410</v>
      </c>
      <c r="B4" s="2" t="s">
        <v>460</v>
      </c>
      <c r="C4" s="2" t="s">
        <v>461</v>
      </c>
      <c r="D4" s="2" t="s">
        <v>462</v>
      </c>
      <c r="E4" s="2"/>
      <c r="F4" s="2"/>
      <c r="G4" s="2"/>
      <c r="H4" s="2"/>
      <c r="I4" s="3">
        <f t="shared" si="0"/>
        <v>39</v>
      </c>
    </row>
    <row r="5" spans="1:9" x14ac:dyDescent="0.3">
      <c r="A5" s="2" t="s">
        <v>410</v>
      </c>
      <c r="B5" s="2" t="s">
        <v>484</v>
      </c>
      <c r="C5" s="2" t="s">
        <v>342</v>
      </c>
      <c r="D5" s="2" t="s">
        <v>485</v>
      </c>
      <c r="E5" s="2"/>
      <c r="F5" s="2"/>
      <c r="G5" s="2"/>
      <c r="H5" s="2"/>
      <c r="I5" s="3">
        <f t="shared" si="0"/>
        <v>40</v>
      </c>
    </row>
    <row r="6" spans="1:9" x14ac:dyDescent="0.3">
      <c r="A6" s="2" t="s">
        <v>410</v>
      </c>
      <c r="B6" s="2" t="s">
        <v>493</v>
      </c>
      <c r="C6" s="2" t="s">
        <v>342</v>
      </c>
      <c r="D6" s="2" t="s">
        <v>494</v>
      </c>
      <c r="E6" s="2"/>
      <c r="F6" s="2"/>
      <c r="G6" s="2"/>
      <c r="H6" s="2"/>
      <c r="I6" s="3">
        <f t="shared" si="0"/>
        <v>40</v>
      </c>
    </row>
    <row r="7" spans="1:9" x14ac:dyDescent="0.3">
      <c r="A7" s="2" t="s">
        <v>410</v>
      </c>
      <c r="B7" s="2" t="s">
        <v>495</v>
      </c>
      <c r="C7" s="2" t="s">
        <v>130</v>
      </c>
      <c r="D7" s="2" t="s">
        <v>496</v>
      </c>
      <c r="E7" s="2"/>
      <c r="F7" s="2"/>
      <c r="G7" s="2"/>
      <c r="H7" s="2"/>
      <c r="I7" s="3">
        <f t="shared" si="0"/>
        <v>40</v>
      </c>
    </row>
    <row r="8" spans="1:9" x14ac:dyDescent="0.3">
      <c r="A8" s="2" t="s">
        <v>410</v>
      </c>
      <c r="B8" s="2" t="s">
        <v>517</v>
      </c>
      <c r="C8" s="2"/>
      <c r="D8" s="2" t="s">
        <v>518</v>
      </c>
      <c r="E8" s="2"/>
      <c r="F8" s="2"/>
      <c r="G8" s="2"/>
      <c r="H8" s="2"/>
      <c r="I8" s="3">
        <f t="shared" si="0"/>
        <v>41</v>
      </c>
    </row>
    <row r="9" spans="1:9" x14ac:dyDescent="0.3">
      <c r="A9" s="2" t="s">
        <v>410</v>
      </c>
      <c r="B9" s="2" t="s">
        <v>550</v>
      </c>
      <c r="C9" s="2"/>
      <c r="D9" s="2" t="s">
        <v>551</v>
      </c>
      <c r="E9" s="2"/>
      <c r="F9" s="2"/>
      <c r="G9" s="2"/>
      <c r="H9" s="2"/>
      <c r="I9" s="3">
        <f t="shared" si="0"/>
        <v>42</v>
      </c>
    </row>
    <row r="10" spans="1:9" x14ac:dyDescent="0.3">
      <c r="A10" s="2" t="s">
        <v>410</v>
      </c>
      <c r="B10" s="2" t="s">
        <v>550</v>
      </c>
      <c r="C10" s="2"/>
      <c r="D10" s="2" t="s">
        <v>551</v>
      </c>
      <c r="E10" s="2"/>
      <c r="F10" s="2"/>
      <c r="G10" s="2"/>
      <c r="H10" s="2"/>
      <c r="I10" s="3">
        <f t="shared" si="0"/>
        <v>42</v>
      </c>
    </row>
    <row r="11" spans="1:9" x14ac:dyDescent="0.3">
      <c r="A11" s="2" t="s">
        <v>410</v>
      </c>
      <c r="B11" s="2" t="s">
        <v>495</v>
      </c>
      <c r="C11" s="2"/>
      <c r="D11" s="2" t="s">
        <v>552</v>
      </c>
      <c r="E11" s="2"/>
      <c r="F11" s="2"/>
      <c r="G11" s="2"/>
      <c r="H11" s="2"/>
      <c r="I11" s="3">
        <f t="shared" si="0"/>
        <v>42</v>
      </c>
    </row>
    <row r="12" spans="1:9" x14ac:dyDescent="0.3">
      <c r="A12" s="2" t="s">
        <v>410</v>
      </c>
      <c r="B12" s="2" t="s">
        <v>495</v>
      </c>
      <c r="C12" s="2"/>
      <c r="D12" s="2" t="s">
        <v>552</v>
      </c>
      <c r="E12" s="2"/>
      <c r="F12" s="2"/>
      <c r="G12" s="2"/>
      <c r="H12" s="2"/>
      <c r="I12" s="3">
        <f t="shared" si="0"/>
        <v>42</v>
      </c>
    </row>
    <row r="13" spans="1:9" x14ac:dyDescent="0.3">
      <c r="A13" s="2" t="s">
        <v>410</v>
      </c>
      <c r="B13" s="2" t="s">
        <v>553</v>
      </c>
      <c r="C13" s="2" t="s">
        <v>554</v>
      </c>
      <c r="D13" s="2" t="s">
        <v>555</v>
      </c>
      <c r="E13" s="2"/>
      <c r="F13" s="2"/>
      <c r="G13" s="2"/>
      <c r="H13" s="2"/>
      <c r="I13" s="3">
        <f t="shared" si="0"/>
        <v>42</v>
      </c>
    </row>
    <row r="14" spans="1:9" x14ac:dyDescent="0.3">
      <c r="A14" s="2" t="s">
        <v>410</v>
      </c>
      <c r="B14" s="2" t="s">
        <v>584</v>
      </c>
      <c r="C14" s="2" t="s">
        <v>412</v>
      </c>
      <c r="D14" s="2" t="s">
        <v>585</v>
      </c>
      <c r="E14" s="2"/>
      <c r="F14" s="2"/>
      <c r="G14" s="2"/>
      <c r="H14" s="2"/>
      <c r="I14" s="3">
        <f t="shared" si="0"/>
        <v>43</v>
      </c>
    </row>
    <row r="15" spans="1:9" x14ac:dyDescent="0.3">
      <c r="A15" s="2" t="s">
        <v>410</v>
      </c>
      <c r="B15" s="2" t="s">
        <v>590</v>
      </c>
      <c r="C15" s="2" t="s">
        <v>590</v>
      </c>
      <c r="D15" s="2" t="s">
        <v>591</v>
      </c>
      <c r="E15" s="2" t="s">
        <v>242</v>
      </c>
      <c r="F15" s="2"/>
      <c r="G15" s="2"/>
      <c r="H15" s="2"/>
      <c r="I15" s="3">
        <f t="shared" si="0"/>
        <v>43</v>
      </c>
    </row>
    <row r="16" spans="1:9" x14ac:dyDescent="0.3">
      <c r="A16" s="2" t="s">
        <v>410</v>
      </c>
      <c r="B16" s="2" t="s">
        <v>634</v>
      </c>
      <c r="C16" s="2" t="s">
        <v>116</v>
      </c>
      <c r="D16" s="2" t="s">
        <v>635</v>
      </c>
      <c r="E16" s="2"/>
      <c r="F16" s="2"/>
      <c r="G16" s="2"/>
      <c r="H16" s="2"/>
      <c r="I16" s="3">
        <f t="shared" si="0"/>
        <v>45</v>
      </c>
    </row>
    <row r="17" spans="1:9" x14ac:dyDescent="0.3">
      <c r="A17" s="2" t="s">
        <v>410</v>
      </c>
      <c r="B17" s="2" t="s">
        <v>636</v>
      </c>
      <c r="C17" s="2" t="s">
        <v>637</v>
      </c>
      <c r="D17" s="2" t="s">
        <v>638</v>
      </c>
      <c r="E17" s="2"/>
      <c r="F17" s="2"/>
      <c r="G17" s="2"/>
      <c r="H17" s="2"/>
      <c r="I17" s="3">
        <f t="shared" si="0"/>
        <v>45</v>
      </c>
    </row>
    <row r="18" spans="1:9" x14ac:dyDescent="0.3">
      <c r="A18" s="2" t="s">
        <v>410</v>
      </c>
      <c r="B18" s="2" t="s">
        <v>639</v>
      </c>
      <c r="C18" s="2" t="s">
        <v>640</v>
      </c>
      <c r="D18" s="2" t="s">
        <v>641</v>
      </c>
      <c r="E18" s="2"/>
      <c r="F18" s="2"/>
      <c r="G18" s="2"/>
      <c r="H18" s="2"/>
      <c r="I18" s="3">
        <f t="shared" si="0"/>
        <v>45</v>
      </c>
    </row>
    <row r="19" spans="1:9" x14ac:dyDescent="0.3">
      <c r="A19" s="2" t="s">
        <v>410</v>
      </c>
      <c r="B19" s="2" t="s">
        <v>669</v>
      </c>
      <c r="C19" s="2"/>
      <c r="D19" s="2" t="s">
        <v>670</v>
      </c>
      <c r="E19" s="2" t="s">
        <v>39</v>
      </c>
      <c r="F19" s="2"/>
      <c r="G19" s="2"/>
      <c r="H19" s="2"/>
      <c r="I19" s="3">
        <f t="shared" si="0"/>
        <v>46</v>
      </c>
    </row>
    <row r="20" spans="1:9" x14ac:dyDescent="0.3">
      <c r="A20" s="2" t="s">
        <v>410</v>
      </c>
      <c r="B20" s="2" t="s">
        <v>711</v>
      </c>
      <c r="C20" s="2" t="s">
        <v>437</v>
      </c>
      <c r="D20" s="2" t="s">
        <v>712</v>
      </c>
      <c r="E20" s="2" t="s">
        <v>39</v>
      </c>
      <c r="F20" s="2"/>
      <c r="G20" s="2"/>
      <c r="H20" s="2"/>
      <c r="I20" s="3">
        <f t="shared" si="0"/>
        <v>48</v>
      </c>
    </row>
    <row r="21" spans="1:9" x14ac:dyDescent="0.3">
      <c r="A21" s="2" t="s">
        <v>410</v>
      </c>
      <c r="B21" s="2" t="s">
        <v>719</v>
      </c>
      <c r="C21" s="2"/>
      <c r="D21" s="2" t="s">
        <v>720</v>
      </c>
      <c r="E21" s="2"/>
      <c r="F21" s="2"/>
      <c r="G21" s="2"/>
      <c r="H21" s="2"/>
      <c r="I21" s="3">
        <f t="shared" si="0"/>
        <v>48</v>
      </c>
    </row>
    <row r="22" spans="1:9" x14ac:dyDescent="0.3">
      <c r="A22" s="2" t="s">
        <v>410</v>
      </c>
      <c r="B22" s="2" t="s">
        <v>329</v>
      </c>
      <c r="C22" s="2" t="s">
        <v>329</v>
      </c>
      <c r="D22" s="2" t="s">
        <v>721</v>
      </c>
      <c r="E22" s="2" t="s">
        <v>39</v>
      </c>
      <c r="F22" s="2"/>
      <c r="G22" s="2"/>
      <c r="H22" s="2"/>
      <c r="I22" s="3">
        <f t="shared" si="0"/>
        <v>48</v>
      </c>
    </row>
    <row r="23" spans="1:9" ht="24" x14ac:dyDescent="0.3">
      <c r="A23" s="2" t="s">
        <v>410</v>
      </c>
      <c r="B23" s="2" t="s">
        <v>758</v>
      </c>
      <c r="C23" s="2"/>
      <c r="D23" s="2" t="s">
        <v>759</v>
      </c>
      <c r="E23" s="2"/>
      <c r="F23" s="2"/>
      <c r="G23" s="2"/>
      <c r="H23" s="2"/>
      <c r="I23" s="3">
        <f t="shared" si="0"/>
        <v>49</v>
      </c>
    </row>
    <row r="24" spans="1:9" x14ac:dyDescent="0.3">
      <c r="A24" s="2" t="s">
        <v>410</v>
      </c>
      <c r="B24" s="2" t="s">
        <v>822</v>
      </c>
      <c r="C24" s="2" t="s">
        <v>823</v>
      </c>
      <c r="D24" s="2" t="s">
        <v>824</v>
      </c>
      <c r="E24" s="2"/>
      <c r="F24" s="2"/>
      <c r="G24" s="2"/>
      <c r="H24" s="2"/>
      <c r="I24" s="3">
        <f t="shared" si="0"/>
        <v>51</v>
      </c>
    </row>
    <row r="25" spans="1:9" x14ac:dyDescent="0.3">
      <c r="A25" s="2" t="s">
        <v>410</v>
      </c>
      <c r="B25" s="2" t="s">
        <v>825</v>
      </c>
      <c r="C25" s="2" t="s">
        <v>823</v>
      </c>
      <c r="D25" s="2" t="s">
        <v>826</v>
      </c>
      <c r="E25" s="2"/>
      <c r="F25" s="2"/>
      <c r="G25" s="2"/>
      <c r="H25" s="2"/>
      <c r="I25" s="3">
        <f t="shared" si="0"/>
        <v>51</v>
      </c>
    </row>
    <row r="26" spans="1:9" x14ac:dyDescent="0.3">
      <c r="A26" s="2" t="s">
        <v>410</v>
      </c>
      <c r="B26" s="2" t="s">
        <v>832</v>
      </c>
      <c r="C26" s="2"/>
      <c r="D26" s="2" t="s">
        <v>833</v>
      </c>
      <c r="E26" s="2"/>
      <c r="F26" s="2"/>
      <c r="G26" s="2"/>
      <c r="H26" s="2"/>
      <c r="I26" s="3">
        <f t="shared" si="0"/>
        <v>51</v>
      </c>
    </row>
    <row r="27" spans="1:9" x14ac:dyDescent="0.3">
      <c r="A27" s="2" t="s">
        <v>410</v>
      </c>
      <c r="B27" s="2" t="s">
        <v>832</v>
      </c>
      <c r="C27" s="2"/>
      <c r="D27" s="2" t="s">
        <v>833</v>
      </c>
      <c r="E27" s="2"/>
      <c r="F27" s="2"/>
      <c r="G27" s="2"/>
      <c r="H27" s="2"/>
      <c r="I27" s="3">
        <f t="shared" si="0"/>
        <v>51</v>
      </c>
    </row>
    <row r="28" spans="1:9" x14ac:dyDescent="0.3">
      <c r="A28" s="2" t="s">
        <v>410</v>
      </c>
      <c r="B28" s="2" t="s">
        <v>899</v>
      </c>
      <c r="C28" s="2" t="s">
        <v>240</v>
      </c>
      <c r="D28" s="2" t="s">
        <v>900</v>
      </c>
      <c r="E28" s="2"/>
      <c r="F28" s="2"/>
      <c r="G28" s="2"/>
      <c r="H28" s="2"/>
      <c r="I28" s="3">
        <f t="shared" si="0"/>
        <v>53</v>
      </c>
    </row>
    <row r="29" spans="1:9" x14ac:dyDescent="0.3">
      <c r="A29" s="2" t="s">
        <v>410</v>
      </c>
      <c r="B29" s="2" t="s">
        <v>634</v>
      </c>
      <c r="C29" s="2"/>
      <c r="D29" s="2" t="s">
        <v>909</v>
      </c>
      <c r="E29" s="2"/>
      <c r="F29" s="2"/>
      <c r="G29" s="2"/>
      <c r="H29" s="2"/>
      <c r="I29" s="3">
        <f t="shared" si="0"/>
        <v>53</v>
      </c>
    </row>
    <row r="30" spans="1:9" x14ac:dyDescent="0.3">
      <c r="A30" s="2" t="s">
        <v>410</v>
      </c>
      <c r="B30" s="2" t="s">
        <v>993</v>
      </c>
      <c r="C30" s="2" t="s">
        <v>994</v>
      </c>
      <c r="D30" s="2" t="s">
        <v>995</v>
      </c>
      <c r="E30" s="2"/>
      <c r="F30" s="2"/>
      <c r="G30" s="2"/>
      <c r="H30" s="2"/>
      <c r="I30" s="3">
        <f t="shared" si="0"/>
        <v>55</v>
      </c>
    </row>
    <row r="31" spans="1:9" x14ac:dyDescent="0.3">
      <c r="A31" s="2" t="s">
        <v>410</v>
      </c>
      <c r="B31" s="2" t="s">
        <v>1043</v>
      </c>
      <c r="C31" s="2"/>
      <c r="D31" s="2" t="s">
        <v>1044</v>
      </c>
      <c r="E31" s="2" t="s">
        <v>39</v>
      </c>
      <c r="F31" s="2"/>
      <c r="G31" s="2"/>
      <c r="H31" s="2"/>
      <c r="I31" s="3">
        <f t="shared" si="0"/>
        <v>56</v>
      </c>
    </row>
    <row r="32" spans="1:9" x14ac:dyDescent="0.3">
      <c r="A32" s="2" t="s">
        <v>410</v>
      </c>
      <c r="B32" s="2" t="s">
        <v>1045</v>
      </c>
      <c r="C32" s="2"/>
      <c r="D32" s="2" t="s">
        <v>1046</v>
      </c>
      <c r="E32" s="2"/>
      <c r="F32" s="2"/>
      <c r="G32" s="2"/>
      <c r="H32" s="2"/>
      <c r="I32" s="3">
        <f t="shared" si="0"/>
        <v>56</v>
      </c>
    </row>
    <row r="33" spans="1:9" x14ac:dyDescent="0.3">
      <c r="A33" s="2" t="s">
        <v>410</v>
      </c>
      <c r="B33" s="2" t="s">
        <v>1047</v>
      </c>
      <c r="C33" s="2" t="s">
        <v>116</v>
      </c>
      <c r="D33" s="2" t="s">
        <v>1048</v>
      </c>
      <c r="E33" s="2"/>
      <c r="F33" s="2"/>
      <c r="G33" s="2"/>
      <c r="H33" s="2"/>
      <c r="I33" s="3">
        <f t="shared" si="0"/>
        <v>56</v>
      </c>
    </row>
    <row r="34" spans="1:9" x14ac:dyDescent="0.3">
      <c r="A34" s="2" t="s">
        <v>410</v>
      </c>
      <c r="B34" s="2" t="s">
        <v>1049</v>
      </c>
      <c r="C34" s="2"/>
      <c r="D34" s="2" t="s">
        <v>1050</v>
      </c>
      <c r="E34" s="2"/>
      <c r="F34" s="2"/>
      <c r="G34" s="2"/>
      <c r="H34" s="2"/>
      <c r="I34" s="3">
        <f t="shared" ref="I34:I65" si="1">LEN(D34)</f>
        <v>56</v>
      </c>
    </row>
    <row r="35" spans="1:9" x14ac:dyDescent="0.3">
      <c r="A35" s="2" t="s">
        <v>410</v>
      </c>
      <c r="B35" s="2" t="s">
        <v>1051</v>
      </c>
      <c r="C35" s="2"/>
      <c r="D35" s="2" t="s">
        <v>1052</v>
      </c>
      <c r="E35" s="2"/>
      <c r="F35" s="2"/>
      <c r="G35" s="2"/>
      <c r="H35" s="2"/>
      <c r="I35" s="3">
        <f t="shared" si="1"/>
        <v>56</v>
      </c>
    </row>
    <row r="36" spans="1:9" x14ac:dyDescent="0.3">
      <c r="A36" s="2" t="s">
        <v>410</v>
      </c>
      <c r="B36" s="2" t="s">
        <v>1053</v>
      </c>
      <c r="C36" s="2" t="s">
        <v>1054</v>
      </c>
      <c r="D36" s="2" t="s">
        <v>1055</v>
      </c>
      <c r="E36" s="2"/>
      <c r="F36" s="2"/>
      <c r="G36" s="2"/>
      <c r="H36" s="2"/>
      <c r="I36" s="3">
        <f t="shared" si="1"/>
        <v>56</v>
      </c>
    </row>
    <row r="37" spans="1:9" x14ac:dyDescent="0.3">
      <c r="A37" s="2" t="s">
        <v>410</v>
      </c>
      <c r="B37" s="2" t="s">
        <v>1094</v>
      </c>
      <c r="C37" s="2"/>
      <c r="D37" s="2" t="s">
        <v>1095</v>
      </c>
      <c r="E37" s="2"/>
      <c r="F37" s="2"/>
      <c r="G37" s="2"/>
      <c r="H37" s="2"/>
      <c r="I37" s="3">
        <f t="shared" si="1"/>
        <v>57</v>
      </c>
    </row>
    <row r="38" spans="1:9" x14ac:dyDescent="0.3">
      <c r="A38" s="2" t="s">
        <v>410</v>
      </c>
      <c r="B38" s="2" t="s">
        <v>1133</v>
      </c>
      <c r="C38" s="2"/>
      <c r="D38" s="2" t="s">
        <v>1134</v>
      </c>
      <c r="E38" s="2" t="s">
        <v>39</v>
      </c>
      <c r="F38" s="2"/>
      <c r="G38" s="2"/>
      <c r="H38" s="2"/>
      <c r="I38" s="3">
        <f t="shared" si="1"/>
        <v>58</v>
      </c>
    </row>
    <row r="39" spans="1:9" x14ac:dyDescent="0.3">
      <c r="A39" s="2" t="s">
        <v>410</v>
      </c>
      <c r="B39" s="2" t="s">
        <v>1191</v>
      </c>
      <c r="C39" s="2"/>
      <c r="D39" s="2" t="s">
        <v>1192</v>
      </c>
      <c r="E39" s="2"/>
      <c r="F39" s="2"/>
      <c r="G39" s="2"/>
      <c r="H39" s="2" t="s">
        <v>194</v>
      </c>
      <c r="I39" s="3">
        <f t="shared" si="1"/>
        <v>59</v>
      </c>
    </row>
    <row r="40" spans="1:9" ht="24" x14ac:dyDescent="0.3">
      <c r="A40" s="2" t="s">
        <v>410</v>
      </c>
      <c r="B40" s="2" t="s">
        <v>1211</v>
      </c>
      <c r="C40" s="2" t="s">
        <v>329</v>
      </c>
      <c r="D40" s="2" t="s">
        <v>1212</v>
      </c>
      <c r="E40" s="2"/>
      <c r="F40" s="2"/>
      <c r="G40" s="2"/>
      <c r="H40" s="2"/>
      <c r="I40" s="3">
        <f t="shared" si="1"/>
        <v>59</v>
      </c>
    </row>
    <row r="41" spans="1:9" x14ac:dyDescent="0.3">
      <c r="A41" s="2" t="s">
        <v>410</v>
      </c>
      <c r="B41" s="2" t="s">
        <v>1045</v>
      </c>
      <c r="C41" s="2"/>
      <c r="D41" s="2" t="s">
        <v>1265</v>
      </c>
      <c r="E41" s="2"/>
      <c r="F41" s="2"/>
      <c r="G41" s="2"/>
      <c r="H41" s="2"/>
      <c r="I41" s="3">
        <f t="shared" si="1"/>
        <v>60</v>
      </c>
    </row>
    <row r="42" spans="1:9" x14ac:dyDescent="0.3">
      <c r="A42" s="2" t="s">
        <v>410</v>
      </c>
      <c r="B42" s="2" t="s">
        <v>899</v>
      </c>
      <c r="C42" s="2" t="s">
        <v>186</v>
      </c>
      <c r="D42" s="2" t="s">
        <v>1295</v>
      </c>
      <c r="E42" s="2"/>
      <c r="F42" s="2"/>
      <c r="G42" s="2"/>
      <c r="H42" s="2"/>
      <c r="I42" s="3">
        <f t="shared" si="1"/>
        <v>61</v>
      </c>
    </row>
    <row r="43" spans="1:9" x14ac:dyDescent="0.3">
      <c r="A43" s="2" t="s">
        <v>410</v>
      </c>
      <c r="B43" s="2" t="s">
        <v>899</v>
      </c>
      <c r="C43" s="2" t="s">
        <v>186</v>
      </c>
      <c r="D43" s="2" t="s">
        <v>1299</v>
      </c>
      <c r="E43" s="2"/>
      <c r="F43" s="2"/>
      <c r="G43" s="2"/>
      <c r="H43" s="2"/>
      <c r="I43" s="3">
        <f t="shared" si="1"/>
        <v>61</v>
      </c>
    </row>
    <row r="44" spans="1:9" ht="24" x14ac:dyDescent="0.3">
      <c r="A44" s="2" t="s">
        <v>410</v>
      </c>
      <c r="B44" s="2" t="s">
        <v>1356</v>
      </c>
      <c r="C44" s="2"/>
      <c r="D44" s="2" t="s">
        <v>1357</v>
      </c>
      <c r="E44" s="2"/>
      <c r="F44" s="2"/>
      <c r="G44" s="2"/>
      <c r="H44" s="2"/>
      <c r="I44" s="3">
        <f t="shared" si="1"/>
        <v>62</v>
      </c>
    </row>
    <row r="45" spans="1:9" x14ac:dyDescent="0.3">
      <c r="A45" s="2" t="s">
        <v>410</v>
      </c>
      <c r="B45" s="2" t="s">
        <v>1049</v>
      </c>
      <c r="C45" s="2"/>
      <c r="D45" s="2" t="s">
        <v>1361</v>
      </c>
      <c r="E45" s="2"/>
      <c r="F45" s="2"/>
      <c r="G45" s="2"/>
      <c r="H45" s="2"/>
      <c r="I45" s="3">
        <f t="shared" si="1"/>
        <v>62</v>
      </c>
    </row>
    <row r="46" spans="1:9" x14ac:dyDescent="0.3">
      <c r="A46" s="2" t="s">
        <v>410</v>
      </c>
      <c r="B46" s="2" t="s">
        <v>1422</v>
      </c>
      <c r="C46" s="2"/>
      <c r="D46" s="2" t="s">
        <v>1423</v>
      </c>
      <c r="E46" s="2"/>
      <c r="F46" s="2"/>
      <c r="G46" s="2"/>
      <c r="H46" s="2"/>
      <c r="I46" s="3">
        <f t="shared" si="1"/>
        <v>63</v>
      </c>
    </row>
    <row r="47" spans="1:9" x14ac:dyDescent="0.3">
      <c r="A47" s="2" t="s">
        <v>410</v>
      </c>
      <c r="B47" s="2" t="s">
        <v>1544</v>
      </c>
      <c r="C47" s="2"/>
      <c r="D47" s="2" t="s">
        <v>1545</v>
      </c>
      <c r="E47" s="2"/>
      <c r="F47" s="2"/>
      <c r="G47" s="2"/>
      <c r="H47" s="2" t="s">
        <v>194</v>
      </c>
      <c r="I47" s="3">
        <f t="shared" si="1"/>
        <v>65</v>
      </c>
    </row>
    <row r="48" spans="1:9" x14ac:dyDescent="0.3">
      <c r="A48" s="2" t="s">
        <v>410</v>
      </c>
      <c r="B48" s="2" t="s">
        <v>1585</v>
      </c>
      <c r="C48" s="2" t="s">
        <v>354</v>
      </c>
      <c r="D48" s="2" t="s">
        <v>1586</v>
      </c>
      <c r="E48" s="2" t="s">
        <v>39</v>
      </c>
      <c r="F48" s="2"/>
      <c r="G48" s="2"/>
      <c r="H48" s="2"/>
      <c r="I48" s="3">
        <f t="shared" si="1"/>
        <v>66</v>
      </c>
    </row>
    <row r="49" spans="1:9" ht="24" x14ac:dyDescent="0.3">
      <c r="A49" s="2" t="s">
        <v>410</v>
      </c>
      <c r="B49" s="2" t="s">
        <v>1711</v>
      </c>
      <c r="C49" s="2"/>
      <c r="D49" s="2" t="s">
        <v>1712</v>
      </c>
      <c r="E49" s="2"/>
      <c r="F49" s="2"/>
      <c r="G49" s="2"/>
      <c r="H49" s="2"/>
      <c r="I49" s="3">
        <f t="shared" si="1"/>
        <v>68</v>
      </c>
    </row>
    <row r="50" spans="1:9" x14ac:dyDescent="0.3">
      <c r="A50" s="2" t="s">
        <v>410</v>
      </c>
      <c r="B50" s="2" t="s">
        <v>1713</v>
      </c>
      <c r="C50" s="2" t="s">
        <v>1244</v>
      </c>
      <c r="D50" s="2" t="s">
        <v>1714</v>
      </c>
      <c r="E50" s="2" t="s">
        <v>39</v>
      </c>
      <c r="F50" s="2"/>
      <c r="G50" s="2"/>
      <c r="H50" s="2"/>
      <c r="I50" s="3">
        <f t="shared" si="1"/>
        <v>68</v>
      </c>
    </row>
    <row r="51" spans="1:9" x14ac:dyDescent="0.3">
      <c r="A51" s="2" t="s">
        <v>410</v>
      </c>
      <c r="B51" s="2" t="s">
        <v>329</v>
      </c>
      <c r="C51" s="2" t="s">
        <v>329</v>
      </c>
      <c r="D51" s="2" t="s">
        <v>1781</v>
      </c>
      <c r="E51" s="2"/>
      <c r="F51" s="2"/>
      <c r="G51" s="2"/>
      <c r="H51" s="2"/>
      <c r="I51" s="3">
        <f t="shared" si="1"/>
        <v>69</v>
      </c>
    </row>
    <row r="52" spans="1:9" ht="24" x14ac:dyDescent="0.3">
      <c r="A52" s="2" t="s">
        <v>410</v>
      </c>
      <c r="B52" s="2" t="s">
        <v>1836</v>
      </c>
      <c r="C52" s="2"/>
      <c r="D52" s="2" t="s">
        <v>1837</v>
      </c>
      <c r="E52" s="2"/>
      <c r="F52" s="2"/>
      <c r="G52" s="2"/>
      <c r="H52" s="2"/>
      <c r="I52" s="3">
        <f t="shared" si="1"/>
        <v>70</v>
      </c>
    </row>
    <row r="53" spans="1:9" x14ac:dyDescent="0.3">
      <c r="A53" s="2" t="s">
        <v>410</v>
      </c>
      <c r="B53" s="2" t="s">
        <v>1838</v>
      </c>
      <c r="C53" s="2" t="s">
        <v>81</v>
      </c>
      <c r="D53" s="2" t="s">
        <v>1839</v>
      </c>
      <c r="E53" s="2"/>
      <c r="F53" s="2"/>
      <c r="G53" s="2"/>
      <c r="H53" s="2"/>
      <c r="I53" s="3">
        <f t="shared" si="1"/>
        <v>70</v>
      </c>
    </row>
    <row r="54" spans="1:9" x14ac:dyDescent="0.3">
      <c r="A54" s="2" t="s">
        <v>410</v>
      </c>
      <c r="B54" s="2" t="s">
        <v>1889</v>
      </c>
      <c r="C54" s="2" t="s">
        <v>1890</v>
      </c>
      <c r="D54" s="2" t="s">
        <v>1891</v>
      </c>
      <c r="E54" s="2"/>
      <c r="F54" s="2"/>
      <c r="G54" s="2"/>
      <c r="H54" s="2"/>
      <c r="I54" s="3">
        <f t="shared" si="1"/>
        <v>71</v>
      </c>
    </row>
    <row r="55" spans="1:9" ht="24" x14ac:dyDescent="0.3">
      <c r="A55" s="2" t="s">
        <v>410</v>
      </c>
      <c r="B55" s="2" t="s">
        <v>1955</v>
      </c>
      <c r="C55" s="2"/>
      <c r="D55" s="2" t="s">
        <v>1956</v>
      </c>
      <c r="E55" s="2"/>
      <c r="F55" s="2"/>
      <c r="G55" s="2"/>
      <c r="H55" s="2"/>
      <c r="I55" s="3">
        <f t="shared" si="1"/>
        <v>72</v>
      </c>
    </row>
    <row r="56" spans="1:9" ht="24" x14ac:dyDescent="0.3">
      <c r="A56" s="2" t="s">
        <v>410</v>
      </c>
      <c r="B56" s="2" t="s">
        <v>1999</v>
      </c>
      <c r="C56" s="2"/>
      <c r="D56" s="2" t="s">
        <v>2000</v>
      </c>
      <c r="E56" s="2"/>
      <c r="F56" s="2"/>
      <c r="G56" s="2"/>
      <c r="H56" s="2"/>
      <c r="I56" s="3">
        <f t="shared" si="1"/>
        <v>73</v>
      </c>
    </row>
    <row r="57" spans="1:9" ht="24" x14ac:dyDescent="0.3">
      <c r="A57" s="2" t="s">
        <v>410</v>
      </c>
      <c r="B57" s="2" t="s">
        <v>2001</v>
      </c>
      <c r="C57" s="2"/>
      <c r="D57" s="2" t="s">
        <v>2002</v>
      </c>
      <c r="E57" s="2"/>
      <c r="F57" s="2"/>
      <c r="G57" s="2"/>
      <c r="H57" s="2"/>
      <c r="I57" s="3">
        <f t="shared" si="1"/>
        <v>73</v>
      </c>
    </row>
    <row r="58" spans="1:9" ht="36" x14ac:dyDescent="0.3">
      <c r="A58" s="2" t="s">
        <v>410</v>
      </c>
      <c r="B58" s="2" t="s">
        <v>2122</v>
      </c>
      <c r="C58" s="2" t="s">
        <v>2123</v>
      </c>
      <c r="D58" s="2" t="s">
        <v>2124</v>
      </c>
      <c r="E58" s="2"/>
      <c r="F58" s="2"/>
      <c r="G58" s="2"/>
      <c r="H58" s="2"/>
      <c r="I58" s="3">
        <f t="shared" si="1"/>
        <v>75</v>
      </c>
    </row>
    <row r="59" spans="1:9" ht="24" x14ac:dyDescent="0.3">
      <c r="A59" s="2" t="s">
        <v>410</v>
      </c>
      <c r="B59" s="2" t="s">
        <v>1999</v>
      </c>
      <c r="C59" s="2"/>
      <c r="D59" s="2" t="s">
        <v>2133</v>
      </c>
      <c r="E59" s="2"/>
      <c r="F59" s="2"/>
      <c r="G59" s="2"/>
      <c r="H59" s="2"/>
      <c r="I59" s="3">
        <f t="shared" si="1"/>
        <v>75</v>
      </c>
    </row>
    <row r="60" spans="1:9" x14ac:dyDescent="0.3">
      <c r="A60" s="2" t="s">
        <v>410</v>
      </c>
      <c r="B60" s="2" t="s">
        <v>2355</v>
      </c>
      <c r="C60" s="2" t="s">
        <v>807</v>
      </c>
      <c r="D60" s="2" t="s">
        <v>2356</v>
      </c>
      <c r="E60" s="2"/>
      <c r="F60" s="2"/>
      <c r="G60" s="2"/>
      <c r="H60" s="2"/>
      <c r="I60" s="3">
        <f t="shared" si="1"/>
        <v>80</v>
      </c>
    </row>
    <row r="61" spans="1:9" ht="24" x14ac:dyDescent="0.3">
      <c r="A61" s="2" t="s">
        <v>410</v>
      </c>
      <c r="B61" s="2" t="s">
        <v>2588</v>
      </c>
      <c r="C61" s="2"/>
      <c r="D61" s="2" t="s">
        <v>2589</v>
      </c>
      <c r="E61" s="2"/>
      <c r="F61" s="2"/>
      <c r="G61" s="2"/>
      <c r="H61" s="2"/>
      <c r="I61" s="3">
        <f t="shared" si="1"/>
        <v>84</v>
      </c>
    </row>
    <row r="62" spans="1:9" x14ac:dyDescent="0.3">
      <c r="A62" s="2" t="s">
        <v>410</v>
      </c>
      <c r="B62" s="2" t="s">
        <v>2633</v>
      </c>
      <c r="C62" s="2" t="s">
        <v>160</v>
      </c>
      <c r="D62" s="2" t="s">
        <v>2634</v>
      </c>
      <c r="E62" s="2"/>
      <c r="F62" s="2"/>
      <c r="G62" s="2"/>
      <c r="H62" s="2"/>
      <c r="I62" s="3">
        <f t="shared" si="1"/>
        <v>84</v>
      </c>
    </row>
    <row r="63" spans="1:9" x14ac:dyDescent="0.3">
      <c r="A63" s="2" t="s">
        <v>410</v>
      </c>
      <c r="B63" s="2" t="s">
        <v>2648</v>
      </c>
      <c r="C63" s="2"/>
      <c r="D63" s="2" t="s">
        <v>2649</v>
      </c>
      <c r="E63" s="2" t="s">
        <v>39</v>
      </c>
      <c r="F63" s="2"/>
      <c r="G63" s="2"/>
      <c r="H63" s="2" t="s">
        <v>646</v>
      </c>
      <c r="I63" s="3">
        <f t="shared" si="1"/>
        <v>85</v>
      </c>
    </row>
    <row r="64" spans="1:9" ht="24" x14ac:dyDescent="0.3">
      <c r="A64" s="2" t="s">
        <v>410</v>
      </c>
      <c r="B64" s="2" t="s">
        <v>2831</v>
      </c>
      <c r="C64" s="2"/>
      <c r="D64" s="2" t="s">
        <v>2832</v>
      </c>
      <c r="E64" s="2"/>
      <c r="F64" s="2"/>
      <c r="G64" s="2"/>
      <c r="H64" s="2"/>
      <c r="I64" s="3">
        <f t="shared" si="1"/>
        <v>88</v>
      </c>
    </row>
    <row r="65" spans="1:9" x14ac:dyDescent="0.3">
      <c r="A65" s="2" t="s">
        <v>410</v>
      </c>
      <c r="B65" s="2" t="s">
        <v>2995</v>
      </c>
      <c r="C65" s="2"/>
      <c r="D65" s="2" t="s">
        <v>2996</v>
      </c>
      <c r="E65" s="2"/>
      <c r="F65" s="2"/>
      <c r="G65" s="2"/>
      <c r="H65" s="2" t="s">
        <v>898</v>
      </c>
      <c r="I65" s="3">
        <f t="shared" si="1"/>
        <v>91</v>
      </c>
    </row>
    <row r="66" spans="1:9" x14ac:dyDescent="0.3">
      <c r="A66" s="2" t="s">
        <v>410</v>
      </c>
      <c r="B66" s="2" t="s">
        <v>3075</v>
      </c>
      <c r="C66" s="2" t="s">
        <v>807</v>
      </c>
      <c r="D66" s="2" t="s">
        <v>3076</v>
      </c>
      <c r="E66" s="2" t="s">
        <v>39</v>
      </c>
      <c r="F66" s="2"/>
      <c r="G66" s="2"/>
      <c r="H66" s="2"/>
      <c r="I66" s="3">
        <f t="shared" ref="I66:I80" si="2">LEN(D66)</f>
        <v>93</v>
      </c>
    </row>
    <row r="67" spans="1:9" ht="24" x14ac:dyDescent="0.3">
      <c r="A67" s="2" t="s">
        <v>410</v>
      </c>
      <c r="B67" s="2" t="s">
        <v>1356</v>
      </c>
      <c r="C67" s="2"/>
      <c r="D67" s="2" t="s">
        <v>3166</v>
      </c>
      <c r="E67" s="2"/>
      <c r="F67" s="2"/>
      <c r="G67" s="2"/>
      <c r="H67" s="2" t="s">
        <v>898</v>
      </c>
      <c r="I67" s="3">
        <f t="shared" si="2"/>
        <v>95</v>
      </c>
    </row>
    <row r="68" spans="1:9" x14ac:dyDescent="0.3">
      <c r="A68" s="2" t="s">
        <v>410</v>
      </c>
      <c r="B68" s="2" t="s">
        <v>2355</v>
      </c>
      <c r="C68" s="2" t="s">
        <v>807</v>
      </c>
      <c r="D68" s="2" t="s">
        <v>3390</v>
      </c>
      <c r="E68" s="2" t="s">
        <v>39</v>
      </c>
      <c r="F68" s="2"/>
      <c r="G68" s="2"/>
      <c r="H68" s="2"/>
      <c r="I68" s="3">
        <f t="shared" si="2"/>
        <v>100</v>
      </c>
    </row>
    <row r="69" spans="1:9" ht="24" x14ac:dyDescent="0.3">
      <c r="A69" s="2" t="s">
        <v>410</v>
      </c>
      <c r="B69" s="2" t="s">
        <v>3565</v>
      </c>
      <c r="C69" s="2"/>
      <c r="D69" s="2" t="s">
        <v>3566</v>
      </c>
      <c r="E69" s="2" t="s">
        <v>2477</v>
      </c>
      <c r="F69" s="2"/>
      <c r="G69" s="2"/>
      <c r="H69" s="2"/>
      <c r="I69" s="3">
        <f t="shared" si="2"/>
        <v>104</v>
      </c>
    </row>
    <row r="70" spans="1:9" x14ac:dyDescent="0.3">
      <c r="A70" s="2" t="s">
        <v>410</v>
      </c>
      <c r="B70" s="2" t="s">
        <v>3576</v>
      </c>
      <c r="C70" s="2" t="s">
        <v>240</v>
      </c>
      <c r="D70" s="2" t="s">
        <v>3577</v>
      </c>
      <c r="E70" s="2" t="s">
        <v>3578</v>
      </c>
      <c r="F70" s="2"/>
      <c r="G70" s="2"/>
      <c r="H70" s="2" t="s">
        <v>1176</v>
      </c>
      <c r="I70" s="3">
        <f t="shared" si="2"/>
        <v>104</v>
      </c>
    </row>
    <row r="71" spans="1:9" ht="24" x14ac:dyDescent="0.3">
      <c r="A71" s="2" t="s">
        <v>410</v>
      </c>
      <c r="B71" s="2" t="s">
        <v>3655</v>
      </c>
      <c r="C71" s="2" t="s">
        <v>3656</v>
      </c>
      <c r="D71" s="2" t="s">
        <v>3657</v>
      </c>
      <c r="E71" s="2"/>
      <c r="F71" s="2"/>
      <c r="G71" s="2"/>
      <c r="H71" s="2"/>
      <c r="I71" s="3">
        <f t="shared" si="2"/>
        <v>106</v>
      </c>
    </row>
    <row r="72" spans="1:9" ht="24" x14ac:dyDescent="0.3">
      <c r="A72" s="2" t="s">
        <v>410</v>
      </c>
      <c r="B72" s="2" t="s">
        <v>3741</v>
      </c>
      <c r="C72" s="2" t="s">
        <v>253</v>
      </c>
      <c r="D72" s="2" t="s">
        <v>3742</v>
      </c>
      <c r="E72" s="2"/>
      <c r="F72" s="2"/>
      <c r="G72" s="2"/>
      <c r="H72" s="2"/>
      <c r="I72" s="3">
        <f t="shared" si="2"/>
        <v>108</v>
      </c>
    </row>
    <row r="73" spans="1:9" ht="24" x14ac:dyDescent="0.3">
      <c r="A73" s="2" t="s">
        <v>410</v>
      </c>
      <c r="B73" s="2" t="s">
        <v>3832</v>
      </c>
      <c r="C73" s="2" t="s">
        <v>2063</v>
      </c>
      <c r="D73" s="2" t="s">
        <v>3833</v>
      </c>
      <c r="E73" s="2" t="s">
        <v>1510</v>
      </c>
      <c r="F73" s="2"/>
      <c r="G73" s="2"/>
      <c r="H73" s="2" t="s">
        <v>194</v>
      </c>
      <c r="I73" s="3">
        <f t="shared" si="2"/>
        <v>110</v>
      </c>
    </row>
    <row r="74" spans="1:9" ht="24" x14ac:dyDescent="0.3">
      <c r="A74" s="2" t="s">
        <v>410</v>
      </c>
      <c r="B74" s="2" t="s">
        <v>4052</v>
      </c>
      <c r="C74" s="2"/>
      <c r="D74" s="2" t="s">
        <v>4053</v>
      </c>
      <c r="E74" s="2"/>
      <c r="F74" s="2"/>
      <c r="G74" s="2"/>
      <c r="H74" s="2"/>
      <c r="I74" s="3">
        <f t="shared" si="2"/>
        <v>116</v>
      </c>
    </row>
    <row r="75" spans="1:9" ht="24" x14ac:dyDescent="0.3">
      <c r="A75" s="2" t="s">
        <v>410</v>
      </c>
      <c r="B75" s="2" t="s">
        <v>4160</v>
      </c>
      <c r="C75" s="2" t="s">
        <v>4161</v>
      </c>
      <c r="D75" s="2" t="s">
        <v>4162</v>
      </c>
      <c r="E75" s="2"/>
      <c r="F75" s="2"/>
      <c r="G75" s="2"/>
      <c r="H75" s="2"/>
      <c r="I75" s="3">
        <f t="shared" si="2"/>
        <v>119</v>
      </c>
    </row>
    <row r="76" spans="1:9" ht="24" x14ac:dyDescent="0.3">
      <c r="A76" s="2" t="s">
        <v>410</v>
      </c>
      <c r="B76" s="2" t="s">
        <v>4491</v>
      </c>
      <c r="C76" s="2" t="s">
        <v>4492</v>
      </c>
      <c r="D76" s="2" t="s">
        <v>4493</v>
      </c>
      <c r="E76" s="2" t="s">
        <v>39</v>
      </c>
      <c r="F76" s="2"/>
      <c r="G76" s="2"/>
      <c r="H76" s="2" t="s">
        <v>86</v>
      </c>
      <c r="I76" s="3">
        <f t="shared" si="2"/>
        <v>129</v>
      </c>
    </row>
    <row r="77" spans="1:9" ht="24" x14ac:dyDescent="0.3">
      <c r="A77" s="2" t="s">
        <v>410</v>
      </c>
      <c r="B77" s="2" t="s">
        <v>6010</v>
      </c>
      <c r="C77" s="2" t="s">
        <v>332</v>
      </c>
      <c r="D77" s="2" t="s">
        <v>6011</v>
      </c>
      <c r="E77" s="2"/>
      <c r="F77" s="2"/>
      <c r="G77" s="2"/>
      <c r="H77" s="2"/>
      <c r="I77" s="3">
        <f t="shared" si="2"/>
        <v>191</v>
      </c>
    </row>
    <row r="78" spans="1:9" ht="36" x14ac:dyDescent="0.3">
      <c r="A78" s="2" t="s">
        <v>410</v>
      </c>
      <c r="B78" s="2" t="s">
        <v>6194</v>
      </c>
      <c r="C78" s="2" t="s">
        <v>446</v>
      </c>
      <c r="D78" s="2" t="s">
        <v>6195</v>
      </c>
      <c r="E78" s="2"/>
      <c r="F78" s="2"/>
      <c r="G78" s="2"/>
      <c r="H78" s="2"/>
      <c r="I78" s="3">
        <f t="shared" si="2"/>
        <v>205</v>
      </c>
    </row>
    <row r="79" spans="1:9" ht="36" x14ac:dyDescent="0.3">
      <c r="A79" s="2" t="s">
        <v>410</v>
      </c>
      <c r="B79" s="2" t="s">
        <v>6285</v>
      </c>
      <c r="C79" s="2" t="s">
        <v>113</v>
      </c>
      <c r="D79" s="2" t="s">
        <v>9407</v>
      </c>
      <c r="E79" s="2" t="s">
        <v>2121</v>
      </c>
      <c r="F79" s="2" t="s">
        <v>4117</v>
      </c>
      <c r="G79" s="2" t="s">
        <v>350</v>
      </c>
      <c r="H79" s="2"/>
      <c r="I79" s="3">
        <f t="shared" si="2"/>
        <v>208</v>
      </c>
    </row>
    <row r="80" spans="1:9" ht="36" x14ac:dyDescent="0.3">
      <c r="A80" s="2" t="s">
        <v>410</v>
      </c>
      <c r="B80" s="2" t="s">
        <v>2995</v>
      </c>
      <c r="C80" s="2" t="s">
        <v>6765</v>
      </c>
      <c r="D80" s="2" t="s">
        <v>6766</v>
      </c>
      <c r="E80" s="2" t="s">
        <v>1188</v>
      </c>
      <c r="F80" s="2"/>
      <c r="G80" s="2" t="s">
        <v>1717</v>
      </c>
      <c r="H80" s="2" t="s">
        <v>898</v>
      </c>
      <c r="I80" s="3">
        <f t="shared" si="2"/>
        <v>252</v>
      </c>
    </row>
  </sheetData>
  <autoFilter ref="A1:I80" xr:uid="{00000000-0009-0000-0000-000000000000}">
    <sortState xmlns:xlrd2="http://schemas.microsoft.com/office/spreadsheetml/2017/richdata2" ref="A2:I80">
      <sortCondition ref="A1:A80"/>
    </sortState>
  </autoFilter>
  <conditionalFormatting sqref="H1:H82">
    <cfRule type="notContainsBlanks" dxfId="6" priority="1">
      <formula>LEN(TRIM(H1))&gt;0</formula>
    </cfRule>
  </conditionalFormatting>
  <dataValidations count="2">
    <dataValidation type="list" allowBlank="1" sqref="H2:H80" xr:uid="{02F50602-8ED3-4096-BB16-2EB220C0D22E}">
      <formula1>#REF!</formula1>
    </dataValidation>
    <dataValidation type="list" allowBlank="1" showErrorMessage="1" sqref="C2:C80" xr:uid="{0FF70A88-F397-4D2B-9277-3A30B1D0129C}">
      <formula1>#REF!</formula1>
    </dataValidation>
  </dataValidations>
  <pageMargins left="0.7" right="0.7" top="0.75" bottom="0.75" header="0" footer="0"/>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92402-2C2B-4BDF-B8C6-1037B5BFFA4C}">
  <dimension ref="A1:I285"/>
  <sheetViews>
    <sheetView topLeftCell="B1" workbookViewId="0">
      <pane ySplit="1" topLeftCell="A235" activePane="bottomLeft" state="frozen"/>
      <selection pane="bottomLeft" activeCell="D243" sqref="D243"/>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303</v>
      </c>
      <c r="B2" s="2" t="s">
        <v>304</v>
      </c>
      <c r="C2" s="2" t="s">
        <v>95</v>
      </c>
      <c r="D2" s="2" t="s">
        <v>305</v>
      </c>
      <c r="E2" s="2" t="s">
        <v>39</v>
      </c>
      <c r="F2" s="2"/>
      <c r="G2" s="2"/>
      <c r="H2" s="2"/>
      <c r="I2" s="3">
        <f t="shared" ref="I2:I65" si="0">LEN(D2)</f>
        <v>32</v>
      </c>
    </row>
    <row r="3" spans="1:9" x14ac:dyDescent="0.3">
      <c r="A3" s="2" t="s">
        <v>303</v>
      </c>
      <c r="B3" s="2" t="s">
        <v>306</v>
      </c>
      <c r="C3" s="2"/>
      <c r="D3" s="2" t="s">
        <v>307</v>
      </c>
      <c r="E3" s="2" t="s">
        <v>39</v>
      </c>
      <c r="F3" s="2"/>
      <c r="G3" s="2"/>
      <c r="H3" s="2"/>
      <c r="I3" s="3">
        <f t="shared" si="0"/>
        <v>32</v>
      </c>
    </row>
    <row r="4" spans="1:9" x14ac:dyDescent="0.3">
      <c r="A4" s="2" t="s">
        <v>303</v>
      </c>
      <c r="B4" s="2" t="s">
        <v>328</v>
      </c>
      <c r="C4" s="2" t="s">
        <v>329</v>
      </c>
      <c r="D4" s="2" t="s">
        <v>330</v>
      </c>
      <c r="E4" s="2" t="s">
        <v>39</v>
      </c>
      <c r="F4" s="2"/>
      <c r="G4" s="2"/>
      <c r="H4" s="2"/>
      <c r="I4" s="3">
        <f t="shared" si="0"/>
        <v>33</v>
      </c>
    </row>
    <row r="5" spans="1:9" x14ac:dyDescent="0.3">
      <c r="A5" s="2" t="s">
        <v>303</v>
      </c>
      <c r="B5" s="2" t="s">
        <v>331</v>
      </c>
      <c r="C5" s="2" t="s">
        <v>332</v>
      </c>
      <c r="D5" s="2" t="s">
        <v>333</v>
      </c>
      <c r="E5" s="2"/>
      <c r="F5" s="2"/>
      <c r="G5" s="2"/>
      <c r="H5" s="2"/>
      <c r="I5" s="3">
        <f t="shared" si="0"/>
        <v>33</v>
      </c>
    </row>
    <row r="6" spans="1:9" x14ac:dyDescent="0.3">
      <c r="A6" s="2" t="s">
        <v>303</v>
      </c>
      <c r="B6" s="2" t="s">
        <v>419</v>
      </c>
      <c r="C6" s="2"/>
      <c r="D6" s="2" t="s">
        <v>420</v>
      </c>
      <c r="E6" s="2" t="s">
        <v>39</v>
      </c>
      <c r="F6" s="2"/>
      <c r="G6" s="2"/>
      <c r="H6" s="2"/>
      <c r="I6" s="3">
        <f t="shared" si="0"/>
        <v>37</v>
      </c>
    </row>
    <row r="7" spans="1:9" x14ac:dyDescent="0.3">
      <c r="A7" s="2" t="s">
        <v>303</v>
      </c>
      <c r="B7" s="2" t="s">
        <v>421</v>
      </c>
      <c r="C7" s="2" t="s">
        <v>422</v>
      </c>
      <c r="D7" s="2" t="s">
        <v>423</v>
      </c>
      <c r="E7" s="2" t="s">
        <v>39</v>
      </c>
      <c r="F7" s="2"/>
      <c r="G7" s="2"/>
      <c r="H7" s="2"/>
      <c r="I7" s="3">
        <f t="shared" si="0"/>
        <v>37</v>
      </c>
    </row>
    <row r="8" spans="1:9" x14ac:dyDescent="0.3">
      <c r="A8" s="2" t="s">
        <v>303</v>
      </c>
      <c r="B8" s="2" t="s">
        <v>177</v>
      </c>
      <c r="C8" s="2" t="s">
        <v>178</v>
      </c>
      <c r="D8" s="2" t="s">
        <v>469</v>
      </c>
      <c r="E8" s="2" t="s">
        <v>39</v>
      </c>
      <c r="F8" s="2"/>
      <c r="G8" s="2"/>
      <c r="H8" s="2"/>
      <c r="I8" s="3">
        <f t="shared" si="0"/>
        <v>39</v>
      </c>
    </row>
    <row r="9" spans="1:9" x14ac:dyDescent="0.3">
      <c r="A9" s="2" t="s">
        <v>303</v>
      </c>
      <c r="B9" s="2" t="s">
        <v>530</v>
      </c>
      <c r="C9" s="2" t="s">
        <v>95</v>
      </c>
      <c r="D9" s="2" t="s">
        <v>531</v>
      </c>
      <c r="E9" s="2" t="s">
        <v>39</v>
      </c>
      <c r="F9" s="2"/>
      <c r="G9" s="2"/>
      <c r="H9" s="2"/>
      <c r="I9" s="3">
        <f t="shared" si="0"/>
        <v>41</v>
      </c>
    </row>
    <row r="10" spans="1:9" x14ac:dyDescent="0.3">
      <c r="A10" s="2" t="s">
        <v>303</v>
      </c>
      <c r="B10" s="2" t="s">
        <v>532</v>
      </c>
      <c r="C10" s="2"/>
      <c r="D10" s="2" t="s">
        <v>533</v>
      </c>
      <c r="E10" s="2" t="s">
        <v>39</v>
      </c>
      <c r="F10" s="2"/>
      <c r="G10" s="2"/>
      <c r="H10" s="2"/>
      <c r="I10" s="3">
        <f t="shared" si="0"/>
        <v>41</v>
      </c>
    </row>
    <row r="11" spans="1:9" x14ac:dyDescent="0.3">
      <c r="A11" s="2" t="s">
        <v>303</v>
      </c>
      <c r="B11" s="2" t="s">
        <v>561</v>
      </c>
      <c r="C11" s="2" t="s">
        <v>186</v>
      </c>
      <c r="D11" s="2" t="s">
        <v>562</v>
      </c>
      <c r="E11" s="2"/>
      <c r="F11" s="2"/>
      <c r="G11" s="2"/>
      <c r="H11" s="2"/>
      <c r="I11" s="3">
        <f t="shared" si="0"/>
        <v>42</v>
      </c>
    </row>
    <row r="12" spans="1:9" x14ac:dyDescent="0.3">
      <c r="A12" s="2" t="s">
        <v>303</v>
      </c>
      <c r="B12" s="2" t="s">
        <v>619</v>
      </c>
      <c r="C12" s="2" t="s">
        <v>500</v>
      </c>
      <c r="D12" s="2" t="s">
        <v>620</v>
      </c>
      <c r="E12" s="2" t="s">
        <v>39</v>
      </c>
      <c r="F12" s="2"/>
      <c r="G12" s="2"/>
      <c r="H12" s="2" t="s">
        <v>402</v>
      </c>
      <c r="I12" s="3">
        <f t="shared" si="0"/>
        <v>44</v>
      </c>
    </row>
    <row r="13" spans="1:9" x14ac:dyDescent="0.3">
      <c r="A13" s="2" t="s">
        <v>303</v>
      </c>
      <c r="B13" s="2" t="s">
        <v>649</v>
      </c>
      <c r="C13" s="2" t="s">
        <v>95</v>
      </c>
      <c r="D13" s="2" t="s">
        <v>650</v>
      </c>
      <c r="E13" s="2" t="s">
        <v>39</v>
      </c>
      <c r="F13" s="2"/>
      <c r="G13" s="2"/>
      <c r="H13" s="2"/>
      <c r="I13" s="3">
        <f t="shared" si="0"/>
        <v>45</v>
      </c>
    </row>
    <row r="14" spans="1:9" x14ac:dyDescent="0.3">
      <c r="A14" s="2" t="s">
        <v>303</v>
      </c>
      <c r="B14" s="2" t="s">
        <v>651</v>
      </c>
      <c r="C14" s="2" t="s">
        <v>422</v>
      </c>
      <c r="D14" s="2" t="s">
        <v>652</v>
      </c>
      <c r="E14" s="2" t="s">
        <v>39</v>
      </c>
      <c r="F14" s="2"/>
      <c r="G14" s="2"/>
      <c r="H14" s="2"/>
      <c r="I14" s="3">
        <f t="shared" si="0"/>
        <v>45</v>
      </c>
    </row>
    <row r="15" spans="1:9" x14ac:dyDescent="0.3">
      <c r="A15" s="2" t="s">
        <v>303</v>
      </c>
      <c r="B15" s="2" t="s">
        <v>877</v>
      </c>
      <c r="C15" s="2" t="s">
        <v>95</v>
      </c>
      <c r="D15" s="2" t="s">
        <v>878</v>
      </c>
      <c r="E15" s="2" t="s">
        <v>39</v>
      </c>
      <c r="F15" s="2"/>
      <c r="G15" s="2"/>
      <c r="H15" s="2"/>
      <c r="I15" s="3">
        <f t="shared" si="0"/>
        <v>52</v>
      </c>
    </row>
    <row r="16" spans="1:9" x14ac:dyDescent="0.3">
      <c r="A16" s="2" t="s">
        <v>303</v>
      </c>
      <c r="B16" s="2" t="s">
        <v>903</v>
      </c>
      <c r="C16" s="2" t="s">
        <v>329</v>
      </c>
      <c r="D16" s="2" t="s">
        <v>904</v>
      </c>
      <c r="E16" s="2" t="s">
        <v>39</v>
      </c>
      <c r="F16" s="2"/>
      <c r="G16" s="2"/>
      <c r="H16" s="2"/>
      <c r="I16" s="3">
        <f t="shared" si="0"/>
        <v>53</v>
      </c>
    </row>
    <row r="17" spans="1:9" x14ac:dyDescent="0.3">
      <c r="A17" s="2" t="s">
        <v>303</v>
      </c>
      <c r="B17" s="2" t="s">
        <v>937</v>
      </c>
      <c r="C17" s="2" t="s">
        <v>95</v>
      </c>
      <c r="D17" s="2" t="s">
        <v>938</v>
      </c>
      <c r="E17" s="2" t="s">
        <v>39</v>
      </c>
      <c r="F17" s="2"/>
      <c r="G17" s="2"/>
      <c r="H17" s="2"/>
      <c r="I17" s="3">
        <f t="shared" si="0"/>
        <v>53</v>
      </c>
    </row>
    <row r="18" spans="1:9" x14ac:dyDescent="0.3">
      <c r="A18" s="2" t="s">
        <v>303</v>
      </c>
      <c r="B18" s="2" t="s">
        <v>1029</v>
      </c>
      <c r="C18" s="2" t="s">
        <v>178</v>
      </c>
      <c r="D18" s="2" t="s">
        <v>1030</v>
      </c>
      <c r="E18" s="2" t="s">
        <v>39</v>
      </c>
      <c r="F18" s="2"/>
      <c r="G18" s="2"/>
      <c r="H18" s="2"/>
      <c r="I18" s="3">
        <f t="shared" si="0"/>
        <v>56</v>
      </c>
    </row>
    <row r="19" spans="1:9" x14ac:dyDescent="0.3">
      <c r="A19" s="2" t="s">
        <v>303</v>
      </c>
      <c r="B19" s="2" t="s">
        <v>1067</v>
      </c>
      <c r="C19" s="2" t="s">
        <v>500</v>
      </c>
      <c r="D19" s="2" t="s">
        <v>1068</v>
      </c>
      <c r="E19" s="2" t="s">
        <v>39</v>
      </c>
      <c r="F19" s="2"/>
      <c r="G19" s="2"/>
      <c r="H19" s="2"/>
      <c r="I19" s="3">
        <f t="shared" si="0"/>
        <v>56</v>
      </c>
    </row>
    <row r="20" spans="1:9" x14ac:dyDescent="0.3">
      <c r="A20" s="2" t="s">
        <v>303</v>
      </c>
      <c r="B20" s="2" t="s">
        <v>1288</v>
      </c>
      <c r="C20" s="2" t="s">
        <v>95</v>
      </c>
      <c r="D20" s="2" t="s">
        <v>1289</v>
      </c>
      <c r="E20" s="2" t="s">
        <v>39</v>
      </c>
      <c r="F20" s="2"/>
      <c r="G20" s="2"/>
      <c r="H20" s="2"/>
      <c r="I20" s="3">
        <f t="shared" si="0"/>
        <v>60</v>
      </c>
    </row>
    <row r="21" spans="1:9" x14ac:dyDescent="0.3">
      <c r="A21" s="2" t="s">
        <v>303</v>
      </c>
      <c r="B21" s="2" t="s">
        <v>1368</v>
      </c>
      <c r="C21" s="2"/>
      <c r="D21" s="2" t="s">
        <v>1369</v>
      </c>
      <c r="E21" s="2" t="s">
        <v>39</v>
      </c>
      <c r="F21" s="2"/>
      <c r="G21" s="2"/>
      <c r="H21" s="2"/>
      <c r="I21" s="3">
        <f t="shared" si="0"/>
        <v>62</v>
      </c>
    </row>
    <row r="22" spans="1:9" ht="24" x14ac:dyDescent="0.3">
      <c r="A22" s="2" t="s">
        <v>303</v>
      </c>
      <c r="B22" s="2" t="s">
        <v>1373</v>
      </c>
      <c r="C22" s="2" t="s">
        <v>1255</v>
      </c>
      <c r="D22" s="2" t="s">
        <v>1374</v>
      </c>
      <c r="E22" s="2" t="s">
        <v>39</v>
      </c>
      <c r="F22" s="2"/>
      <c r="G22" s="2"/>
      <c r="H22" s="2"/>
      <c r="I22" s="3">
        <f t="shared" si="0"/>
        <v>62</v>
      </c>
    </row>
    <row r="23" spans="1:9" x14ac:dyDescent="0.3">
      <c r="A23" s="2" t="s">
        <v>303</v>
      </c>
      <c r="B23" s="2" t="s">
        <v>1431</v>
      </c>
      <c r="C23" s="2"/>
      <c r="D23" s="2" t="s">
        <v>1432</v>
      </c>
      <c r="E23" s="2" t="s">
        <v>39</v>
      </c>
      <c r="F23" s="2"/>
      <c r="G23" s="2"/>
      <c r="H23" s="2"/>
      <c r="I23" s="3">
        <f t="shared" si="0"/>
        <v>63</v>
      </c>
    </row>
    <row r="24" spans="1:9" x14ac:dyDescent="0.3">
      <c r="A24" s="2" t="s">
        <v>303</v>
      </c>
      <c r="B24" s="2" t="s">
        <v>877</v>
      </c>
      <c r="C24" s="2" t="s">
        <v>95</v>
      </c>
      <c r="D24" s="2" t="s">
        <v>1677</v>
      </c>
      <c r="E24" s="2" t="s">
        <v>39</v>
      </c>
      <c r="F24" s="2"/>
      <c r="G24" s="2"/>
      <c r="H24" s="2"/>
      <c r="I24" s="3">
        <f t="shared" si="0"/>
        <v>67</v>
      </c>
    </row>
    <row r="25" spans="1:9" x14ac:dyDescent="0.3">
      <c r="A25" s="2" t="s">
        <v>303</v>
      </c>
      <c r="B25" s="2" t="s">
        <v>1840</v>
      </c>
      <c r="C25" s="2" t="s">
        <v>178</v>
      </c>
      <c r="D25" s="2" t="s">
        <v>1841</v>
      </c>
      <c r="E25" s="2" t="s">
        <v>39</v>
      </c>
      <c r="F25" s="2"/>
      <c r="G25" s="2"/>
      <c r="H25" s="2"/>
      <c r="I25" s="3">
        <f t="shared" si="0"/>
        <v>70</v>
      </c>
    </row>
    <row r="26" spans="1:9" x14ac:dyDescent="0.3">
      <c r="A26" s="2" t="s">
        <v>303</v>
      </c>
      <c r="B26" s="2" t="s">
        <v>1845</v>
      </c>
      <c r="C26" s="2"/>
      <c r="D26" s="2" t="s">
        <v>1846</v>
      </c>
      <c r="E26" s="2" t="s">
        <v>39</v>
      </c>
      <c r="F26" s="2"/>
      <c r="G26" s="2"/>
      <c r="H26" s="2"/>
      <c r="I26" s="3">
        <f t="shared" si="0"/>
        <v>70</v>
      </c>
    </row>
    <row r="27" spans="1:9" x14ac:dyDescent="0.3">
      <c r="A27" s="2" t="s">
        <v>303</v>
      </c>
      <c r="B27" s="2" t="s">
        <v>1850</v>
      </c>
      <c r="C27" s="2" t="s">
        <v>491</v>
      </c>
      <c r="D27" s="2" t="s">
        <v>1851</v>
      </c>
      <c r="E27" s="2" t="s">
        <v>39</v>
      </c>
      <c r="F27" s="2"/>
      <c r="G27" s="2"/>
      <c r="H27" s="2"/>
      <c r="I27" s="3">
        <f t="shared" si="0"/>
        <v>70</v>
      </c>
    </row>
    <row r="28" spans="1:9" x14ac:dyDescent="0.3">
      <c r="A28" s="2" t="s">
        <v>303</v>
      </c>
      <c r="B28" s="2" t="s">
        <v>1879</v>
      </c>
      <c r="C28" s="2" t="s">
        <v>1504</v>
      </c>
      <c r="D28" s="2" t="s">
        <v>1880</v>
      </c>
      <c r="E28" s="2"/>
      <c r="F28" s="2"/>
      <c r="G28" s="2"/>
      <c r="H28" s="2" t="s">
        <v>194</v>
      </c>
      <c r="I28" s="3">
        <f t="shared" si="0"/>
        <v>71</v>
      </c>
    </row>
    <row r="29" spans="1:9" x14ac:dyDescent="0.3">
      <c r="A29" s="2" t="s">
        <v>303</v>
      </c>
      <c r="B29" s="2" t="s">
        <v>1904</v>
      </c>
      <c r="C29" s="2" t="s">
        <v>491</v>
      </c>
      <c r="D29" s="2" t="s">
        <v>1905</v>
      </c>
      <c r="E29" s="2"/>
      <c r="F29" s="2"/>
      <c r="G29" s="2"/>
      <c r="H29" s="2"/>
      <c r="I29" s="3">
        <f t="shared" si="0"/>
        <v>71</v>
      </c>
    </row>
    <row r="30" spans="1:9" x14ac:dyDescent="0.3">
      <c r="A30" s="2" t="s">
        <v>303</v>
      </c>
      <c r="B30" s="2" t="s">
        <v>477</v>
      </c>
      <c r="C30" s="2" t="s">
        <v>95</v>
      </c>
      <c r="D30" s="2" t="s">
        <v>2044</v>
      </c>
      <c r="E30" s="2" t="s">
        <v>39</v>
      </c>
      <c r="F30" s="2"/>
      <c r="G30" s="2"/>
      <c r="H30" s="2"/>
      <c r="I30" s="3">
        <f t="shared" si="0"/>
        <v>73</v>
      </c>
    </row>
    <row r="31" spans="1:9" x14ac:dyDescent="0.3">
      <c r="A31" s="2" t="s">
        <v>303</v>
      </c>
      <c r="B31" s="2" t="s">
        <v>2129</v>
      </c>
      <c r="C31" s="2"/>
      <c r="D31" s="2" t="s">
        <v>2130</v>
      </c>
      <c r="E31" s="2" t="s">
        <v>39</v>
      </c>
      <c r="F31" s="2"/>
      <c r="G31" s="2"/>
      <c r="H31" s="2"/>
      <c r="I31" s="3">
        <f t="shared" si="0"/>
        <v>75</v>
      </c>
    </row>
    <row r="32" spans="1:9" x14ac:dyDescent="0.3">
      <c r="A32" s="2" t="s">
        <v>303</v>
      </c>
      <c r="B32" s="2" t="s">
        <v>2135</v>
      </c>
      <c r="C32" s="2" t="s">
        <v>186</v>
      </c>
      <c r="D32" s="2" t="s">
        <v>8725</v>
      </c>
      <c r="E32" s="2" t="s">
        <v>2136</v>
      </c>
      <c r="F32" s="2"/>
      <c r="G32" s="2"/>
      <c r="H32" s="2"/>
      <c r="I32" s="3">
        <f t="shared" si="0"/>
        <v>75</v>
      </c>
    </row>
    <row r="33" spans="1:9" x14ac:dyDescent="0.3">
      <c r="A33" s="2" t="s">
        <v>303</v>
      </c>
      <c r="B33" s="2" t="s">
        <v>2235</v>
      </c>
      <c r="C33" s="2" t="s">
        <v>95</v>
      </c>
      <c r="D33" s="2" t="s">
        <v>2236</v>
      </c>
      <c r="E33" s="2" t="s">
        <v>39</v>
      </c>
      <c r="F33" s="2"/>
      <c r="G33" s="2"/>
      <c r="H33" s="2"/>
      <c r="I33" s="3">
        <f t="shared" si="0"/>
        <v>77</v>
      </c>
    </row>
    <row r="34" spans="1:9" x14ac:dyDescent="0.3">
      <c r="A34" s="2" t="s">
        <v>303</v>
      </c>
      <c r="B34" s="2" t="s">
        <v>2274</v>
      </c>
      <c r="C34" s="2" t="s">
        <v>178</v>
      </c>
      <c r="D34" s="2" t="s">
        <v>2275</v>
      </c>
      <c r="E34" s="2" t="s">
        <v>39</v>
      </c>
      <c r="F34" s="2"/>
      <c r="G34" s="2"/>
      <c r="H34" s="2"/>
      <c r="I34" s="3">
        <f t="shared" si="0"/>
        <v>78</v>
      </c>
    </row>
    <row r="35" spans="1:9" x14ac:dyDescent="0.3">
      <c r="A35" s="2" t="s">
        <v>303</v>
      </c>
      <c r="B35" s="2" t="s">
        <v>2276</v>
      </c>
      <c r="C35" s="2" t="s">
        <v>329</v>
      </c>
      <c r="D35" s="2" t="s">
        <v>2277</v>
      </c>
      <c r="E35" s="2" t="s">
        <v>39</v>
      </c>
      <c r="F35" s="2"/>
      <c r="G35" s="2"/>
      <c r="H35" s="2"/>
      <c r="I35" s="3">
        <f t="shared" si="0"/>
        <v>78</v>
      </c>
    </row>
    <row r="36" spans="1:9" x14ac:dyDescent="0.3">
      <c r="A36" s="2" t="s">
        <v>303</v>
      </c>
      <c r="B36" s="2" t="s">
        <v>2525</v>
      </c>
      <c r="C36" s="2" t="s">
        <v>544</v>
      </c>
      <c r="D36" s="2" t="s">
        <v>2526</v>
      </c>
      <c r="E36" s="2" t="s">
        <v>39</v>
      </c>
      <c r="F36" s="2"/>
      <c r="G36" s="2"/>
      <c r="H36" s="2"/>
      <c r="I36" s="3">
        <f t="shared" si="0"/>
        <v>83</v>
      </c>
    </row>
    <row r="37" spans="1:9" x14ac:dyDescent="0.3">
      <c r="A37" s="2" t="s">
        <v>303</v>
      </c>
      <c r="B37" s="2" t="s">
        <v>2635</v>
      </c>
      <c r="C37" s="2"/>
      <c r="D37" s="2" t="s">
        <v>2636</v>
      </c>
      <c r="E37" s="2" t="s">
        <v>39</v>
      </c>
      <c r="F37" s="2"/>
      <c r="G37" s="2"/>
      <c r="H37" s="2"/>
      <c r="I37" s="3">
        <f t="shared" si="0"/>
        <v>84</v>
      </c>
    </row>
    <row r="38" spans="1:9" x14ac:dyDescent="0.3">
      <c r="A38" s="2" t="s">
        <v>303</v>
      </c>
      <c r="B38" s="2" t="s">
        <v>2688</v>
      </c>
      <c r="C38" s="2"/>
      <c r="D38" s="2" t="s">
        <v>2689</v>
      </c>
      <c r="E38" s="2" t="s">
        <v>39</v>
      </c>
      <c r="F38" s="2"/>
      <c r="G38" s="2"/>
      <c r="H38" s="2"/>
      <c r="I38" s="3">
        <f t="shared" si="0"/>
        <v>85</v>
      </c>
    </row>
    <row r="39" spans="1:9" x14ac:dyDescent="0.3">
      <c r="A39" s="2" t="s">
        <v>303</v>
      </c>
      <c r="B39" s="2" t="s">
        <v>2700</v>
      </c>
      <c r="C39" s="2" t="s">
        <v>2701</v>
      </c>
      <c r="D39" s="2" t="s">
        <v>2702</v>
      </c>
      <c r="E39" s="2" t="s">
        <v>39</v>
      </c>
      <c r="F39" s="2"/>
      <c r="G39" s="2"/>
      <c r="H39" s="2" t="s">
        <v>646</v>
      </c>
      <c r="I39" s="3">
        <f t="shared" si="0"/>
        <v>86</v>
      </c>
    </row>
    <row r="40" spans="1:9" x14ac:dyDescent="0.3">
      <c r="A40" s="2" t="s">
        <v>303</v>
      </c>
      <c r="B40" s="2" t="s">
        <v>2723</v>
      </c>
      <c r="C40" s="2" t="s">
        <v>253</v>
      </c>
      <c r="D40" s="2" t="s">
        <v>2724</v>
      </c>
      <c r="E40" s="2" t="s">
        <v>39</v>
      </c>
      <c r="F40" s="2"/>
      <c r="G40" s="2"/>
      <c r="H40" s="2"/>
      <c r="I40" s="3">
        <f t="shared" si="0"/>
        <v>86</v>
      </c>
    </row>
    <row r="41" spans="1:9" x14ac:dyDescent="0.3">
      <c r="A41" s="2" t="s">
        <v>303</v>
      </c>
      <c r="B41" s="2" t="s">
        <v>2750</v>
      </c>
      <c r="C41" s="2"/>
      <c r="D41" s="2" t="s">
        <v>2751</v>
      </c>
      <c r="E41" s="2"/>
      <c r="F41" s="2"/>
      <c r="G41" s="2"/>
      <c r="H41" s="2" t="s">
        <v>194</v>
      </c>
      <c r="I41" s="3">
        <f t="shared" si="0"/>
        <v>86</v>
      </c>
    </row>
    <row r="42" spans="1:9" x14ac:dyDescent="0.3">
      <c r="A42" s="2" t="s">
        <v>303</v>
      </c>
      <c r="B42" s="2" t="s">
        <v>2760</v>
      </c>
      <c r="C42" s="2" t="s">
        <v>500</v>
      </c>
      <c r="D42" s="2" t="s">
        <v>2761</v>
      </c>
      <c r="E42" s="2" t="s">
        <v>39</v>
      </c>
      <c r="F42" s="2"/>
      <c r="G42" s="2"/>
      <c r="H42" s="2" t="s">
        <v>402</v>
      </c>
      <c r="I42" s="3">
        <f t="shared" si="0"/>
        <v>87</v>
      </c>
    </row>
    <row r="43" spans="1:9" x14ac:dyDescent="0.3">
      <c r="A43" s="2" t="s">
        <v>303</v>
      </c>
      <c r="B43" s="2" t="s">
        <v>2933</v>
      </c>
      <c r="C43" s="2"/>
      <c r="D43" s="2" t="s">
        <v>2934</v>
      </c>
      <c r="E43" s="2"/>
      <c r="F43" s="2"/>
      <c r="G43" s="2"/>
      <c r="H43" s="2" t="s">
        <v>646</v>
      </c>
      <c r="I43" s="3">
        <f t="shared" si="0"/>
        <v>90</v>
      </c>
    </row>
    <row r="44" spans="1:9" x14ac:dyDescent="0.3">
      <c r="A44" s="2" t="s">
        <v>303</v>
      </c>
      <c r="B44" s="2" t="s">
        <v>2989</v>
      </c>
      <c r="C44" s="2" t="s">
        <v>95</v>
      </c>
      <c r="D44" s="2" t="s">
        <v>2990</v>
      </c>
      <c r="E44" s="2" t="s">
        <v>39</v>
      </c>
      <c r="F44" s="2"/>
      <c r="G44" s="2"/>
      <c r="H44" s="2"/>
      <c r="I44" s="3">
        <f t="shared" si="0"/>
        <v>91</v>
      </c>
    </row>
    <row r="45" spans="1:9" x14ac:dyDescent="0.3">
      <c r="A45" s="2" t="s">
        <v>303</v>
      </c>
      <c r="B45" s="2" t="s">
        <v>3053</v>
      </c>
      <c r="C45" s="2"/>
      <c r="D45" s="2" t="s">
        <v>3054</v>
      </c>
      <c r="E45" s="2" t="s">
        <v>39</v>
      </c>
      <c r="F45" s="2"/>
      <c r="G45" s="2"/>
      <c r="H45" s="2" t="s">
        <v>834</v>
      </c>
      <c r="I45" s="3">
        <f t="shared" si="0"/>
        <v>92</v>
      </c>
    </row>
    <row r="46" spans="1:9" x14ac:dyDescent="0.3">
      <c r="A46" s="2" t="s">
        <v>303</v>
      </c>
      <c r="B46" s="2" t="s">
        <v>3127</v>
      </c>
      <c r="C46" s="2" t="s">
        <v>500</v>
      </c>
      <c r="D46" s="2" t="s">
        <v>3128</v>
      </c>
      <c r="E46" s="2" t="s">
        <v>39</v>
      </c>
      <c r="F46" s="2"/>
      <c r="G46" s="2"/>
      <c r="H46" s="2"/>
      <c r="I46" s="3">
        <f t="shared" si="0"/>
        <v>94</v>
      </c>
    </row>
    <row r="47" spans="1:9" x14ac:dyDescent="0.3">
      <c r="A47" s="2" t="s">
        <v>303</v>
      </c>
      <c r="B47" s="2" t="s">
        <v>3172</v>
      </c>
      <c r="C47" s="2" t="s">
        <v>544</v>
      </c>
      <c r="D47" s="2" t="s">
        <v>3173</v>
      </c>
      <c r="E47" s="2" t="s">
        <v>39</v>
      </c>
      <c r="F47" s="2"/>
      <c r="G47" s="2"/>
      <c r="H47" s="2"/>
      <c r="I47" s="3">
        <f t="shared" si="0"/>
        <v>95</v>
      </c>
    </row>
    <row r="48" spans="1:9" x14ac:dyDescent="0.3">
      <c r="A48" s="2" t="s">
        <v>303</v>
      </c>
      <c r="B48" s="2" t="s">
        <v>3210</v>
      </c>
      <c r="C48" s="2" t="s">
        <v>95</v>
      </c>
      <c r="D48" s="2" t="s">
        <v>3211</v>
      </c>
      <c r="E48" s="2" t="s">
        <v>39</v>
      </c>
      <c r="F48" s="2"/>
      <c r="G48" s="2"/>
      <c r="H48" s="2"/>
      <c r="I48" s="3">
        <f t="shared" si="0"/>
        <v>96</v>
      </c>
    </row>
    <row r="49" spans="1:9" x14ac:dyDescent="0.3">
      <c r="A49" s="2" t="s">
        <v>303</v>
      </c>
      <c r="B49" s="2" t="s">
        <v>3258</v>
      </c>
      <c r="C49" s="2"/>
      <c r="D49" s="2" t="s">
        <v>3259</v>
      </c>
      <c r="E49" s="2" t="s">
        <v>39</v>
      </c>
      <c r="F49" s="2"/>
      <c r="G49" s="2"/>
      <c r="H49" s="2" t="s">
        <v>1176</v>
      </c>
      <c r="I49" s="3">
        <f t="shared" si="0"/>
        <v>97</v>
      </c>
    </row>
    <row r="50" spans="1:9" x14ac:dyDescent="0.3">
      <c r="A50" s="2" t="s">
        <v>303</v>
      </c>
      <c r="B50" s="2" t="s">
        <v>3293</v>
      </c>
      <c r="C50" s="2" t="s">
        <v>95</v>
      </c>
      <c r="D50" s="2" t="s">
        <v>3294</v>
      </c>
      <c r="E50" s="2" t="s">
        <v>39</v>
      </c>
      <c r="F50" s="2"/>
      <c r="G50" s="2"/>
      <c r="H50" s="2"/>
      <c r="I50" s="3">
        <f t="shared" si="0"/>
        <v>97</v>
      </c>
    </row>
    <row r="51" spans="1:9" ht="24" x14ac:dyDescent="0.3">
      <c r="A51" s="2" t="s">
        <v>303</v>
      </c>
      <c r="B51" s="2" t="s">
        <v>3303</v>
      </c>
      <c r="C51" s="2" t="s">
        <v>1553</v>
      </c>
      <c r="D51" s="2" t="s">
        <v>3304</v>
      </c>
      <c r="E51" s="2" t="s">
        <v>3305</v>
      </c>
      <c r="F51" s="2"/>
      <c r="G51" s="2"/>
      <c r="H51" s="2"/>
      <c r="I51" s="3">
        <f t="shared" si="0"/>
        <v>98</v>
      </c>
    </row>
    <row r="52" spans="1:9" x14ac:dyDescent="0.3">
      <c r="A52" s="2" t="s">
        <v>303</v>
      </c>
      <c r="B52" s="2" t="s">
        <v>3393</v>
      </c>
      <c r="C52" s="2" t="s">
        <v>1255</v>
      </c>
      <c r="D52" s="2" t="s">
        <v>3394</v>
      </c>
      <c r="E52" s="2" t="s">
        <v>39</v>
      </c>
      <c r="F52" s="2"/>
      <c r="G52" s="2"/>
      <c r="H52" s="2"/>
      <c r="I52" s="3">
        <f t="shared" si="0"/>
        <v>100</v>
      </c>
    </row>
    <row r="53" spans="1:9" x14ac:dyDescent="0.3">
      <c r="A53" s="2" t="s">
        <v>303</v>
      </c>
      <c r="B53" s="2" t="s">
        <v>3528</v>
      </c>
      <c r="C53" s="2"/>
      <c r="D53" s="2" t="s">
        <v>3529</v>
      </c>
      <c r="E53" s="2" t="s">
        <v>39</v>
      </c>
      <c r="F53" s="2"/>
      <c r="G53" s="2"/>
      <c r="H53" s="2"/>
      <c r="I53" s="3">
        <f t="shared" si="0"/>
        <v>103</v>
      </c>
    </row>
    <row r="54" spans="1:9" ht="24" x14ac:dyDescent="0.3">
      <c r="A54" s="2" t="s">
        <v>303</v>
      </c>
      <c r="B54" s="2" t="s">
        <v>1879</v>
      </c>
      <c r="C54" s="2" t="s">
        <v>1504</v>
      </c>
      <c r="D54" s="2" t="s">
        <v>3618</v>
      </c>
      <c r="E54" s="2"/>
      <c r="F54" s="2"/>
      <c r="G54" s="2"/>
      <c r="H54" s="2" t="s">
        <v>194</v>
      </c>
      <c r="I54" s="3">
        <f t="shared" si="0"/>
        <v>105</v>
      </c>
    </row>
    <row r="55" spans="1:9" x14ac:dyDescent="0.3">
      <c r="A55" s="2" t="s">
        <v>303</v>
      </c>
      <c r="B55" s="2" t="s">
        <v>2367</v>
      </c>
      <c r="C55" s="2" t="s">
        <v>544</v>
      </c>
      <c r="D55" s="2" t="s">
        <v>3629</v>
      </c>
      <c r="E55" s="2" t="s">
        <v>39</v>
      </c>
      <c r="F55" s="2"/>
      <c r="G55" s="2"/>
      <c r="H55" s="2"/>
      <c r="I55" s="3">
        <f t="shared" si="0"/>
        <v>105</v>
      </c>
    </row>
    <row r="56" spans="1:9" ht="24" x14ac:dyDescent="0.3">
      <c r="A56" s="2" t="s">
        <v>303</v>
      </c>
      <c r="B56" s="2" t="s">
        <v>3650</v>
      </c>
      <c r="C56" s="2"/>
      <c r="D56" s="2" t="s">
        <v>3651</v>
      </c>
      <c r="E56" s="2" t="s">
        <v>39</v>
      </c>
      <c r="F56" s="2"/>
      <c r="G56" s="2"/>
      <c r="H56" s="2"/>
      <c r="I56" s="3">
        <f t="shared" si="0"/>
        <v>106</v>
      </c>
    </row>
    <row r="57" spans="1:9" ht="24" x14ac:dyDescent="0.3">
      <c r="A57" s="2" t="s">
        <v>303</v>
      </c>
      <c r="B57" s="2" t="s">
        <v>3676</v>
      </c>
      <c r="C57" s="2" t="s">
        <v>329</v>
      </c>
      <c r="D57" s="2" t="s">
        <v>3677</v>
      </c>
      <c r="E57" s="2" t="s">
        <v>39</v>
      </c>
      <c r="F57" s="2"/>
      <c r="G57" s="2"/>
      <c r="H57" s="2"/>
      <c r="I57" s="3">
        <f t="shared" si="0"/>
        <v>106</v>
      </c>
    </row>
    <row r="58" spans="1:9" ht="24" x14ac:dyDescent="0.3">
      <c r="A58" s="2" t="s">
        <v>303</v>
      </c>
      <c r="B58" s="2" t="s">
        <v>3694</v>
      </c>
      <c r="C58" s="2"/>
      <c r="D58" s="2" t="s">
        <v>3695</v>
      </c>
      <c r="E58" s="2" t="s">
        <v>39</v>
      </c>
      <c r="F58" s="2"/>
      <c r="G58" s="2"/>
      <c r="H58" s="2"/>
      <c r="I58" s="3">
        <f t="shared" si="0"/>
        <v>107</v>
      </c>
    </row>
    <row r="59" spans="1:9" x14ac:dyDescent="0.3">
      <c r="A59" s="2" t="s">
        <v>303</v>
      </c>
      <c r="B59" s="2" t="s">
        <v>619</v>
      </c>
      <c r="C59" s="2" t="s">
        <v>500</v>
      </c>
      <c r="D59" s="2" t="s">
        <v>3711</v>
      </c>
      <c r="E59" s="2" t="s">
        <v>39</v>
      </c>
      <c r="F59" s="2"/>
      <c r="G59" s="2"/>
      <c r="H59" s="2" t="s">
        <v>402</v>
      </c>
      <c r="I59" s="3">
        <f t="shared" si="0"/>
        <v>107</v>
      </c>
    </row>
    <row r="60" spans="1:9" ht="24" x14ac:dyDescent="0.3">
      <c r="A60" s="2" t="s">
        <v>303</v>
      </c>
      <c r="B60" s="2" t="s">
        <v>3826</v>
      </c>
      <c r="C60" s="2" t="s">
        <v>480</v>
      </c>
      <c r="D60" s="2" t="s">
        <v>3827</v>
      </c>
      <c r="E60" s="2" t="s">
        <v>39</v>
      </c>
      <c r="F60" s="2"/>
      <c r="G60" s="2"/>
      <c r="H60" s="2"/>
      <c r="I60" s="3">
        <f t="shared" si="0"/>
        <v>110</v>
      </c>
    </row>
    <row r="61" spans="1:9" ht="24" x14ac:dyDescent="0.3">
      <c r="A61" s="2" t="s">
        <v>303</v>
      </c>
      <c r="B61" s="2" t="s">
        <v>2274</v>
      </c>
      <c r="C61" s="2" t="s">
        <v>544</v>
      </c>
      <c r="D61" s="2" t="s">
        <v>3892</v>
      </c>
      <c r="E61" s="2" t="s">
        <v>39</v>
      </c>
      <c r="F61" s="2"/>
      <c r="G61" s="2"/>
      <c r="H61" s="2"/>
      <c r="I61" s="3">
        <f t="shared" si="0"/>
        <v>111</v>
      </c>
    </row>
    <row r="62" spans="1:9" ht="24" x14ac:dyDescent="0.3">
      <c r="A62" s="2" t="s">
        <v>303</v>
      </c>
      <c r="B62" s="2" t="s">
        <v>3925</v>
      </c>
      <c r="C62" s="2" t="s">
        <v>544</v>
      </c>
      <c r="D62" s="2" t="s">
        <v>3926</v>
      </c>
      <c r="E62" s="2" t="s">
        <v>39</v>
      </c>
      <c r="F62" s="2"/>
      <c r="G62" s="2"/>
      <c r="H62" s="2"/>
      <c r="I62" s="3">
        <f t="shared" si="0"/>
        <v>112</v>
      </c>
    </row>
    <row r="63" spans="1:9" ht="24" x14ac:dyDescent="0.3">
      <c r="A63" s="2" t="s">
        <v>303</v>
      </c>
      <c r="B63" s="2" t="s">
        <v>3937</v>
      </c>
      <c r="C63" s="2" t="s">
        <v>500</v>
      </c>
      <c r="D63" s="2" t="s">
        <v>3938</v>
      </c>
      <c r="E63" s="2" t="s">
        <v>39</v>
      </c>
      <c r="F63" s="2"/>
      <c r="G63" s="2"/>
      <c r="H63" s="2" t="s">
        <v>402</v>
      </c>
      <c r="I63" s="3">
        <f t="shared" si="0"/>
        <v>112</v>
      </c>
    </row>
    <row r="64" spans="1:9" ht="24" x14ac:dyDescent="0.3">
      <c r="A64" s="2" t="s">
        <v>303</v>
      </c>
      <c r="B64" s="2" t="s">
        <v>3946</v>
      </c>
      <c r="C64" s="2" t="s">
        <v>559</v>
      </c>
      <c r="D64" s="2" t="s">
        <v>3947</v>
      </c>
      <c r="E64" s="2" t="s">
        <v>39</v>
      </c>
      <c r="F64" s="2"/>
      <c r="G64" s="2"/>
      <c r="H64" s="2"/>
      <c r="I64" s="3">
        <f t="shared" si="0"/>
        <v>113</v>
      </c>
    </row>
    <row r="65" spans="1:9" ht="24" x14ac:dyDescent="0.3">
      <c r="A65" s="2" t="s">
        <v>303</v>
      </c>
      <c r="B65" s="2" t="s">
        <v>3948</v>
      </c>
      <c r="C65" s="2" t="s">
        <v>1772</v>
      </c>
      <c r="D65" s="2" t="s">
        <v>3949</v>
      </c>
      <c r="E65" s="2" t="s">
        <v>39</v>
      </c>
      <c r="F65" s="2"/>
      <c r="G65" s="2"/>
      <c r="H65" s="2"/>
      <c r="I65" s="3">
        <f t="shared" si="0"/>
        <v>113</v>
      </c>
    </row>
    <row r="66" spans="1:9" ht="24" x14ac:dyDescent="0.3">
      <c r="A66" s="2" t="s">
        <v>303</v>
      </c>
      <c r="B66" s="2" t="s">
        <v>177</v>
      </c>
      <c r="C66" s="2" t="s">
        <v>178</v>
      </c>
      <c r="D66" s="2" t="s">
        <v>3963</v>
      </c>
      <c r="E66" s="2" t="s">
        <v>39</v>
      </c>
      <c r="F66" s="2"/>
      <c r="G66" s="2"/>
      <c r="H66" s="2"/>
      <c r="I66" s="3">
        <f t="shared" ref="I66:I129" si="1">LEN(D66)</f>
        <v>113</v>
      </c>
    </row>
    <row r="67" spans="1:9" ht="24" x14ac:dyDescent="0.3">
      <c r="A67" s="2" t="s">
        <v>303</v>
      </c>
      <c r="B67" s="2" t="s">
        <v>945</v>
      </c>
      <c r="C67" s="2" t="s">
        <v>14</v>
      </c>
      <c r="D67" s="2" t="s">
        <v>3989</v>
      </c>
      <c r="E67" s="2"/>
      <c r="F67" s="2"/>
      <c r="G67" s="2"/>
      <c r="H67" s="2"/>
      <c r="I67" s="3">
        <f t="shared" si="1"/>
        <v>114</v>
      </c>
    </row>
    <row r="68" spans="1:9" ht="24" x14ac:dyDescent="0.3">
      <c r="A68" s="2" t="s">
        <v>303</v>
      </c>
      <c r="B68" s="2" t="s">
        <v>3999</v>
      </c>
      <c r="C68" s="2" t="s">
        <v>544</v>
      </c>
      <c r="D68" s="2" t="s">
        <v>4000</v>
      </c>
      <c r="E68" s="2" t="s">
        <v>39</v>
      </c>
      <c r="F68" s="2"/>
      <c r="G68" s="2"/>
      <c r="H68" s="2"/>
      <c r="I68" s="3">
        <f t="shared" si="1"/>
        <v>114</v>
      </c>
    </row>
    <row r="69" spans="1:9" ht="24" x14ac:dyDescent="0.3">
      <c r="A69" s="2" t="s">
        <v>303</v>
      </c>
      <c r="B69" s="2" t="s">
        <v>4044</v>
      </c>
      <c r="C69" s="2"/>
      <c r="D69" s="2" t="s">
        <v>4045</v>
      </c>
      <c r="E69" s="2" t="s">
        <v>39</v>
      </c>
      <c r="F69" s="2"/>
      <c r="G69" s="2"/>
      <c r="H69" s="2"/>
      <c r="I69" s="3">
        <f t="shared" si="1"/>
        <v>116</v>
      </c>
    </row>
    <row r="70" spans="1:9" ht="24" x14ac:dyDescent="0.3">
      <c r="A70" s="2" t="s">
        <v>303</v>
      </c>
      <c r="B70" s="2" t="s">
        <v>4073</v>
      </c>
      <c r="C70" s="2" t="s">
        <v>500</v>
      </c>
      <c r="D70" s="2" t="s">
        <v>4074</v>
      </c>
      <c r="E70" s="2" t="s">
        <v>39</v>
      </c>
      <c r="F70" s="2"/>
      <c r="G70" s="2"/>
      <c r="H70" s="2" t="s">
        <v>402</v>
      </c>
      <c r="I70" s="3">
        <f t="shared" si="1"/>
        <v>116</v>
      </c>
    </row>
    <row r="71" spans="1:9" ht="24" x14ac:dyDescent="0.3">
      <c r="A71" s="2" t="s">
        <v>303</v>
      </c>
      <c r="B71" s="2" t="s">
        <v>4088</v>
      </c>
      <c r="C71" s="2" t="s">
        <v>491</v>
      </c>
      <c r="D71" s="2" t="s">
        <v>4089</v>
      </c>
      <c r="E71" s="2" t="s">
        <v>39</v>
      </c>
      <c r="F71" s="2"/>
      <c r="G71" s="2"/>
      <c r="H71" s="2"/>
      <c r="I71" s="3">
        <f t="shared" si="1"/>
        <v>117</v>
      </c>
    </row>
    <row r="72" spans="1:9" ht="24" x14ac:dyDescent="0.3">
      <c r="A72" s="2" t="s">
        <v>303</v>
      </c>
      <c r="B72" s="2" t="s">
        <v>4102</v>
      </c>
      <c r="C72" s="2"/>
      <c r="D72" s="2" t="s">
        <v>4103</v>
      </c>
      <c r="E72" s="2" t="s">
        <v>39</v>
      </c>
      <c r="F72" s="2"/>
      <c r="G72" s="2"/>
      <c r="H72" s="2"/>
      <c r="I72" s="3">
        <f t="shared" si="1"/>
        <v>117</v>
      </c>
    </row>
    <row r="73" spans="1:9" ht="24" x14ac:dyDescent="0.3">
      <c r="A73" s="2" t="s">
        <v>303</v>
      </c>
      <c r="B73" s="2" t="s">
        <v>4201</v>
      </c>
      <c r="C73" s="2" t="s">
        <v>253</v>
      </c>
      <c r="D73" s="2" t="s">
        <v>4202</v>
      </c>
      <c r="E73" s="2"/>
      <c r="F73" s="2"/>
      <c r="G73" s="2"/>
      <c r="H73" s="2"/>
      <c r="I73" s="3">
        <f t="shared" si="1"/>
        <v>120</v>
      </c>
    </row>
    <row r="74" spans="1:9" ht="24" x14ac:dyDescent="0.3">
      <c r="A74" s="2" t="s">
        <v>303</v>
      </c>
      <c r="B74" s="2" t="s">
        <v>4353</v>
      </c>
      <c r="C74" s="2"/>
      <c r="D74" s="2" t="s">
        <v>4354</v>
      </c>
      <c r="E74" s="2" t="s">
        <v>39</v>
      </c>
      <c r="F74" s="2"/>
      <c r="G74" s="2"/>
      <c r="H74" s="2" t="s">
        <v>194</v>
      </c>
      <c r="I74" s="3">
        <f t="shared" si="1"/>
        <v>124</v>
      </c>
    </row>
    <row r="75" spans="1:9" ht="24" x14ac:dyDescent="0.3">
      <c r="A75" s="2" t="s">
        <v>303</v>
      </c>
      <c r="B75" s="2" t="s">
        <v>619</v>
      </c>
      <c r="C75" s="2" t="s">
        <v>500</v>
      </c>
      <c r="D75" s="2" t="s">
        <v>4440</v>
      </c>
      <c r="E75" s="2" t="s">
        <v>39</v>
      </c>
      <c r="F75" s="2"/>
      <c r="G75" s="2"/>
      <c r="H75" s="2" t="s">
        <v>402</v>
      </c>
      <c r="I75" s="3">
        <f t="shared" si="1"/>
        <v>127</v>
      </c>
    </row>
    <row r="76" spans="1:9" ht="24" x14ac:dyDescent="0.3">
      <c r="A76" s="2" t="s">
        <v>303</v>
      </c>
      <c r="B76" s="2" t="s">
        <v>177</v>
      </c>
      <c r="C76" s="2" t="s">
        <v>178</v>
      </c>
      <c r="D76" s="2" t="s">
        <v>4469</v>
      </c>
      <c r="E76" s="2" t="s">
        <v>39</v>
      </c>
      <c r="F76" s="2"/>
      <c r="G76" s="2"/>
      <c r="H76" s="2" t="s">
        <v>646</v>
      </c>
      <c r="I76" s="3">
        <f t="shared" si="1"/>
        <v>128</v>
      </c>
    </row>
    <row r="77" spans="1:9" ht="24" x14ac:dyDescent="0.3">
      <c r="A77" s="2" t="s">
        <v>303</v>
      </c>
      <c r="B77" s="2" t="s">
        <v>4496</v>
      </c>
      <c r="C77" s="2" t="s">
        <v>515</v>
      </c>
      <c r="D77" s="2" t="s">
        <v>4497</v>
      </c>
      <c r="E77" s="2" t="s">
        <v>39</v>
      </c>
      <c r="F77" s="2"/>
      <c r="G77" s="2"/>
      <c r="H77" s="2"/>
      <c r="I77" s="3">
        <f t="shared" si="1"/>
        <v>129</v>
      </c>
    </row>
    <row r="78" spans="1:9" ht="24" x14ac:dyDescent="0.3">
      <c r="A78" s="2" t="s">
        <v>303</v>
      </c>
      <c r="B78" s="2" t="s">
        <v>4565</v>
      </c>
      <c r="C78" s="2" t="s">
        <v>389</v>
      </c>
      <c r="D78" s="2" t="s">
        <v>4566</v>
      </c>
      <c r="E78" s="2" t="s">
        <v>39</v>
      </c>
      <c r="F78" s="2"/>
      <c r="G78" s="2"/>
      <c r="H78" s="2"/>
      <c r="I78" s="3">
        <f t="shared" si="1"/>
        <v>131</v>
      </c>
    </row>
    <row r="79" spans="1:9" ht="24" x14ac:dyDescent="0.3">
      <c r="A79" s="2" t="s">
        <v>303</v>
      </c>
      <c r="B79" s="2" t="s">
        <v>4582</v>
      </c>
      <c r="C79" s="2" t="s">
        <v>544</v>
      </c>
      <c r="D79" s="2" t="s">
        <v>4583</v>
      </c>
      <c r="E79" s="2" t="s">
        <v>39</v>
      </c>
      <c r="F79" s="2"/>
      <c r="G79" s="2"/>
      <c r="H79" s="2"/>
      <c r="I79" s="3">
        <f t="shared" si="1"/>
        <v>131</v>
      </c>
    </row>
    <row r="80" spans="1:9" ht="24" x14ac:dyDescent="0.3">
      <c r="A80" s="2" t="s">
        <v>303</v>
      </c>
      <c r="B80" s="2" t="s">
        <v>4601</v>
      </c>
      <c r="C80" s="2" t="s">
        <v>178</v>
      </c>
      <c r="D80" s="2" t="s">
        <v>4602</v>
      </c>
      <c r="E80" s="2" t="s">
        <v>39</v>
      </c>
      <c r="F80" s="2"/>
      <c r="G80" s="2"/>
      <c r="H80" s="2"/>
      <c r="I80" s="3">
        <f t="shared" si="1"/>
        <v>132</v>
      </c>
    </row>
    <row r="81" spans="1:9" ht="24" x14ac:dyDescent="0.3">
      <c r="A81" s="2" t="s">
        <v>303</v>
      </c>
      <c r="B81" s="2" t="s">
        <v>4683</v>
      </c>
      <c r="C81" s="2" t="s">
        <v>515</v>
      </c>
      <c r="D81" s="2" t="s">
        <v>4684</v>
      </c>
      <c r="E81" s="2" t="s">
        <v>39</v>
      </c>
      <c r="F81" s="2"/>
      <c r="G81" s="2"/>
      <c r="H81" s="2"/>
      <c r="I81" s="3">
        <f t="shared" si="1"/>
        <v>135</v>
      </c>
    </row>
    <row r="82" spans="1:9" ht="24" x14ac:dyDescent="0.3">
      <c r="A82" s="2" t="s">
        <v>303</v>
      </c>
      <c r="B82" s="2" t="s">
        <v>4761</v>
      </c>
      <c r="C82" s="2" t="s">
        <v>559</v>
      </c>
      <c r="D82" s="2" t="s">
        <v>4762</v>
      </c>
      <c r="E82" s="2" t="s">
        <v>39</v>
      </c>
      <c r="F82" s="2"/>
      <c r="G82" s="2"/>
      <c r="H82" s="2"/>
      <c r="I82" s="3">
        <f t="shared" si="1"/>
        <v>138</v>
      </c>
    </row>
    <row r="83" spans="1:9" ht="24" x14ac:dyDescent="0.3">
      <c r="A83" s="2" t="s">
        <v>303</v>
      </c>
      <c r="B83" s="2" t="s">
        <v>213</v>
      </c>
      <c r="C83" s="2"/>
      <c r="D83" s="2" t="s">
        <v>4789</v>
      </c>
      <c r="E83" s="2" t="s">
        <v>39</v>
      </c>
      <c r="F83" s="2"/>
      <c r="G83" s="2"/>
      <c r="H83" s="2" t="s">
        <v>216</v>
      </c>
      <c r="I83" s="3">
        <f t="shared" si="1"/>
        <v>138</v>
      </c>
    </row>
    <row r="84" spans="1:9" ht="24" x14ac:dyDescent="0.3">
      <c r="A84" s="2" t="s">
        <v>303</v>
      </c>
      <c r="B84" s="2" t="s">
        <v>3937</v>
      </c>
      <c r="C84" s="2" t="s">
        <v>500</v>
      </c>
      <c r="D84" s="2" t="s">
        <v>4817</v>
      </c>
      <c r="E84" s="2" t="s">
        <v>39</v>
      </c>
      <c r="F84" s="2"/>
      <c r="G84" s="2"/>
      <c r="H84" s="2" t="s">
        <v>402</v>
      </c>
      <c r="I84" s="3">
        <f t="shared" si="1"/>
        <v>139</v>
      </c>
    </row>
    <row r="85" spans="1:9" ht="24" x14ac:dyDescent="0.3">
      <c r="A85" s="2" t="s">
        <v>303</v>
      </c>
      <c r="B85" s="2" t="s">
        <v>4833</v>
      </c>
      <c r="C85" s="2"/>
      <c r="D85" s="2" t="s">
        <v>4834</v>
      </c>
      <c r="E85" s="2" t="s">
        <v>39</v>
      </c>
      <c r="F85" s="2"/>
      <c r="G85" s="2"/>
      <c r="H85" s="2"/>
      <c r="I85" s="3">
        <f t="shared" si="1"/>
        <v>140</v>
      </c>
    </row>
    <row r="86" spans="1:9" ht="24" x14ac:dyDescent="0.3">
      <c r="A86" s="2" t="s">
        <v>303</v>
      </c>
      <c r="B86" s="2" t="s">
        <v>4835</v>
      </c>
      <c r="C86" s="2" t="s">
        <v>1553</v>
      </c>
      <c r="D86" s="2" t="s">
        <v>4836</v>
      </c>
      <c r="E86" s="2" t="s">
        <v>39</v>
      </c>
      <c r="F86" s="2"/>
      <c r="G86" s="2"/>
      <c r="H86" s="2"/>
      <c r="I86" s="3">
        <f t="shared" si="1"/>
        <v>140</v>
      </c>
    </row>
    <row r="87" spans="1:9" ht="24" x14ac:dyDescent="0.3">
      <c r="A87" s="2" t="s">
        <v>303</v>
      </c>
      <c r="B87" s="2" t="s">
        <v>4842</v>
      </c>
      <c r="C87" s="2" t="s">
        <v>329</v>
      </c>
      <c r="D87" s="2" t="s">
        <v>4843</v>
      </c>
      <c r="E87" s="2" t="s">
        <v>39</v>
      </c>
      <c r="F87" s="2"/>
      <c r="G87" s="2"/>
      <c r="H87" s="2" t="s">
        <v>194</v>
      </c>
      <c r="I87" s="3">
        <f t="shared" si="1"/>
        <v>140</v>
      </c>
    </row>
    <row r="88" spans="1:9" ht="24" x14ac:dyDescent="0.3">
      <c r="A88" s="2" t="s">
        <v>303</v>
      </c>
      <c r="B88" s="2" t="s">
        <v>4948</v>
      </c>
      <c r="C88" s="2" t="s">
        <v>240</v>
      </c>
      <c r="D88" s="2" t="s">
        <v>4949</v>
      </c>
      <c r="E88" s="2" t="s">
        <v>1188</v>
      </c>
      <c r="F88" s="2"/>
      <c r="G88" s="2"/>
      <c r="H88" s="2" t="s">
        <v>646</v>
      </c>
      <c r="I88" s="3">
        <f t="shared" si="1"/>
        <v>143</v>
      </c>
    </row>
    <row r="89" spans="1:9" ht="24" x14ac:dyDescent="0.3">
      <c r="A89" s="2" t="s">
        <v>303</v>
      </c>
      <c r="B89" s="2" t="s">
        <v>4998</v>
      </c>
      <c r="C89" s="2" t="s">
        <v>95</v>
      </c>
      <c r="D89" s="2" t="s">
        <v>4999</v>
      </c>
      <c r="E89" s="2" t="s">
        <v>379</v>
      </c>
      <c r="F89" s="2"/>
      <c r="G89" s="2"/>
      <c r="H89" s="2"/>
      <c r="I89" s="3">
        <f t="shared" si="1"/>
        <v>144</v>
      </c>
    </row>
    <row r="90" spans="1:9" ht="24" x14ac:dyDescent="0.3">
      <c r="A90" s="2" t="s">
        <v>303</v>
      </c>
      <c r="B90" s="2" t="s">
        <v>1879</v>
      </c>
      <c r="C90" s="2" t="s">
        <v>1504</v>
      </c>
      <c r="D90" s="2" t="s">
        <v>5039</v>
      </c>
      <c r="E90" s="2" t="s">
        <v>3980</v>
      </c>
      <c r="F90" s="2"/>
      <c r="G90" s="2"/>
      <c r="H90" s="2" t="s">
        <v>194</v>
      </c>
      <c r="I90" s="3">
        <f t="shared" si="1"/>
        <v>146</v>
      </c>
    </row>
    <row r="91" spans="1:9" ht="24" x14ac:dyDescent="0.3">
      <c r="A91" s="2" t="s">
        <v>303</v>
      </c>
      <c r="B91" s="2" t="s">
        <v>5096</v>
      </c>
      <c r="C91" s="2"/>
      <c r="D91" s="2" t="s">
        <v>5097</v>
      </c>
      <c r="E91" s="2" t="s">
        <v>39</v>
      </c>
      <c r="F91" s="2"/>
      <c r="G91" s="2"/>
      <c r="H91" s="2"/>
      <c r="I91" s="3">
        <f t="shared" si="1"/>
        <v>148</v>
      </c>
    </row>
    <row r="92" spans="1:9" ht="24" x14ac:dyDescent="0.3">
      <c r="A92" s="2" t="s">
        <v>303</v>
      </c>
      <c r="B92" s="2" t="s">
        <v>5187</v>
      </c>
      <c r="C92" s="2" t="s">
        <v>535</v>
      </c>
      <c r="D92" s="2" t="s">
        <v>5188</v>
      </c>
      <c r="E92" s="2" t="s">
        <v>39</v>
      </c>
      <c r="F92" s="2"/>
      <c r="G92" s="2"/>
      <c r="H92" s="2" t="s">
        <v>537</v>
      </c>
      <c r="I92" s="3">
        <f t="shared" si="1"/>
        <v>150</v>
      </c>
    </row>
    <row r="93" spans="1:9" ht="24" x14ac:dyDescent="0.3">
      <c r="A93" s="2" t="s">
        <v>303</v>
      </c>
      <c r="B93" s="2" t="s">
        <v>5202</v>
      </c>
      <c r="C93" s="2" t="s">
        <v>1255</v>
      </c>
      <c r="D93" s="2" t="s">
        <v>5203</v>
      </c>
      <c r="E93" s="2" t="s">
        <v>39</v>
      </c>
      <c r="F93" s="2"/>
      <c r="G93" s="2"/>
      <c r="H93" s="2"/>
      <c r="I93" s="3">
        <f t="shared" si="1"/>
        <v>151</v>
      </c>
    </row>
    <row r="94" spans="1:9" ht="24" x14ac:dyDescent="0.3">
      <c r="A94" s="2" t="s">
        <v>303</v>
      </c>
      <c r="B94" s="2" t="s">
        <v>5246</v>
      </c>
      <c r="C94" s="2" t="s">
        <v>240</v>
      </c>
      <c r="D94" s="2" t="s">
        <v>5247</v>
      </c>
      <c r="E94" s="2" t="s">
        <v>2693</v>
      </c>
      <c r="F94" s="2"/>
      <c r="G94" s="2"/>
      <c r="H94" s="2"/>
      <c r="I94" s="3">
        <f t="shared" si="1"/>
        <v>153</v>
      </c>
    </row>
    <row r="95" spans="1:9" ht="24" x14ac:dyDescent="0.3">
      <c r="A95" s="2" t="s">
        <v>303</v>
      </c>
      <c r="B95" s="2" t="s">
        <v>5295</v>
      </c>
      <c r="C95" s="2" t="s">
        <v>422</v>
      </c>
      <c r="D95" s="2" t="s">
        <v>5296</v>
      </c>
      <c r="E95" s="2" t="s">
        <v>39</v>
      </c>
      <c r="F95" s="2"/>
      <c r="G95" s="2"/>
      <c r="H95" s="2"/>
      <c r="I95" s="3">
        <f t="shared" si="1"/>
        <v>154</v>
      </c>
    </row>
    <row r="96" spans="1:9" ht="24" x14ac:dyDescent="0.3">
      <c r="A96" s="2" t="s">
        <v>303</v>
      </c>
      <c r="B96" s="2" t="s">
        <v>5248</v>
      </c>
      <c r="C96" s="2" t="s">
        <v>329</v>
      </c>
      <c r="D96" s="2" t="s">
        <v>5317</v>
      </c>
      <c r="E96" s="2" t="s">
        <v>39</v>
      </c>
      <c r="F96" s="2"/>
      <c r="G96" s="2"/>
      <c r="H96" s="2"/>
      <c r="I96" s="3">
        <f t="shared" si="1"/>
        <v>155</v>
      </c>
    </row>
    <row r="97" spans="1:9" ht="24" x14ac:dyDescent="0.3">
      <c r="A97" s="2" t="s">
        <v>303</v>
      </c>
      <c r="B97" s="2" t="s">
        <v>5319</v>
      </c>
      <c r="C97" s="2" t="s">
        <v>5320</v>
      </c>
      <c r="D97" s="2" t="s">
        <v>5321</v>
      </c>
      <c r="E97" s="2" t="s">
        <v>39</v>
      </c>
      <c r="F97" s="2"/>
      <c r="G97" s="2"/>
      <c r="H97" s="2"/>
      <c r="I97" s="3">
        <f t="shared" si="1"/>
        <v>155</v>
      </c>
    </row>
    <row r="98" spans="1:9" ht="24" x14ac:dyDescent="0.3">
      <c r="A98" s="2" t="s">
        <v>303</v>
      </c>
      <c r="B98" s="2" t="s">
        <v>5368</v>
      </c>
      <c r="C98" s="2" t="s">
        <v>535</v>
      </c>
      <c r="D98" s="2" t="s">
        <v>5369</v>
      </c>
      <c r="E98" s="2" t="s">
        <v>39</v>
      </c>
      <c r="F98" s="2"/>
      <c r="G98" s="2"/>
      <c r="H98" s="2" t="s">
        <v>537</v>
      </c>
      <c r="I98" s="3">
        <f t="shared" si="1"/>
        <v>157</v>
      </c>
    </row>
    <row r="99" spans="1:9" ht="24" x14ac:dyDescent="0.3">
      <c r="A99" s="2" t="s">
        <v>303</v>
      </c>
      <c r="B99" s="2" t="s">
        <v>3937</v>
      </c>
      <c r="C99" s="2" t="s">
        <v>500</v>
      </c>
      <c r="D99" s="2" t="s">
        <v>5374</v>
      </c>
      <c r="E99" s="2" t="s">
        <v>39</v>
      </c>
      <c r="F99" s="2"/>
      <c r="G99" s="2"/>
      <c r="H99" s="2" t="s">
        <v>402</v>
      </c>
      <c r="I99" s="3">
        <f t="shared" si="1"/>
        <v>157</v>
      </c>
    </row>
    <row r="100" spans="1:9" ht="24" x14ac:dyDescent="0.3">
      <c r="A100" s="2" t="s">
        <v>303</v>
      </c>
      <c r="B100" s="2" t="s">
        <v>5385</v>
      </c>
      <c r="C100" s="2" t="s">
        <v>535</v>
      </c>
      <c r="D100" s="2" t="s">
        <v>5386</v>
      </c>
      <c r="E100" s="2" t="s">
        <v>39</v>
      </c>
      <c r="F100" s="2"/>
      <c r="G100" s="2"/>
      <c r="H100" s="2" t="s">
        <v>537</v>
      </c>
      <c r="I100" s="3">
        <f t="shared" si="1"/>
        <v>158</v>
      </c>
    </row>
    <row r="101" spans="1:9" ht="24" x14ac:dyDescent="0.3">
      <c r="A101" s="2" t="s">
        <v>303</v>
      </c>
      <c r="B101" s="2" t="s">
        <v>5394</v>
      </c>
      <c r="C101" s="2"/>
      <c r="D101" s="2" t="s">
        <v>5395</v>
      </c>
      <c r="E101" s="2" t="s">
        <v>39</v>
      </c>
      <c r="F101" s="2"/>
      <c r="G101" s="2"/>
      <c r="H101" s="2"/>
      <c r="I101" s="3">
        <f t="shared" si="1"/>
        <v>159</v>
      </c>
    </row>
    <row r="102" spans="1:9" ht="24" x14ac:dyDescent="0.3">
      <c r="A102" s="2" t="s">
        <v>303</v>
      </c>
      <c r="B102" s="2" t="s">
        <v>5479</v>
      </c>
      <c r="C102" s="2"/>
      <c r="D102" s="2" t="s">
        <v>5480</v>
      </c>
      <c r="E102" s="2" t="s">
        <v>39</v>
      </c>
      <c r="F102" s="2"/>
      <c r="G102" s="2"/>
      <c r="H102" s="2"/>
      <c r="I102" s="3">
        <f t="shared" si="1"/>
        <v>164</v>
      </c>
    </row>
    <row r="103" spans="1:9" ht="24" x14ac:dyDescent="0.3">
      <c r="A103" s="2" t="s">
        <v>303</v>
      </c>
      <c r="B103" s="2" t="s">
        <v>5489</v>
      </c>
      <c r="C103" s="2" t="s">
        <v>329</v>
      </c>
      <c r="D103" s="2" t="s">
        <v>5490</v>
      </c>
      <c r="E103" s="2" t="s">
        <v>39</v>
      </c>
      <c r="F103" s="2"/>
      <c r="G103" s="2"/>
      <c r="H103" s="2"/>
      <c r="I103" s="3">
        <f t="shared" si="1"/>
        <v>164</v>
      </c>
    </row>
    <row r="104" spans="1:9" ht="24" x14ac:dyDescent="0.3">
      <c r="A104" s="2" t="s">
        <v>303</v>
      </c>
      <c r="B104" s="2" t="s">
        <v>5507</v>
      </c>
      <c r="C104" s="2" t="s">
        <v>590</v>
      </c>
      <c r="D104" s="2" t="s">
        <v>5508</v>
      </c>
      <c r="E104" s="2" t="s">
        <v>211</v>
      </c>
      <c r="F104" s="2"/>
      <c r="G104" s="2"/>
      <c r="H104" s="2"/>
      <c r="I104" s="3">
        <f t="shared" si="1"/>
        <v>165</v>
      </c>
    </row>
    <row r="105" spans="1:9" ht="24" x14ac:dyDescent="0.3">
      <c r="A105" s="2" t="s">
        <v>303</v>
      </c>
      <c r="B105" s="2" t="s">
        <v>5512</v>
      </c>
      <c r="C105" s="2" t="s">
        <v>329</v>
      </c>
      <c r="D105" s="2" t="s">
        <v>5513</v>
      </c>
      <c r="E105" s="2" t="s">
        <v>39</v>
      </c>
      <c r="F105" s="2"/>
      <c r="G105" s="2"/>
      <c r="H105" s="2"/>
      <c r="I105" s="3">
        <f t="shared" si="1"/>
        <v>165</v>
      </c>
    </row>
    <row r="106" spans="1:9" ht="24" x14ac:dyDescent="0.3">
      <c r="A106" s="2" t="s">
        <v>303</v>
      </c>
      <c r="B106" s="2" t="s">
        <v>5517</v>
      </c>
      <c r="C106" s="2" t="s">
        <v>113</v>
      </c>
      <c r="D106" s="2" t="s">
        <v>9414</v>
      </c>
      <c r="E106" s="2" t="s">
        <v>39</v>
      </c>
      <c r="F106" s="2" t="s">
        <v>350</v>
      </c>
      <c r="G106" s="2" t="s">
        <v>1717</v>
      </c>
      <c r="H106" s="2"/>
      <c r="I106" s="3">
        <f t="shared" si="1"/>
        <v>163</v>
      </c>
    </row>
    <row r="107" spans="1:9" ht="24" x14ac:dyDescent="0.3">
      <c r="A107" s="2" t="s">
        <v>303</v>
      </c>
      <c r="B107" s="2" t="s">
        <v>5536</v>
      </c>
      <c r="C107" s="2" t="s">
        <v>535</v>
      </c>
      <c r="D107" s="2" t="s">
        <v>5537</v>
      </c>
      <c r="E107" s="2" t="s">
        <v>39</v>
      </c>
      <c r="F107" s="2"/>
      <c r="G107" s="2"/>
      <c r="H107" s="2" t="s">
        <v>537</v>
      </c>
      <c r="I107" s="3">
        <f t="shared" si="1"/>
        <v>166</v>
      </c>
    </row>
    <row r="108" spans="1:9" ht="24" x14ac:dyDescent="0.3">
      <c r="A108" s="2" t="s">
        <v>303</v>
      </c>
      <c r="B108" s="2" t="s">
        <v>5571</v>
      </c>
      <c r="C108" s="2" t="s">
        <v>2057</v>
      </c>
      <c r="D108" s="2" t="s">
        <v>5572</v>
      </c>
      <c r="E108" s="2" t="s">
        <v>39</v>
      </c>
      <c r="F108" s="2"/>
      <c r="G108" s="2"/>
      <c r="H108" s="2" t="s">
        <v>646</v>
      </c>
      <c r="I108" s="3">
        <f t="shared" si="1"/>
        <v>168</v>
      </c>
    </row>
    <row r="109" spans="1:9" ht="24" x14ac:dyDescent="0.3">
      <c r="A109" s="2" t="s">
        <v>303</v>
      </c>
      <c r="B109" s="2" t="s">
        <v>5582</v>
      </c>
      <c r="C109" s="2"/>
      <c r="D109" s="2" t="s">
        <v>5583</v>
      </c>
      <c r="E109" s="2"/>
      <c r="F109" s="2"/>
      <c r="G109" s="2"/>
      <c r="H109" s="2"/>
      <c r="I109" s="3">
        <f t="shared" si="1"/>
        <v>168</v>
      </c>
    </row>
    <row r="110" spans="1:9" ht="24" x14ac:dyDescent="0.3">
      <c r="A110" s="2" t="s">
        <v>303</v>
      </c>
      <c r="B110" s="2" t="s">
        <v>5590</v>
      </c>
      <c r="C110" s="2" t="s">
        <v>544</v>
      </c>
      <c r="D110" s="2" t="s">
        <v>5591</v>
      </c>
      <c r="E110" s="2" t="s">
        <v>39</v>
      </c>
      <c r="F110" s="2"/>
      <c r="G110" s="2"/>
      <c r="H110" s="2"/>
      <c r="I110" s="3">
        <f t="shared" si="1"/>
        <v>169</v>
      </c>
    </row>
    <row r="111" spans="1:9" ht="24" x14ac:dyDescent="0.3">
      <c r="A111" s="2" t="s">
        <v>303</v>
      </c>
      <c r="B111" s="2" t="s">
        <v>5632</v>
      </c>
      <c r="C111" s="2" t="s">
        <v>178</v>
      </c>
      <c r="D111" s="2" t="s">
        <v>5633</v>
      </c>
      <c r="E111" s="2" t="s">
        <v>39</v>
      </c>
      <c r="F111" s="2"/>
      <c r="G111" s="2"/>
      <c r="H111" s="2"/>
      <c r="I111" s="3">
        <f t="shared" si="1"/>
        <v>171</v>
      </c>
    </row>
    <row r="112" spans="1:9" ht="24" x14ac:dyDescent="0.3">
      <c r="A112" s="2" t="s">
        <v>303</v>
      </c>
      <c r="B112" s="2" t="s">
        <v>5644</v>
      </c>
      <c r="C112" s="2" t="s">
        <v>130</v>
      </c>
      <c r="D112" s="2" t="s">
        <v>9415</v>
      </c>
      <c r="E112" s="2"/>
      <c r="F112" s="2" t="s">
        <v>1778</v>
      </c>
      <c r="G112" s="2" t="s">
        <v>1717</v>
      </c>
      <c r="H112" s="2"/>
      <c r="I112" s="3">
        <f t="shared" si="1"/>
        <v>170</v>
      </c>
    </row>
    <row r="113" spans="1:9" ht="24" x14ac:dyDescent="0.3">
      <c r="A113" s="2" t="s">
        <v>303</v>
      </c>
      <c r="B113" s="2" t="s">
        <v>5645</v>
      </c>
      <c r="C113" s="2" t="s">
        <v>4696</v>
      </c>
      <c r="D113" s="2" t="s">
        <v>5646</v>
      </c>
      <c r="E113" s="2" t="s">
        <v>39</v>
      </c>
      <c r="F113" s="2"/>
      <c r="G113" s="2"/>
      <c r="H113" s="2"/>
      <c r="I113" s="3">
        <f t="shared" si="1"/>
        <v>172</v>
      </c>
    </row>
    <row r="114" spans="1:9" ht="24" x14ac:dyDescent="0.3">
      <c r="A114" s="2" t="s">
        <v>303</v>
      </c>
      <c r="B114" s="2" t="s">
        <v>5651</v>
      </c>
      <c r="C114" s="2" t="s">
        <v>329</v>
      </c>
      <c r="D114" s="2" t="s">
        <v>5652</v>
      </c>
      <c r="E114" s="2" t="s">
        <v>39</v>
      </c>
      <c r="F114" s="2"/>
      <c r="G114" s="2"/>
      <c r="H114" s="2"/>
      <c r="I114" s="3">
        <f t="shared" si="1"/>
        <v>172</v>
      </c>
    </row>
    <row r="115" spans="1:9" ht="24" x14ac:dyDescent="0.3">
      <c r="A115" s="2" t="s">
        <v>303</v>
      </c>
      <c r="B115" s="2" t="s">
        <v>5657</v>
      </c>
      <c r="C115" s="2" t="s">
        <v>50</v>
      </c>
      <c r="D115" s="2" t="s">
        <v>5658</v>
      </c>
      <c r="E115" s="2" t="s">
        <v>39</v>
      </c>
      <c r="F115" s="2"/>
      <c r="G115" s="2"/>
      <c r="H115" s="2"/>
      <c r="I115" s="3">
        <f t="shared" si="1"/>
        <v>173</v>
      </c>
    </row>
    <row r="116" spans="1:9" ht="24" x14ac:dyDescent="0.3">
      <c r="A116" s="2" t="s">
        <v>303</v>
      </c>
      <c r="B116" s="2" t="s">
        <v>5663</v>
      </c>
      <c r="C116" s="2" t="s">
        <v>113</v>
      </c>
      <c r="D116" s="2" t="s">
        <v>9416</v>
      </c>
      <c r="E116" s="2" t="s">
        <v>39</v>
      </c>
      <c r="F116" s="2" t="s">
        <v>4117</v>
      </c>
      <c r="G116" s="2" t="s">
        <v>1717</v>
      </c>
      <c r="H116" s="2"/>
      <c r="I116" s="3">
        <f t="shared" si="1"/>
        <v>171</v>
      </c>
    </row>
    <row r="117" spans="1:9" ht="24" x14ac:dyDescent="0.3">
      <c r="A117" s="2" t="s">
        <v>303</v>
      </c>
      <c r="B117" s="2" t="s">
        <v>5675</v>
      </c>
      <c r="C117" s="2" t="s">
        <v>559</v>
      </c>
      <c r="D117" s="2" t="s">
        <v>5676</v>
      </c>
      <c r="E117" s="2" t="s">
        <v>39</v>
      </c>
      <c r="F117" s="2"/>
      <c r="G117" s="2"/>
      <c r="H117" s="2"/>
      <c r="I117" s="3">
        <f t="shared" si="1"/>
        <v>174</v>
      </c>
    </row>
    <row r="118" spans="1:9" ht="24" x14ac:dyDescent="0.3">
      <c r="A118" s="2" t="s">
        <v>303</v>
      </c>
      <c r="B118" s="2" t="s">
        <v>5712</v>
      </c>
      <c r="C118" s="2" t="s">
        <v>559</v>
      </c>
      <c r="D118" s="2" t="s">
        <v>5713</v>
      </c>
      <c r="E118" s="2" t="s">
        <v>5714</v>
      </c>
      <c r="F118" s="2"/>
      <c r="G118" s="2"/>
      <c r="H118" s="2"/>
      <c r="I118" s="3">
        <f t="shared" si="1"/>
        <v>176</v>
      </c>
    </row>
    <row r="119" spans="1:9" ht="24" x14ac:dyDescent="0.3">
      <c r="A119" s="2" t="s">
        <v>303</v>
      </c>
      <c r="B119" s="2" t="s">
        <v>5739</v>
      </c>
      <c r="C119" s="2"/>
      <c r="D119" s="2" t="s">
        <v>5740</v>
      </c>
      <c r="E119" s="2" t="s">
        <v>39</v>
      </c>
      <c r="F119" s="2"/>
      <c r="G119" s="2"/>
      <c r="H119" s="2" t="s">
        <v>834</v>
      </c>
      <c r="I119" s="3">
        <f t="shared" si="1"/>
        <v>177</v>
      </c>
    </row>
    <row r="120" spans="1:9" ht="24" x14ac:dyDescent="0.3">
      <c r="A120" s="2" t="s">
        <v>303</v>
      </c>
      <c r="B120" s="2" t="s">
        <v>5755</v>
      </c>
      <c r="C120" s="2" t="s">
        <v>544</v>
      </c>
      <c r="D120" s="2" t="s">
        <v>5756</v>
      </c>
      <c r="E120" s="2" t="s">
        <v>39</v>
      </c>
      <c r="F120" s="2"/>
      <c r="G120" s="2"/>
      <c r="H120" s="2"/>
      <c r="I120" s="3">
        <f t="shared" si="1"/>
        <v>178</v>
      </c>
    </row>
    <row r="121" spans="1:9" ht="24" x14ac:dyDescent="0.3">
      <c r="A121" s="2" t="s">
        <v>303</v>
      </c>
      <c r="B121" s="2" t="s">
        <v>5768</v>
      </c>
      <c r="C121" s="2" t="s">
        <v>5769</v>
      </c>
      <c r="D121" s="2" t="s">
        <v>5770</v>
      </c>
      <c r="E121" s="2" t="s">
        <v>211</v>
      </c>
      <c r="F121" s="2"/>
      <c r="G121" s="2"/>
      <c r="H121" s="2"/>
      <c r="I121" s="3">
        <f t="shared" si="1"/>
        <v>178</v>
      </c>
    </row>
    <row r="122" spans="1:9" ht="24" x14ac:dyDescent="0.3">
      <c r="A122" s="2" t="s">
        <v>303</v>
      </c>
      <c r="B122" s="2" t="s">
        <v>5852</v>
      </c>
      <c r="C122" s="2" t="s">
        <v>5853</v>
      </c>
      <c r="D122" s="2" t="s">
        <v>5854</v>
      </c>
      <c r="E122" s="2" t="s">
        <v>242</v>
      </c>
      <c r="F122" s="2"/>
      <c r="G122" s="2"/>
      <c r="H122" s="2"/>
      <c r="I122" s="3">
        <f t="shared" si="1"/>
        <v>182</v>
      </c>
    </row>
    <row r="123" spans="1:9" ht="24" x14ac:dyDescent="0.3">
      <c r="A123" s="2" t="s">
        <v>303</v>
      </c>
      <c r="B123" s="2" t="s">
        <v>5855</v>
      </c>
      <c r="C123" s="2" t="s">
        <v>144</v>
      </c>
      <c r="D123" s="2" t="s">
        <v>5856</v>
      </c>
      <c r="E123" s="2" t="s">
        <v>39</v>
      </c>
      <c r="F123" s="2"/>
      <c r="G123" s="2"/>
      <c r="H123" s="2"/>
      <c r="I123" s="3">
        <f t="shared" si="1"/>
        <v>182</v>
      </c>
    </row>
    <row r="124" spans="1:9" ht="24" x14ac:dyDescent="0.3">
      <c r="A124" s="2" t="s">
        <v>303</v>
      </c>
      <c r="B124" s="2" t="s">
        <v>5896</v>
      </c>
      <c r="C124" s="2" t="s">
        <v>389</v>
      </c>
      <c r="D124" s="2" t="s">
        <v>5897</v>
      </c>
      <c r="E124" s="2" t="s">
        <v>39</v>
      </c>
      <c r="F124" s="2"/>
      <c r="G124" s="2"/>
      <c r="H124" s="2"/>
      <c r="I124" s="3">
        <f t="shared" si="1"/>
        <v>184</v>
      </c>
    </row>
    <row r="125" spans="1:9" ht="24" x14ac:dyDescent="0.3">
      <c r="A125" s="2" t="s">
        <v>303</v>
      </c>
      <c r="B125" s="2" t="s">
        <v>5917</v>
      </c>
      <c r="C125" s="2"/>
      <c r="D125" s="2" t="s">
        <v>5918</v>
      </c>
      <c r="E125" s="2" t="s">
        <v>39</v>
      </c>
      <c r="F125" s="2"/>
      <c r="G125" s="2"/>
      <c r="H125" s="2" t="s">
        <v>216</v>
      </c>
      <c r="I125" s="3">
        <f t="shared" si="1"/>
        <v>185</v>
      </c>
    </row>
    <row r="126" spans="1:9" ht="24" x14ac:dyDescent="0.3">
      <c r="A126" s="2" t="s">
        <v>303</v>
      </c>
      <c r="B126" s="2" t="s">
        <v>5932</v>
      </c>
      <c r="C126" s="2"/>
      <c r="D126" s="2" t="s">
        <v>5933</v>
      </c>
      <c r="E126" s="2" t="s">
        <v>39</v>
      </c>
      <c r="F126" s="2"/>
      <c r="G126" s="2"/>
      <c r="H126" s="2"/>
      <c r="I126" s="3">
        <f t="shared" si="1"/>
        <v>186</v>
      </c>
    </row>
    <row r="127" spans="1:9" ht="24" x14ac:dyDescent="0.3">
      <c r="A127" s="2" t="s">
        <v>303</v>
      </c>
      <c r="B127" s="2" t="s">
        <v>5941</v>
      </c>
      <c r="C127" s="2" t="s">
        <v>491</v>
      </c>
      <c r="D127" s="2" t="s">
        <v>5942</v>
      </c>
      <c r="E127" s="2"/>
      <c r="F127" s="2"/>
      <c r="G127" s="2"/>
      <c r="H127" s="2"/>
      <c r="I127" s="3">
        <f t="shared" si="1"/>
        <v>186</v>
      </c>
    </row>
    <row r="128" spans="1:9" ht="24" x14ac:dyDescent="0.3">
      <c r="A128" s="2" t="s">
        <v>303</v>
      </c>
      <c r="B128" s="2" t="s">
        <v>5960</v>
      </c>
      <c r="C128" s="2" t="s">
        <v>422</v>
      </c>
      <c r="D128" s="2" t="s">
        <v>5961</v>
      </c>
      <c r="E128" s="2" t="s">
        <v>39</v>
      </c>
      <c r="F128" s="2"/>
      <c r="G128" s="2"/>
      <c r="H128" s="2"/>
      <c r="I128" s="3">
        <f t="shared" si="1"/>
        <v>188</v>
      </c>
    </row>
    <row r="129" spans="1:9" ht="24" x14ac:dyDescent="0.3">
      <c r="A129" s="2" t="s">
        <v>303</v>
      </c>
      <c r="B129" s="2" t="s">
        <v>6023</v>
      </c>
      <c r="C129" s="2"/>
      <c r="D129" s="2" t="s">
        <v>6024</v>
      </c>
      <c r="E129" s="2" t="s">
        <v>39</v>
      </c>
      <c r="F129" s="2"/>
      <c r="G129" s="2"/>
      <c r="H129" s="2"/>
      <c r="I129" s="3">
        <f t="shared" si="1"/>
        <v>192</v>
      </c>
    </row>
    <row r="130" spans="1:9" ht="24" x14ac:dyDescent="0.3">
      <c r="A130" s="2" t="s">
        <v>303</v>
      </c>
      <c r="B130" s="2" t="s">
        <v>6025</v>
      </c>
      <c r="C130" s="2" t="s">
        <v>6026</v>
      </c>
      <c r="D130" s="2" t="s">
        <v>6027</v>
      </c>
      <c r="E130" s="2" t="s">
        <v>39</v>
      </c>
      <c r="F130" s="2"/>
      <c r="G130" s="2"/>
      <c r="H130" s="2" t="s">
        <v>194</v>
      </c>
      <c r="I130" s="3">
        <f t="shared" ref="I130:I193" si="2">LEN(D130)</f>
        <v>192</v>
      </c>
    </row>
    <row r="131" spans="1:9" ht="24" x14ac:dyDescent="0.3">
      <c r="A131" s="2" t="s">
        <v>303</v>
      </c>
      <c r="B131" s="2" t="s">
        <v>6034</v>
      </c>
      <c r="C131" s="2" t="s">
        <v>329</v>
      </c>
      <c r="D131" s="2" t="s">
        <v>6035</v>
      </c>
      <c r="E131" s="2" t="s">
        <v>39</v>
      </c>
      <c r="F131" s="2"/>
      <c r="G131" s="2"/>
      <c r="H131" s="2"/>
      <c r="I131" s="3">
        <f t="shared" si="2"/>
        <v>193</v>
      </c>
    </row>
    <row r="132" spans="1:9" ht="24" x14ac:dyDescent="0.3">
      <c r="A132" s="2" t="s">
        <v>303</v>
      </c>
      <c r="B132" s="2" t="s">
        <v>6058</v>
      </c>
      <c r="C132" s="2" t="s">
        <v>301</v>
      </c>
      <c r="D132" s="2" t="s">
        <v>9417</v>
      </c>
      <c r="E132" s="2" t="s">
        <v>39</v>
      </c>
      <c r="F132" s="2" t="s">
        <v>350</v>
      </c>
      <c r="G132" s="2" t="s">
        <v>350</v>
      </c>
      <c r="H132" s="2" t="s">
        <v>216</v>
      </c>
      <c r="I132" s="3">
        <f t="shared" si="2"/>
        <v>192</v>
      </c>
    </row>
    <row r="133" spans="1:9" ht="24" x14ac:dyDescent="0.3">
      <c r="A133" s="2" t="s">
        <v>303</v>
      </c>
      <c r="B133" s="2" t="s">
        <v>6079</v>
      </c>
      <c r="C133" s="2" t="s">
        <v>95</v>
      </c>
      <c r="D133" s="2" t="s">
        <v>6080</v>
      </c>
      <c r="E133" s="2" t="s">
        <v>39</v>
      </c>
      <c r="F133" s="2"/>
      <c r="G133" s="2"/>
      <c r="H133" s="2" t="s">
        <v>194</v>
      </c>
      <c r="I133" s="3">
        <f t="shared" si="2"/>
        <v>196</v>
      </c>
    </row>
    <row r="134" spans="1:9" ht="24" x14ac:dyDescent="0.3">
      <c r="A134" s="2" t="s">
        <v>303</v>
      </c>
      <c r="B134" s="2" t="s">
        <v>6081</v>
      </c>
      <c r="C134" s="2" t="s">
        <v>81</v>
      </c>
      <c r="D134" s="2" t="s">
        <v>9418</v>
      </c>
      <c r="E134" s="2" t="s">
        <v>39</v>
      </c>
      <c r="F134" s="2" t="s">
        <v>350</v>
      </c>
      <c r="G134" s="2" t="s">
        <v>1717</v>
      </c>
      <c r="H134" s="2"/>
      <c r="I134" s="3">
        <f t="shared" si="2"/>
        <v>194</v>
      </c>
    </row>
    <row r="135" spans="1:9" ht="24" x14ac:dyDescent="0.3">
      <c r="A135" s="2" t="s">
        <v>303</v>
      </c>
      <c r="B135" s="2" t="s">
        <v>1875</v>
      </c>
      <c r="C135" s="2" t="s">
        <v>6098</v>
      </c>
      <c r="D135" s="2" t="s">
        <v>9419</v>
      </c>
      <c r="E135" s="2" t="s">
        <v>39</v>
      </c>
      <c r="F135" s="2" t="s">
        <v>4117</v>
      </c>
      <c r="G135" s="2" t="s">
        <v>1717</v>
      </c>
      <c r="H135" s="2"/>
      <c r="I135" s="3">
        <f t="shared" si="2"/>
        <v>195</v>
      </c>
    </row>
    <row r="136" spans="1:9" ht="24" x14ac:dyDescent="0.3">
      <c r="A136" s="2" t="s">
        <v>303</v>
      </c>
      <c r="B136" s="2" t="s">
        <v>6106</v>
      </c>
      <c r="C136" s="2" t="s">
        <v>1255</v>
      </c>
      <c r="D136" s="2" t="s">
        <v>6107</v>
      </c>
      <c r="E136" s="2" t="s">
        <v>39</v>
      </c>
      <c r="F136" s="2"/>
      <c r="G136" s="2"/>
      <c r="H136" s="2"/>
      <c r="I136" s="3">
        <f t="shared" si="2"/>
        <v>198</v>
      </c>
    </row>
    <row r="137" spans="1:9" ht="36" x14ac:dyDescent="0.3">
      <c r="A137" s="2" t="s">
        <v>303</v>
      </c>
      <c r="B137" s="2" t="s">
        <v>6111</v>
      </c>
      <c r="C137" s="2" t="s">
        <v>535</v>
      </c>
      <c r="D137" s="2" t="s">
        <v>6112</v>
      </c>
      <c r="E137" s="2" t="s">
        <v>39</v>
      </c>
      <c r="F137" s="2"/>
      <c r="G137" s="2"/>
      <c r="H137" s="2" t="s">
        <v>537</v>
      </c>
      <c r="I137" s="3">
        <f t="shared" si="2"/>
        <v>198</v>
      </c>
    </row>
    <row r="138" spans="1:9" ht="24" x14ac:dyDescent="0.3">
      <c r="A138" s="2" t="s">
        <v>303</v>
      </c>
      <c r="B138" s="2" t="s">
        <v>6122</v>
      </c>
      <c r="C138" s="2"/>
      <c r="D138" s="2" t="s">
        <v>6123</v>
      </c>
      <c r="E138" s="2" t="s">
        <v>39</v>
      </c>
      <c r="F138" s="2"/>
      <c r="G138" s="2"/>
      <c r="H138" s="2"/>
      <c r="I138" s="3">
        <f t="shared" si="2"/>
        <v>199</v>
      </c>
    </row>
    <row r="139" spans="1:9" ht="24" x14ac:dyDescent="0.3">
      <c r="A139" s="2" t="s">
        <v>303</v>
      </c>
      <c r="B139" s="2" t="s">
        <v>6144</v>
      </c>
      <c r="C139" s="2" t="s">
        <v>6145</v>
      </c>
      <c r="D139" s="2" t="s">
        <v>6146</v>
      </c>
      <c r="E139" s="2" t="s">
        <v>39</v>
      </c>
      <c r="F139" s="2"/>
      <c r="G139" s="2"/>
      <c r="H139" s="2"/>
      <c r="I139" s="3">
        <f t="shared" si="2"/>
        <v>200</v>
      </c>
    </row>
    <row r="140" spans="1:9" ht="24" x14ac:dyDescent="0.3">
      <c r="A140" s="2" t="s">
        <v>303</v>
      </c>
      <c r="B140" s="2" t="s">
        <v>6156</v>
      </c>
      <c r="C140" s="2" t="s">
        <v>896</v>
      </c>
      <c r="D140" s="2" t="s">
        <v>8726</v>
      </c>
      <c r="E140" s="2" t="s">
        <v>2136</v>
      </c>
      <c r="F140" s="2"/>
      <c r="G140" s="2"/>
      <c r="H140" s="2" t="s">
        <v>898</v>
      </c>
      <c r="I140" s="3">
        <f t="shared" si="2"/>
        <v>201</v>
      </c>
    </row>
    <row r="141" spans="1:9" ht="24" x14ac:dyDescent="0.3">
      <c r="A141" s="2" t="s">
        <v>303</v>
      </c>
      <c r="B141" s="2" t="s">
        <v>6162</v>
      </c>
      <c r="C141" s="2"/>
      <c r="D141" s="2" t="s">
        <v>6163</v>
      </c>
      <c r="E141" s="2" t="s">
        <v>39</v>
      </c>
      <c r="F141" s="2"/>
      <c r="G141" s="2"/>
      <c r="H141" s="2"/>
      <c r="I141" s="3">
        <f t="shared" si="2"/>
        <v>202</v>
      </c>
    </row>
    <row r="142" spans="1:9" ht="24" x14ac:dyDescent="0.3">
      <c r="A142" s="2" t="s">
        <v>303</v>
      </c>
      <c r="B142" s="2" t="s">
        <v>6218</v>
      </c>
      <c r="C142" s="2"/>
      <c r="D142" s="2" t="s">
        <v>6219</v>
      </c>
      <c r="E142" s="2" t="s">
        <v>39</v>
      </c>
      <c r="F142" s="2"/>
      <c r="G142" s="2"/>
      <c r="H142" s="2" t="s">
        <v>194</v>
      </c>
      <c r="I142" s="3">
        <f t="shared" si="2"/>
        <v>206</v>
      </c>
    </row>
    <row r="143" spans="1:9" ht="36" x14ac:dyDescent="0.3">
      <c r="A143" s="2" t="s">
        <v>303</v>
      </c>
      <c r="B143" s="2" t="s">
        <v>6223</v>
      </c>
      <c r="C143" s="2" t="s">
        <v>389</v>
      </c>
      <c r="D143" s="2" t="s">
        <v>6224</v>
      </c>
      <c r="E143" s="2" t="s">
        <v>39</v>
      </c>
      <c r="F143" s="2"/>
      <c r="G143" s="2"/>
      <c r="H143" s="2"/>
      <c r="I143" s="3">
        <f t="shared" si="2"/>
        <v>206</v>
      </c>
    </row>
    <row r="144" spans="1:9" ht="36" x14ac:dyDescent="0.3">
      <c r="A144" s="2" t="s">
        <v>303</v>
      </c>
      <c r="B144" s="2" t="s">
        <v>6236</v>
      </c>
      <c r="C144" s="2" t="s">
        <v>535</v>
      </c>
      <c r="D144" s="2" t="s">
        <v>6237</v>
      </c>
      <c r="E144" s="2" t="s">
        <v>39</v>
      </c>
      <c r="F144" s="2"/>
      <c r="G144" s="2"/>
      <c r="H144" s="2" t="s">
        <v>537</v>
      </c>
      <c r="I144" s="3">
        <f t="shared" si="2"/>
        <v>207</v>
      </c>
    </row>
    <row r="145" spans="1:9" ht="36" x14ac:dyDescent="0.3">
      <c r="A145" s="2" t="s">
        <v>303</v>
      </c>
      <c r="B145" s="2" t="s">
        <v>6273</v>
      </c>
      <c r="C145" s="2" t="s">
        <v>535</v>
      </c>
      <c r="D145" s="2" t="s">
        <v>6274</v>
      </c>
      <c r="E145" s="2" t="s">
        <v>39</v>
      </c>
      <c r="F145" s="2"/>
      <c r="G145" s="2"/>
      <c r="H145" s="2" t="s">
        <v>537</v>
      </c>
      <c r="I145" s="3">
        <f t="shared" si="2"/>
        <v>209</v>
      </c>
    </row>
    <row r="146" spans="1:9" ht="36" x14ac:dyDescent="0.3">
      <c r="A146" s="2" t="s">
        <v>303</v>
      </c>
      <c r="B146" s="2" t="s">
        <v>6311</v>
      </c>
      <c r="C146" s="2" t="s">
        <v>6312</v>
      </c>
      <c r="D146" s="2" t="s">
        <v>6313</v>
      </c>
      <c r="E146" s="2" t="s">
        <v>39</v>
      </c>
      <c r="F146" s="2"/>
      <c r="G146" s="2"/>
      <c r="H146" s="2" t="s">
        <v>646</v>
      </c>
      <c r="I146" s="3">
        <f t="shared" si="2"/>
        <v>211</v>
      </c>
    </row>
    <row r="147" spans="1:9" ht="36" x14ac:dyDescent="0.3">
      <c r="A147" s="2" t="s">
        <v>303</v>
      </c>
      <c r="B147" s="2" t="s">
        <v>6365</v>
      </c>
      <c r="C147" s="2" t="s">
        <v>181</v>
      </c>
      <c r="D147" s="2" t="s">
        <v>9420</v>
      </c>
      <c r="E147" s="2" t="s">
        <v>39</v>
      </c>
      <c r="F147" s="2" t="s">
        <v>2281</v>
      </c>
      <c r="G147" s="2" t="s">
        <v>1717</v>
      </c>
      <c r="H147" s="2"/>
      <c r="I147" s="3">
        <f t="shared" si="2"/>
        <v>215</v>
      </c>
    </row>
    <row r="148" spans="1:9" ht="36" x14ac:dyDescent="0.3">
      <c r="A148" s="2" t="s">
        <v>303</v>
      </c>
      <c r="B148" s="2" t="s">
        <v>6370</v>
      </c>
      <c r="C148" s="2" t="s">
        <v>6000</v>
      </c>
      <c r="D148" s="2" t="s">
        <v>6371</v>
      </c>
      <c r="E148" s="2" t="s">
        <v>39</v>
      </c>
      <c r="F148" s="2"/>
      <c r="G148" s="2"/>
      <c r="H148" s="2"/>
      <c r="I148" s="3">
        <f t="shared" si="2"/>
        <v>217</v>
      </c>
    </row>
    <row r="149" spans="1:9" ht="36" x14ac:dyDescent="0.3">
      <c r="A149" s="2" t="s">
        <v>303</v>
      </c>
      <c r="B149" s="2" t="s">
        <v>586</v>
      </c>
      <c r="C149" s="2" t="s">
        <v>6396</v>
      </c>
      <c r="D149" s="2" t="s">
        <v>6397</v>
      </c>
      <c r="E149" s="2" t="s">
        <v>39</v>
      </c>
      <c r="F149" s="2"/>
      <c r="G149" s="2"/>
      <c r="H149" s="2"/>
      <c r="I149" s="3">
        <f t="shared" si="2"/>
        <v>219</v>
      </c>
    </row>
    <row r="150" spans="1:9" ht="36" x14ac:dyDescent="0.3">
      <c r="A150" s="2" t="s">
        <v>303</v>
      </c>
      <c r="B150" s="2" t="s">
        <v>6413</v>
      </c>
      <c r="C150" s="2" t="s">
        <v>544</v>
      </c>
      <c r="D150" s="2" t="s">
        <v>9559</v>
      </c>
      <c r="E150" s="2" t="s">
        <v>39</v>
      </c>
      <c r="F150" s="2"/>
      <c r="G150" s="2"/>
      <c r="H150" s="2"/>
      <c r="I150" s="3">
        <f t="shared" si="2"/>
        <v>218</v>
      </c>
    </row>
    <row r="151" spans="1:9" ht="36" x14ac:dyDescent="0.3">
      <c r="A151" s="2" t="s">
        <v>303</v>
      </c>
      <c r="B151" s="2" t="s">
        <v>6444</v>
      </c>
      <c r="C151" s="2"/>
      <c r="D151" s="2" t="s">
        <v>6445</v>
      </c>
      <c r="E151" s="2" t="s">
        <v>39</v>
      </c>
      <c r="F151" s="2"/>
      <c r="G151" s="2"/>
      <c r="H151" s="2"/>
      <c r="I151" s="3">
        <f t="shared" si="2"/>
        <v>221</v>
      </c>
    </row>
    <row r="152" spans="1:9" ht="36" x14ac:dyDescent="0.3">
      <c r="A152" s="2" t="s">
        <v>303</v>
      </c>
      <c r="B152" s="2" t="s">
        <v>6485</v>
      </c>
      <c r="C152" s="2" t="s">
        <v>332</v>
      </c>
      <c r="D152" s="2" t="s">
        <v>6486</v>
      </c>
      <c r="E152" s="2" t="s">
        <v>211</v>
      </c>
      <c r="F152" s="2"/>
      <c r="G152" s="2"/>
      <c r="H152" s="2"/>
      <c r="I152" s="3">
        <f t="shared" si="2"/>
        <v>226</v>
      </c>
    </row>
    <row r="153" spans="1:9" ht="36" x14ac:dyDescent="0.3">
      <c r="A153" s="2" t="s">
        <v>303</v>
      </c>
      <c r="B153" s="2" t="s">
        <v>1879</v>
      </c>
      <c r="C153" s="2" t="s">
        <v>1504</v>
      </c>
      <c r="D153" s="2" t="s">
        <v>9421</v>
      </c>
      <c r="E153" s="2"/>
      <c r="F153" s="2" t="s">
        <v>1778</v>
      </c>
      <c r="G153" s="2" t="s">
        <v>1717</v>
      </c>
      <c r="H153" s="2" t="s">
        <v>194</v>
      </c>
      <c r="I153" s="3">
        <f t="shared" si="2"/>
        <v>226</v>
      </c>
    </row>
    <row r="154" spans="1:9" ht="36" x14ac:dyDescent="0.3">
      <c r="A154" s="2" t="s">
        <v>303</v>
      </c>
      <c r="B154" s="2" t="s">
        <v>6525</v>
      </c>
      <c r="C154" s="2" t="s">
        <v>535</v>
      </c>
      <c r="D154" s="2" t="s">
        <v>6526</v>
      </c>
      <c r="E154" s="2" t="s">
        <v>39</v>
      </c>
      <c r="F154" s="2"/>
      <c r="G154" s="2"/>
      <c r="H154" s="2" t="s">
        <v>537</v>
      </c>
      <c r="I154" s="3">
        <f t="shared" si="2"/>
        <v>229</v>
      </c>
    </row>
    <row r="155" spans="1:9" ht="36" x14ac:dyDescent="0.3">
      <c r="A155" s="2" t="s">
        <v>303</v>
      </c>
      <c r="B155" s="2" t="s">
        <v>6532</v>
      </c>
      <c r="C155" s="2" t="s">
        <v>4696</v>
      </c>
      <c r="D155" s="2" t="s">
        <v>6533</v>
      </c>
      <c r="E155" s="2" t="s">
        <v>39</v>
      </c>
      <c r="F155" s="2"/>
      <c r="G155" s="2"/>
      <c r="H155" s="2"/>
      <c r="I155" s="3">
        <f t="shared" si="2"/>
        <v>229</v>
      </c>
    </row>
    <row r="156" spans="1:9" ht="36" x14ac:dyDescent="0.3">
      <c r="A156" s="2" t="s">
        <v>303</v>
      </c>
      <c r="B156" s="2" t="s">
        <v>6534</v>
      </c>
      <c r="C156" s="2" t="s">
        <v>389</v>
      </c>
      <c r="D156" s="2" t="s">
        <v>6535</v>
      </c>
      <c r="E156" s="2" t="s">
        <v>39</v>
      </c>
      <c r="F156" s="2"/>
      <c r="G156" s="2"/>
      <c r="H156" s="2"/>
      <c r="I156" s="3">
        <f t="shared" si="2"/>
        <v>230</v>
      </c>
    </row>
    <row r="157" spans="1:9" ht="36" x14ac:dyDescent="0.3">
      <c r="A157" s="2" t="s">
        <v>303</v>
      </c>
      <c r="B157" s="2" t="s">
        <v>6555</v>
      </c>
      <c r="C157" s="2" t="s">
        <v>500</v>
      </c>
      <c r="D157" s="2" t="s">
        <v>6556</v>
      </c>
      <c r="E157" s="2" t="s">
        <v>39</v>
      </c>
      <c r="F157" s="2"/>
      <c r="G157" s="2"/>
      <c r="H157" s="2" t="s">
        <v>402</v>
      </c>
      <c r="I157" s="3">
        <f t="shared" si="2"/>
        <v>232</v>
      </c>
    </row>
    <row r="158" spans="1:9" ht="36" x14ac:dyDescent="0.3">
      <c r="A158" s="2" t="s">
        <v>303</v>
      </c>
      <c r="B158" s="2" t="s">
        <v>6609</v>
      </c>
      <c r="C158" s="2"/>
      <c r="D158" s="2" t="s">
        <v>9422</v>
      </c>
      <c r="E158" s="2" t="s">
        <v>39</v>
      </c>
      <c r="F158" s="2" t="s">
        <v>2281</v>
      </c>
      <c r="G158" s="2" t="s">
        <v>1717</v>
      </c>
      <c r="H158" s="2"/>
      <c r="I158" s="3">
        <f t="shared" si="2"/>
        <v>235</v>
      </c>
    </row>
    <row r="159" spans="1:9" ht="36" x14ac:dyDescent="0.3">
      <c r="A159" s="2" t="s">
        <v>303</v>
      </c>
      <c r="B159" s="2" t="s">
        <v>6629</v>
      </c>
      <c r="C159" s="2" t="s">
        <v>535</v>
      </c>
      <c r="D159" s="2" t="s">
        <v>6630</v>
      </c>
      <c r="E159" s="2" t="s">
        <v>39</v>
      </c>
      <c r="F159" s="2"/>
      <c r="G159" s="2"/>
      <c r="H159" s="2" t="s">
        <v>537</v>
      </c>
      <c r="I159" s="3">
        <f t="shared" si="2"/>
        <v>238</v>
      </c>
    </row>
    <row r="160" spans="1:9" ht="36" x14ac:dyDescent="0.3">
      <c r="A160" s="2" t="s">
        <v>303</v>
      </c>
      <c r="B160" s="2" t="s">
        <v>6654</v>
      </c>
      <c r="C160" s="2" t="s">
        <v>275</v>
      </c>
      <c r="D160" s="2" t="s">
        <v>6655</v>
      </c>
      <c r="E160" s="2" t="s">
        <v>6656</v>
      </c>
      <c r="F160" s="2"/>
      <c r="G160" s="2"/>
      <c r="H160" s="2"/>
      <c r="I160" s="3">
        <f t="shared" si="2"/>
        <v>241</v>
      </c>
    </row>
    <row r="161" spans="1:9" ht="36" x14ac:dyDescent="0.3">
      <c r="A161" s="2" t="s">
        <v>303</v>
      </c>
      <c r="B161" s="2" t="s">
        <v>3353</v>
      </c>
      <c r="C161" s="2" t="s">
        <v>6672</v>
      </c>
      <c r="D161" s="2" t="s">
        <v>9423</v>
      </c>
      <c r="E161" s="2" t="s">
        <v>39</v>
      </c>
      <c r="F161" s="2" t="s">
        <v>350</v>
      </c>
      <c r="G161" s="2" t="s">
        <v>350</v>
      </c>
      <c r="H161" s="2"/>
      <c r="I161" s="3">
        <f t="shared" si="2"/>
        <v>240</v>
      </c>
    </row>
    <row r="162" spans="1:9" ht="36" x14ac:dyDescent="0.3">
      <c r="A162" s="2" t="s">
        <v>303</v>
      </c>
      <c r="B162" s="2" t="s">
        <v>6676</v>
      </c>
      <c r="C162" s="2" t="s">
        <v>2057</v>
      </c>
      <c r="D162" s="2" t="s">
        <v>9424</v>
      </c>
      <c r="E162" s="2" t="s">
        <v>39</v>
      </c>
      <c r="F162" s="2" t="s">
        <v>4117</v>
      </c>
      <c r="G162" s="2" t="s">
        <v>1717</v>
      </c>
      <c r="H162" s="2"/>
      <c r="I162" s="3">
        <f t="shared" si="2"/>
        <v>241</v>
      </c>
    </row>
    <row r="163" spans="1:9" ht="36" x14ac:dyDescent="0.3">
      <c r="A163" s="2" t="s">
        <v>303</v>
      </c>
      <c r="B163" s="2" t="s">
        <v>6693</v>
      </c>
      <c r="C163" s="2" t="s">
        <v>226</v>
      </c>
      <c r="D163" s="2" t="s">
        <v>6694</v>
      </c>
      <c r="E163" s="2" t="s">
        <v>39</v>
      </c>
      <c r="F163" s="2"/>
      <c r="G163" s="2" t="s">
        <v>1717</v>
      </c>
      <c r="H163" s="2" t="s">
        <v>194</v>
      </c>
      <c r="I163" s="3">
        <f t="shared" si="2"/>
        <v>245</v>
      </c>
    </row>
    <row r="164" spans="1:9" ht="36" x14ac:dyDescent="0.3">
      <c r="A164" s="2" t="s">
        <v>303</v>
      </c>
      <c r="B164" s="2" t="s">
        <v>6707</v>
      </c>
      <c r="C164" s="2" t="s">
        <v>1504</v>
      </c>
      <c r="D164" s="2" t="s">
        <v>6708</v>
      </c>
      <c r="E164" s="2" t="s">
        <v>39</v>
      </c>
      <c r="F164" s="2"/>
      <c r="G164" s="2"/>
      <c r="H164" s="2" t="s">
        <v>194</v>
      </c>
      <c r="I164" s="3">
        <f t="shared" si="2"/>
        <v>247</v>
      </c>
    </row>
    <row r="165" spans="1:9" ht="36" x14ac:dyDescent="0.3">
      <c r="A165" s="2" t="s">
        <v>303</v>
      </c>
      <c r="B165" s="2" t="s">
        <v>6711</v>
      </c>
      <c r="C165" s="2"/>
      <c r="D165" s="2" t="s">
        <v>9425</v>
      </c>
      <c r="E165" s="2" t="s">
        <v>1140</v>
      </c>
      <c r="F165" s="2" t="s">
        <v>1778</v>
      </c>
      <c r="G165" s="2" t="s">
        <v>1717</v>
      </c>
      <c r="H165" s="2"/>
      <c r="I165" s="3">
        <f t="shared" si="2"/>
        <v>246</v>
      </c>
    </row>
    <row r="166" spans="1:9" ht="36" x14ac:dyDescent="0.3">
      <c r="A166" s="2" t="s">
        <v>303</v>
      </c>
      <c r="B166" s="2" t="s">
        <v>6718</v>
      </c>
      <c r="C166" s="2" t="s">
        <v>515</v>
      </c>
      <c r="D166" s="2" t="s">
        <v>6719</v>
      </c>
      <c r="E166" s="2" t="s">
        <v>39</v>
      </c>
      <c r="F166" s="2"/>
      <c r="G166" s="2"/>
      <c r="H166" s="2"/>
      <c r="I166" s="3">
        <f t="shared" si="2"/>
        <v>249</v>
      </c>
    </row>
    <row r="167" spans="1:9" ht="36" x14ac:dyDescent="0.3">
      <c r="A167" s="2" t="s">
        <v>303</v>
      </c>
      <c r="B167" s="2" t="s">
        <v>6736</v>
      </c>
      <c r="C167" s="2" t="s">
        <v>535</v>
      </c>
      <c r="D167" s="2" t="s">
        <v>6737</v>
      </c>
      <c r="E167" s="2" t="s">
        <v>39</v>
      </c>
      <c r="F167" s="2"/>
      <c r="G167" s="2"/>
      <c r="H167" s="2" t="s">
        <v>537</v>
      </c>
      <c r="I167" s="3">
        <f t="shared" si="2"/>
        <v>250</v>
      </c>
    </row>
    <row r="168" spans="1:9" ht="36" x14ac:dyDescent="0.3">
      <c r="A168" s="2" t="s">
        <v>303</v>
      </c>
      <c r="B168" s="2" t="s">
        <v>6761</v>
      </c>
      <c r="C168" s="2"/>
      <c r="D168" s="2" t="s">
        <v>6762</v>
      </c>
      <c r="E168" s="2" t="s">
        <v>39</v>
      </c>
      <c r="F168" s="2"/>
      <c r="G168" s="2"/>
      <c r="H168" s="2"/>
      <c r="I168" s="3">
        <f t="shared" si="2"/>
        <v>252</v>
      </c>
    </row>
    <row r="169" spans="1:9" ht="36" x14ac:dyDescent="0.3">
      <c r="A169" s="2" t="s">
        <v>303</v>
      </c>
      <c r="B169" s="2" t="s">
        <v>6763</v>
      </c>
      <c r="C169" s="2"/>
      <c r="D169" s="2" t="s">
        <v>6764</v>
      </c>
      <c r="E169" s="2" t="s">
        <v>39</v>
      </c>
      <c r="F169" s="2"/>
      <c r="G169" s="2"/>
      <c r="H169" s="2"/>
      <c r="I169" s="3">
        <f t="shared" si="2"/>
        <v>252</v>
      </c>
    </row>
    <row r="170" spans="1:9" ht="36" x14ac:dyDescent="0.3">
      <c r="A170" s="2" t="s">
        <v>303</v>
      </c>
      <c r="B170" s="2" t="s">
        <v>6769</v>
      </c>
      <c r="C170" s="2" t="s">
        <v>332</v>
      </c>
      <c r="D170" s="2" t="s">
        <v>9426</v>
      </c>
      <c r="E170" s="2" t="s">
        <v>211</v>
      </c>
      <c r="F170" s="2" t="s">
        <v>1778</v>
      </c>
      <c r="G170" s="2" t="s">
        <v>1717</v>
      </c>
      <c r="H170" s="2"/>
      <c r="I170" s="3">
        <f t="shared" si="2"/>
        <v>251</v>
      </c>
    </row>
    <row r="171" spans="1:9" ht="36" x14ac:dyDescent="0.3">
      <c r="A171" s="2" t="s">
        <v>303</v>
      </c>
      <c r="B171" s="2" t="s">
        <v>6775</v>
      </c>
      <c r="C171" s="2" t="s">
        <v>535</v>
      </c>
      <c r="D171" s="2" t="s">
        <v>6776</v>
      </c>
      <c r="E171" s="2" t="s">
        <v>39</v>
      </c>
      <c r="F171" s="2"/>
      <c r="G171" s="2"/>
      <c r="H171" s="2" t="s">
        <v>537</v>
      </c>
      <c r="I171" s="3">
        <f t="shared" si="2"/>
        <v>253</v>
      </c>
    </row>
    <row r="172" spans="1:9" ht="36" x14ac:dyDescent="0.3">
      <c r="A172" s="2" t="s">
        <v>303</v>
      </c>
      <c r="B172" s="2" t="s">
        <v>6780</v>
      </c>
      <c r="C172" s="2" t="s">
        <v>1255</v>
      </c>
      <c r="D172" s="2" t="s">
        <v>6781</v>
      </c>
      <c r="E172" s="2" t="s">
        <v>39</v>
      </c>
      <c r="F172" s="2"/>
      <c r="G172" s="2"/>
      <c r="H172" s="2"/>
      <c r="I172" s="3">
        <f t="shared" si="2"/>
        <v>254</v>
      </c>
    </row>
    <row r="173" spans="1:9" ht="36" x14ac:dyDescent="0.3">
      <c r="A173" s="2" t="s">
        <v>303</v>
      </c>
      <c r="B173" s="2" t="s">
        <v>6782</v>
      </c>
      <c r="C173" s="2" t="s">
        <v>1255</v>
      </c>
      <c r="D173" s="2" t="s">
        <v>6783</v>
      </c>
      <c r="E173" s="2" t="s">
        <v>39</v>
      </c>
      <c r="F173" s="2"/>
      <c r="G173" s="2"/>
      <c r="H173" s="2"/>
      <c r="I173" s="3">
        <f t="shared" si="2"/>
        <v>254</v>
      </c>
    </row>
    <row r="174" spans="1:9" ht="36" x14ac:dyDescent="0.3">
      <c r="A174" s="2" t="s">
        <v>303</v>
      </c>
      <c r="B174" s="2" t="s">
        <v>6802</v>
      </c>
      <c r="C174" s="2" t="s">
        <v>6803</v>
      </c>
      <c r="D174" s="2" t="s">
        <v>6804</v>
      </c>
      <c r="E174" s="2" t="s">
        <v>39</v>
      </c>
      <c r="F174" s="2"/>
      <c r="G174" s="2"/>
      <c r="H174" s="2"/>
      <c r="I174" s="3">
        <f t="shared" si="2"/>
        <v>255</v>
      </c>
    </row>
    <row r="175" spans="1:9" ht="36" x14ac:dyDescent="0.3">
      <c r="A175" s="2" t="s">
        <v>303</v>
      </c>
      <c r="B175" s="2" t="s">
        <v>6811</v>
      </c>
      <c r="C175" s="2"/>
      <c r="D175" s="2" t="s">
        <v>6812</v>
      </c>
      <c r="E175" s="2" t="s">
        <v>39</v>
      </c>
      <c r="F175" s="2"/>
      <c r="G175" s="2"/>
      <c r="H175" s="2"/>
      <c r="I175" s="3">
        <f t="shared" si="2"/>
        <v>255</v>
      </c>
    </row>
    <row r="176" spans="1:9" ht="36" x14ac:dyDescent="0.3">
      <c r="A176" s="2" t="s">
        <v>303</v>
      </c>
      <c r="B176" s="2" t="s">
        <v>6813</v>
      </c>
      <c r="C176" s="2" t="s">
        <v>535</v>
      </c>
      <c r="D176" s="2" t="s">
        <v>6814</v>
      </c>
      <c r="E176" s="2" t="s">
        <v>39</v>
      </c>
      <c r="F176" s="2"/>
      <c r="G176" s="2"/>
      <c r="H176" s="2" t="s">
        <v>537</v>
      </c>
      <c r="I176" s="3">
        <f t="shared" si="2"/>
        <v>255</v>
      </c>
    </row>
    <row r="177" spans="1:9" ht="36" x14ac:dyDescent="0.3">
      <c r="A177" s="2" t="s">
        <v>303</v>
      </c>
      <c r="B177" s="2" t="s">
        <v>6830</v>
      </c>
      <c r="C177" s="2"/>
      <c r="D177" s="2" t="s">
        <v>6831</v>
      </c>
      <c r="E177" s="2" t="s">
        <v>39</v>
      </c>
      <c r="F177" s="2"/>
      <c r="G177" s="2"/>
      <c r="H177" s="2" t="s">
        <v>194</v>
      </c>
      <c r="I177" s="3">
        <f t="shared" si="2"/>
        <v>257</v>
      </c>
    </row>
    <row r="178" spans="1:9" ht="36" x14ac:dyDescent="0.3">
      <c r="A178" s="2" t="s">
        <v>303</v>
      </c>
      <c r="B178" s="2" t="s">
        <v>6838</v>
      </c>
      <c r="C178" s="2" t="s">
        <v>535</v>
      </c>
      <c r="D178" s="2" t="s">
        <v>6839</v>
      </c>
      <c r="E178" s="2" t="s">
        <v>39</v>
      </c>
      <c r="F178" s="2"/>
      <c r="G178" s="2"/>
      <c r="H178" s="2" t="s">
        <v>537</v>
      </c>
      <c r="I178" s="3">
        <f t="shared" si="2"/>
        <v>257</v>
      </c>
    </row>
    <row r="179" spans="1:9" ht="36" x14ac:dyDescent="0.3">
      <c r="A179" s="2" t="s">
        <v>303</v>
      </c>
      <c r="B179" s="2" t="s">
        <v>5248</v>
      </c>
      <c r="C179" s="2" t="s">
        <v>6847</v>
      </c>
      <c r="D179" s="2" t="s">
        <v>6848</v>
      </c>
      <c r="E179" s="2" t="s">
        <v>39</v>
      </c>
      <c r="F179" s="2"/>
      <c r="G179" s="2"/>
      <c r="H179" s="2"/>
      <c r="I179" s="3">
        <f t="shared" si="2"/>
        <v>258</v>
      </c>
    </row>
    <row r="180" spans="1:9" ht="36" x14ac:dyDescent="0.3">
      <c r="A180" s="2" t="s">
        <v>303</v>
      </c>
      <c r="B180" s="2" t="s">
        <v>6857</v>
      </c>
      <c r="C180" s="2" t="s">
        <v>500</v>
      </c>
      <c r="D180" s="2" t="s">
        <v>6858</v>
      </c>
      <c r="E180" s="2" t="s">
        <v>39</v>
      </c>
      <c r="F180" s="2"/>
      <c r="G180" s="2"/>
      <c r="H180" s="2"/>
      <c r="I180" s="3">
        <f t="shared" si="2"/>
        <v>259</v>
      </c>
    </row>
    <row r="181" spans="1:9" ht="36" x14ac:dyDescent="0.3">
      <c r="A181" s="2" t="s">
        <v>303</v>
      </c>
      <c r="B181" s="2" t="s">
        <v>6866</v>
      </c>
      <c r="C181" s="2" t="s">
        <v>4930</v>
      </c>
      <c r="D181" s="2" t="s">
        <v>6867</v>
      </c>
      <c r="E181" s="2" t="s">
        <v>39</v>
      </c>
      <c r="F181" s="2"/>
      <c r="G181" s="2"/>
      <c r="H181" s="2"/>
      <c r="I181" s="3">
        <f t="shared" si="2"/>
        <v>260</v>
      </c>
    </row>
    <row r="182" spans="1:9" ht="36" x14ac:dyDescent="0.3">
      <c r="A182" s="2" t="s">
        <v>303</v>
      </c>
      <c r="B182" s="2" t="s">
        <v>6894</v>
      </c>
      <c r="C182" s="2"/>
      <c r="D182" s="2" t="s">
        <v>6895</v>
      </c>
      <c r="E182" s="2" t="s">
        <v>39</v>
      </c>
      <c r="F182" s="2"/>
      <c r="G182" s="2"/>
      <c r="H182" s="2" t="s">
        <v>194</v>
      </c>
      <c r="I182" s="3">
        <f t="shared" si="2"/>
        <v>262</v>
      </c>
    </row>
    <row r="183" spans="1:9" ht="36" x14ac:dyDescent="0.3">
      <c r="A183" s="2" t="s">
        <v>303</v>
      </c>
      <c r="B183" s="2" t="s">
        <v>6555</v>
      </c>
      <c r="C183" s="2" t="s">
        <v>6928</v>
      </c>
      <c r="D183" s="2" t="s">
        <v>6929</v>
      </c>
      <c r="E183" s="2" t="s">
        <v>39</v>
      </c>
      <c r="F183" s="2"/>
      <c r="G183" s="2"/>
      <c r="H183" s="2" t="s">
        <v>646</v>
      </c>
      <c r="I183" s="3">
        <f t="shared" si="2"/>
        <v>265</v>
      </c>
    </row>
    <row r="184" spans="1:9" ht="36" x14ac:dyDescent="0.3">
      <c r="A184" s="2" t="s">
        <v>303</v>
      </c>
      <c r="B184" s="2" t="s">
        <v>6940</v>
      </c>
      <c r="C184" s="2" t="s">
        <v>535</v>
      </c>
      <c r="D184" s="2" t="s">
        <v>6941</v>
      </c>
      <c r="E184" s="2" t="s">
        <v>39</v>
      </c>
      <c r="F184" s="2"/>
      <c r="G184" s="2"/>
      <c r="H184" s="2" t="s">
        <v>537</v>
      </c>
      <c r="I184" s="3">
        <f t="shared" si="2"/>
        <v>266</v>
      </c>
    </row>
    <row r="185" spans="1:9" ht="36" x14ac:dyDescent="0.3">
      <c r="A185" s="2" t="s">
        <v>303</v>
      </c>
      <c r="B185" s="2" t="s">
        <v>7010</v>
      </c>
      <c r="C185" s="2" t="s">
        <v>544</v>
      </c>
      <c r="D185" s="2" t="s">
        <v>7011</v>
      </c>
      <c r="E185" s="2" t="s">
        <v>39</v>
      </c>
      <c r="F185" s="2"/>
      <c r="G185" s="2"/>
      <c r="H185" s="2"/>
      <c r="I185" s="3">
        <f t="shared" si="2"/>
        <v>274</v>
      </c>
    </row>
    <row r="186" spans="1:9" ht="36" x14ac:dyDescent="0.3">
      <c r="A186" s="2" t="s">
        <v>303</v>
      </c>
      <c r="B186" s="2" t="s">
        <v>7033</v>
      </c>
      <c r="C186" s="2"/>
      <c r="D186" s="2" t="s">
        <v>7034</v>
      </c>
      <c r="E186" s="2" t="s">
        <v>39</v>
      </c>
      <c r="F186" s="2"/>
      <c r="G186" s="2"/>
      <c r="H186" s="2"/>
      <c r="I186" s="3">
        <f t="shared" si="2"/>
        <v>277</v>
      </c>
    </row>
    <row r="187" spans="1:9" ht="36" x14ac:dyDescent="0.3">
      <c r="A187" s="2" t="s">
        <v>303</v>
      </c>
      <c r="B187" s="2" t="s">
        <v>7044</v>
      </c>
      <c r="C187" s="2" t="s">
        <v>500</v>
      </c>
      <c r="D187" s="2" t="s">
        <v>7045</v>
      </c>
      <c r="E187" s="2" t="s">
        <v>39</v>
      </c>
      <c r="F187" s="2"/>
      <c r="G187" s="2"/>
      <c r="H187" s="2"/>
      <c r="I187" s="3">
        <f t="shared" si="2"/>
        <v>279</v>
      </c>
    </row>
    <row r="188" spans="1:9" ht="36" x14ac:dyDescent="0.3">
      <c r="A188" s="2" t="s">
        <v>303</v>
      </c>
      <c r="B188" s="2" t="s">
        <v>7162</v>
      </c>
      <c r="C188" s="2"/>
      <c r="D188" s="2" t="s">
        <v>7163</v>
      </c>
      <c r="E188" s="2" t="s">
        <v>39</v>
      </c>
      <c r="F188" s="2"/>
      <c r="G188" s="2" t="s">
        <v>1717</v>
      </c>
      <c r="H188" s="2"/>
      <c r="I188" s="3">
        <f t="shared" si="2"/>
        <v>296</v>
      </c>
    </row>
    <row r="189" spans="1:9" ht="36" x14ac:dyDescent="0.3">
      <c r="A189" s="2" t="s">
        <v>303</v>
      </c>
      <c r="B189" s="2" t="s">
        <v>7033</v>
      </c>
      <c r="C189" s="2"/>
      <c r="D189" s="2" t="s">
        <v>7165</v>
      </c>
      <c r="E189" s="2" t="s">
        <v>39</v>
      </c>
      <c r="F189" s="2"/>
      <c r="G189" s="2"/>
      <c r="H189" s="2"/>
      <c r="I189" s="3">
        <f t="shared" si="2"/>
        <v>296</v>
      </c>
    </row>
    <row r="190" spans="1:9" ht="36" x14ac:dyDescent="0.3">
      <c r="A190" s="2" t="s">
        <v>303</v>
      </c>
      <c r="B190" s="2" t="s">
        <v>7184</v>
      </c>
      <c r="C190" s="2"/>
      <c r="D190" s="2" t="s">
        <v>7185</v>
      </c>
      <c r="E190" s="2" t="s">
        <v>5335</v>
      </c>
      <c r="F190" s="2"/>
      <c r="G190" s="2"/>
      <c r="H190" s="2"/>
      <c r="I190" s="3">
        <f t="shared" si="2"/>
        <v>300</v>
      </c>
    </row>
    <row r="191" spans="1:9" ht="36" x14ac:dyDescent="0.3">
      <c r="A191" s="2" t="s">
        <v>303</v>
      </c>
      <c r="B191" s="2" t="s">
        <v>7196</v>
      </c>
      <c r="C191" s="2"/>
      <c r="D191" s="2" t="s">
        <v>7197</v>
      </c>
      <c r="E191" s="2" t="s">
        <v>39</v>
      </c>
      <c r="F191" s="2"/>
      <c r="G191" s="2"/>
      <c r="H191" s="2"/>
      <c r="I191" s="3">
        <f t="shared" si="2"/>
        <v>301</v>
      </c>
    </row>
    <row r="192" spans="1:9" ht="36" x14ac:dyDescent="0.3">
      <c r="A192" s="2" t="s">
        <v>303</v>
      </c>
      <c r="B192" s="2" t="s">
        <v>6930</v>
      </c>
      <c r="C192" s="2"/>
      <c r="D192" s="2" t="s">
        <v>7205</v>
      </c>
      <c r="E192" s="2" t="s">
        <v>242</v>
      </c>
      <c r="F192" s="2"/>
      <c r="G192" s="2"/>
      <c r="H192" s="2" t="s">
        <v>194</v>
      </c>
      <c r="I192" s="3">
        <f t="shared" si="2"/>
        <v>302</v>
      </c>
    </row>
    <row r="193" spans="1:9" ht="36" x14ac:dyDescent="0.3">
      <c r="A193" s="2" t="s">
        <v>303</v>
      </c>
      <c r="B193" s="2" t="s">
        <v>382</v>
      </c>
      <c r="C193" s="2" t="s">
        <v>3168</v>
      </c>
      <c r="D193" s="2" t="s">
        <v>7209</v>
      </c>
      <c r="E193" s="2" t="s">
        <v>39</v>
      </c>
      <c r="F193" s="2"/>
      <c r="G193" s="2"/>
      <c r="H193" s="2"/>
      <c r="I193" s="3">
        <f t="shared" si="2"/>
        <v>302</v>
      </c>
    </row>
    <row r="194" spans="1:9" ht="36" x14ac:dyDescent="0.3">
      <c r="A194" s="2" t="s">
        <v>303</v>
      </c>
      <c r="B194" s="2" t="s">
        <v>7224</v>
      </c>
      <c r="C194" s="2" t="s">
        <v>1255</v>
      </c>
      <c r="D194" s="2" t="s">
        <v>7225</v>
      </c>
      <c r="E194" s="2" t="s">
        <v>39</v>
      </c>
      <c r="F194" s="2"/>
      <c r="G194" s="2"/>
      <c r="H194" s="2"/>
      <c r="I194" s="3">
        <f t="shared" ref="I194:I257" si="3">LEN(D194)</f>
        <v>304</v>
      </c>
    </row>
    <row r="195" spans="1:9" ht="48" x14ac:dyDescent="0.3">
      <c r="A195" s="2" t="s">
        <v>303</v>
      </c>
      <c r="B195" s="2" t="s">
        <v>619</v>
      </c>
      <c r="C195" s="2" t="s">
        <v>5142</v>
      </c>
      <c r="D195" s="2" t="s">
        <v>7240</v>
      </c>
      <c r="E195" s="2" t="s">
        <v>39</v>
      </c>
      <c r="F195" s="2"/>
      <c r="G195" s="2"/>
      <c r="H195" s="2" t="s">
        <v>402</v>
      </c>
      <c r="I195" s="3">
        <f t="shared" si="3"/>
        <v>305</v>
      </c>
    </row>
    <row r="196" spans="1:9" ht="48" x14ac:dyDescent="0.3">
      <c r="A196" s="2" t="s">
        <v>303</v>
      </c>
      <c r="B196" s="2" t="s">
        <v>7256</v>
      </c>
      <c r="C196" s="2" t="s">
        <v>958</v>
      </c>
      <c r="D196" s="2" t="s">
        <v>9427</v>
      </c>
      <c r="E196" s="2" t="s">
        <v>4552</v>
      </c>
      <c r="F196" s="2" t="s">
        <v>350</v>
      </c>
      <c r="G196" s="2" t="s">
        <v>350</v>
      </c>
      <c r="H196" s="2"/>
      <c r="I196" s="3">
        <f t="shared" si="3"/>
        <v>305</v>
      </c>
    </row>
    <row r="197" spans="1:9" ht="36" x14ac:dyDescent="0.3">
      <c r="A197" s="2" t="s">
        <v>303</v>
      </c>
      <c r="B197" s="2" t="s">
        <v>1862</v>
      </c>
      <c r="C197" s="2" t="s">
        <v>1255</v>
      </c>
      <c r="D197" s="2" t="s">
        <v>7279</v>
      </c>
      <c r="E197" s="2" t="s">
        <v>39</v>
      </c>
      <c r="F197" s="2"/>
      <c r="G197" s="2"/>
      <c r="H197" s="2"/>
      <c r="I197" s="3">
        <f t="shared" si="3"/>
        <v>311</v>
      </c>
    </row>
    <row r="198" spans="1:9" ht="36" x14ac:dyDescent="0.3">
      <c r="A198" s="2" t="s">
        <v>303</v>
      </c>
      <c r="B198" s="2" t="s">
        <v>7291</v>
      </c>
      <c r="C198" s="2" t="s">
        <v>57</v>
      </c>
      <c r="D198" s="2" t="s">
        <v>9428</v>
      </c>
      <c r="E198" s="2" t="s">
        <v>39</v>
      </c>
      <c r="F198" s="2" t="s">
        <v>1778</v>
      </c>
      <c r="G198" s="2" t="s">
        <v>1717</v>
      </c>
      <c r="H198" s="2"/>
      <c r="I198" s="3">
        <f t="shared" si="3"/>
        <v>310</v>
      </c>
    </row>
    <row r="199" spans="1:9" ht="36" x14ac:dyDescent="0.3">
      <c r="A199" s="2" t="s">
        <v>303</v>
      </c>
      <c r="B199" s="2" t="s">
        <v>7303</v>
      </c>
      <c r="C199" s="2" t="s">
        <v>84</v>
      </c>
      <c r="D199" s="2" t="s">
        <v>9429</v>
      </c>
      <c r="E199" s="2" t="s">
        <v>39</v>
      </c>
      <c r="F199" s="2" t="s">
        <v>350</v>
      </c>
      <c r="G199" s="2" t="s">
        <v>1717</v>
      </c>
      <c r="H199" s="2" t="s">
        <v>86</v>
      </c>
      <c r="I199" s="3">
        <f t="shared" si="3"/>
        <v>311</v>
      </c>
    </row>
    <row r="200" spans="1:9" ht="48" x14ac:dyDescent="0.3">
      <c r="A200" s="2" t="s">
        <v>303</v>
      </c>
      <c r="B200" s="2" t="s">
        <v>7315</v>
      </c>
      <c r="C200" s="2"/>
      <c r="D200" s="2" t="s">
        <v>7316</v>
      </c>
      <c r="E200" s="2" t="s">
        <v>39</v>
      </c>
      <c r="F200" s="2"/>
      <c r="G200" s="2"/>
      <c r="H200" s="2"/>
      <c r="I200" s="3">
        <f t="shared" si="3"/>
        <v>314</v>
      </c>
    </row>
    <row r="201" spans="1:9" ht="48" x14ac:dyDescent="0.3">
      <c r="A201" s="2" t="s">
        <v>303</v>
      </c>
      <c r="B201" s="2" t="s">
        <v>7331</v>
      </c>
      <c r="C201" s="2" t="s">
        <v>7332</v>
      </c>
      <c r="D201" s="2" t="s">
        <v>7333</v>
      </c>
      <c r="E201" s="2" t="s">
        <v>39</v>
      </c>
      <c r="F201" s="2"/>
      <c r="G201" s="2"/>
      <c r="H201" s="2"/>
      <c r="I201" s="3">
        <f t="shared" si="3"/>
        <v>316</v>
      </c>
    </row>
    <row r="202" spans="1:9" ht="48" x14ac:dyDescent="0.3">
      <c r="A202" s="2" t="s">
        <v>303</v>
      </c>
      <c r="B202" s="2" t="s">
        <v>7371</v>
      </c>
      <c r="C202" s="2" t="s">
        <v>329</v>
      </c>
      <c r="D202" s="2" t="s">
        <v>7372</v>
      </c>
      <c r="E202" s="2" t="s">
        <v>39</v>
      </c>
      <c r="F202" s="2"/>
      <c r="G202" s="2"/>
      <c r="H202" s="2"/>
      <c r="I202" s="3">
        <f t="shared" si="3"/>
        <v>320</v>
      </c>
    </row>
    <row r="203" spans="1:9" ht="48" x14ac:dyDescent="0.3">
      <c r="A203" s="2" t="s">
        <v>303</v>
      </c>
      <c r="B203" s="2" t="s">
        <v>7392</v>
      </c>
      <c r="C203" s="2" t="s">
        <v>491</v>
      </c>
      <c r="D203" s="2" t="s">
        <v>7393</v>
      </c>
      <c r="E203" s="2" t="s">
        <v>39</v>
      </c>
      <c r="F203" s="2"/>
      <c r="G203" s="2"/>
      <c r="H203" s="2" t="s">
        <v>646</v>
      </c>
      <c r="I203" s="3">
        <f t="shared" si="3"/>
        <v>323</v>
      </c>
    </row>
    <row r="204" spans="1:9" ht="48" x14ac:dyDescent="0.3">
      <c r="A204" s="2" t="s">
        <v>303</v>
      </c>
      <c r="B204" s="2" t="s">
        <v>7422</v>
      </c>
      <c r="C204" s="2"/>
      <c r="D204" s="2" t="s">
        <v>9430</v>
      </c>
      <c r="E204" s="2" t="s">
        <v>6316</v>
      </c>
      <c r="F204" s="2" t="s">
        <v>1778</v>
      </c>
      <c r="G204" s="2" t="s">
        <v>1717</v>
      </c>
      <c r="H204" s="2"/>
      <c r="I204" s="3">
        <f t="shared" si="3"/>
        <v>325</v>
      </c>
    </row>
    <row r="205" spans="1:9" ht="48" x14ac:dyDescent="0.3">
      <c r="A205" s="2" t="s">
        <v>303</v>
      </c>
      <c r="B205" s="2" t="s">
        <v>7423</v>
      </c>
      <c r="C205" s="2" t="s">
        <v>535</v>
      </c>
      <c r="D205" s="2" t="s">
        <v>7424</v>
      </c>
      <c r="E205" s="2" t="s">
        <v>39</v>
      </c>
      <c r="F205" s="2"/>
      <c r="G205" s="2"/>
      <c r="H205" s="2" t="s">
        <v>537</v>
      </c>
      <c r="I205" s="3">
        <f t="shared" si="3"/>
        <v>327</v>
      </c>
    </row>
    <row r="206" spans="1:9" ht="48" x14ac:dyDescent="0.3">
      <c r="A206" s="2" t="s">
        <v>303</v>
      </c>
      <c r="B206" s="2" t="s">
        <v>7449</v>
      </c>
      <c r="C206" s="2" t="s">
        <v>7450</v>
      </c>
      <c r="D206" s="2" t="s">
        <v>9431</v>
      </c>
      <c r="E206" s="2" t="s">
        <v>39</v>
      </c>
      <c r="F206" s="2" t="s">
        <v>1778</v>
      </c>
      <c r="G206" s="2" t="s">
        <v>1717</v>
      </c>
      <c r="H206" s="2" t="s">
        <v>402</v>
      </c>
      <c r="I206" s="3">
        <f t="shared" si="3"/>
        <v>331</v>
      </c>
    </row>
    <row r="207" spans="1:9" ht="48" x14ac:dyDescent="0.3">
      <c r="A207" s="2" t="s">
        <v>303</v>
      </c>
      <c r="B207" s="2" t="s">
        <v>7451</v>
      </c>
      <c r="C207" s="2" t="s">
        <v>389</v>
      </c>
      <c r="D207" s="2" t="s">
        <v>9432</v>
      </c>
      <c r="E207" s="2" t="s">
        <v>39</v>
      </c>
      <c r="F207" s="2" t="s">
        <v>4117</v>
      </c>
      <c r="G207" s="2" t="s">
        <v>1717</v>
      </c>
      <c r="H207" s="2"/>
      <c r="I207" s="3">
        <f t="shared" si="3"/>
        <v>331</v>
      </c>
    </row>
    <row r="208" spans="1:9" ht="48" x14ac:dyDescent="0.3">
      <c r="A208" s="2" t="s">
        <v>303</v>
      </c>
      <c r="B208" s="2" t="s">
        <v>7452</v>
      </c>
      <c r="C208" s="2" t="s">
        <v>7453</v>
      </c>
      <c r="D208" s="2" t="s">
        <v>9433</v>
      </c>
      <c r="E208" s="2"/>
      <c r="F208" s="2" t="s">
        <v>1778</v>
      </c>
      <c r="G208" s="2" t="s">
        <v>1717</v>
      </c>
      <c r="H208" s="2" t="s">
        <v>3494</v>
      </c>
      <c r="I208" s="3">
        <f t="shared" si="3"/>
        <v>331</v>
      </c>
    </row>
    <row r="209" spans="1:9" ht="48" x14ac:dyDescent="0.3">
      <c r="A209" s="2" t="s">
        <v>303</v>
      </c>
      <c r="B209" s="2" t="s">
        <v>7500</v>
      </c>
      <c r="C209" s="2" t="s">
        <v>57</v>
      </c>
      <c r="D209" s="2" t="s">
        <v>9434</v>
      </c>
      <c r="E209" s="2" t="s">
        <v>5017</v>
      </c>
      <c r="F209" s="2" t="s">
        <v>1778</v>
      </c>
      <c r="G209" s="2" t="s">
        <v>1717</v>
      </c>
      <c r="H209" s="2"/>
      <c r="I209" s="3">
        <f t="shared" si="3"/>
        <v>340</v>
      </c>
    </row>
    <row r="210" spans="1:9" ht="48" x14ac:dyDescent="0.3">
      <c r="A210" s="2" t="s">
        <v>303</v>
      </c>
      <c r="B210" s="2" t="s">
        <v>7510</v>
      </c>
      <c r="C210" s="2" t="s">
        <v>95</v>
      </c>
      <c r="D210" s="2" t="s">
        <v>7511</v>
      </c>
      <c r="E210" s="2" t="s">
        <v>39</v>
      </c>
      <c r="F210" s="2"/>
      <c r="G210" s="2"/>
      <c r="H210" s="2"/>
      <c r="I210" s="3">
        <f t="shared" si="3"/>
        <v>343</v>
      </c>
    </row>
    <row r="211" spans="1:9" ht="48" x14ac:dyDescent="0.3">
      <c r="A211" s="2" t="s">
        <v>303</v>
      </c>
      <c r="B211" s="2" t="s">
        <v>7533</v>
      </c>
      <c r="C211" s="2" t="s">
        <v>1647</v>
      </c>
      <c r="D211" s="2" t="s">
        <v>9435</v>
      </c>
      <c r="E211" s="2" t="s">
        <v>3980</v>
      </c>
      <c r="F211" s="2" t="s">
        <v>1778</v>
      </c>
      <c r="G211" s="2" t="s">
        <v>1717</v>
      </c>
      <c r="H211" s="2" t="s">
        <v>1644</v>
      </c>
      <c r="I211" s="3">
        <f t="shared" si="3"/>
        <v>345</v>
      </c>
    </row>
    <row r="212" spans="1:9" ht="48" x14ac:dyDescent="0.3">
      <c r="A212" s="2" t="s">
        <v>303</v>
      </c>
      <c r="B212" s="2" t="s">
        <v>7538</v>
      </c>
      <c r="C212" s="2"/>
      <c r="D212" s="2" t="s">
        <v>7539</v>
      </c>
      <c r="E212" s="2" t="s">
        <v>39</v>
      </c>
      <c r="F212" s="2"/>
      <c r="G212" s="2"/>
      <c r="H212" s="2"/>
      <c r="I212" s="3">
        <f t="shared" si="3"/>
        <v>347</v>
      </c>
    </row>
    <row r="213" spans="1:9" ht="48" x14ac:dyDescent="0.3">
      <c r="A213" s="2" t="s">
        <v>303</v>
      </c>
      <c r="B213" s="2" t="s">
        <v>7544</v>
      </c>
      <c r="C213" s="2" t="s">
        <v>1255</v>
      </c>
      <c r="D213" s="2" t="s">
        <v>7545</v>
      </c>
      <c r="E213" s="2" t="s">
        <v>39</v>
      </c>
      <c r="F213" s="2"/>
      <c r="G213" s="2"/>
      <c r="H213" s="2"/>
      <c r="I213" s="3">
        <f t="shared" si="3"/>
        <v>348</v>
      </c>
    </row>
    <row r="214" spans="1:9" ht="48" x14ac:dyDescent="0.3">
      <c r="A214" s="2" t="s">
        <v>303</v>
      </c>
      <c r="B214" s="2" t="s">
        <v>7561</v>
      </c>
      <c r="C214" s="2" t="s">
        <v>7562</v>
      </c>
      <c r="D214" s="2" t="s">
        <v>9436</v>
      </c>
      <c r="E214" s="2" t="s">
        <v>39</v>
      </c>
      <c r="F214" s="2" t="s">
        <v>2281</v>
      </c>
      <c r="G214" s="2" t="s">
        <v>1717</v>
      </c>
      <c r="H214" s="2" t="s">
        <v>402</v>
      </c>
      <c r="I214" s="3">
        <f t="shared" si="3"/>
        <v>350</v>
      </c>
    </row>
    <row r="215" spans="1:9" ht="48" x14ac:dyDescent="0.3">
      <c r="A215" s="2" t="s">
        <v>303</v>
      </c>
      <c r="B215" s="2" t="s">
        <v>7584</v>
      </c>
      <c r="C215" s="2" t="s">
        <v>3713</v>
      </c>
      <c r="D215" s="2" t="s">
        <v>7585</v>
      </c>
      <c r="E215" s="2" t="s">
        <v>39</v>
      </c>
      <c r="F215" s="2"/>
      <c r="G215" s="2"/>
      <c r="H215" s="2" t="s">
        <v>646</v>
      </c>
      <c r="I215" s="3">
        <f t="shared" si="3"/>
        <v>355</v>
      </c>
    </row>
    <row r="216" spans="1:9" ht="48" x14ac:dyDescent="0.3">
      <c r="A216" s="2" t="s">
        <v>303</v>
      </c>
      <c r="B216" s="2" t="s">
        <v>7594</v>
      </c>
      <c r="C216" s="2"/>
      <c r="D216" s="2" t="s">
        <v>7595</v>
      </c>
      <c r="E216" s="2" t="s">
        <v>39</v>
      </c>
      <c r="F216" s="2"/>
      <c r="G216" s="2" t="s">
        <v>1717</v>
      </c>
      <c r="H216" s="2"/>
      <c r="I216" s="3">
        <f t="shared" si="3"/>
        <v>356</v>
      </c>
    </row>
    <row r="217" spans="1:9" ht="48" x14ac:dyDescent="0.3">
      <c r="A217" s="2" t="s">
        <v>303</v>
      </c>
      <c r="B217" s="2" t="s">
        <v>7598</v>
      </c>
      <c r="C217" s="2"/>
      <c r="D217" s="2" t="s">
        <v>7599</v>
      </c>
      <c r="E217" s="2" t="s">
        <v>39</v>
      </c>
      <c r="F217" s="2"/>
      <c r="G217" s="2"/>
      <c r="H217" s="2"/>
      <c r="I217" s="3">
        <f t="shared" si="3"/>
        <v>358</v>
      </c>
    </row>
    <row r="218" spans="1:9" ht="48" x14ac:dyDescent="0.3">
      <c r="A218" s="2" t="s">
        <v>303</v>
      </c>
      <c r="B218" s="2" t="s">
        <v>7613</v>
      </c>
      <c r="C218" s="2" t="s">
        <v>911</v>
      </c>
      <c r="D218" s="2" t="s">
        <v>7614</v>
      </c>
      <c r="E218" s="2" t="s">
        <v>39</v>
      </c>
      <c r="F218" s="2"/>
      <c r="G218" s="2"/>
      <c r="H218" s="2"/>
      <c r="I218" s="3">
        <f t="shared" si="3"/>
        <v>359</v>
      </c>
    </row>
    <row r="219" spans="1:9" ht="48" x14ac:dyDescent="0.3">
      <c r="A219" s="2" t="s">
        <v>303</v>
      </c>
      <c r="B219" s="2" t="s">
        <v>7629</v>
      </c>
      <c r="C219" s="2"/>
      <c r="D219" s="2" t="s">
        <v>7630</v>
      </c>
      <c r="E219" s="2" t="s">
        <v>39</v>
      </c>
      <c r="F219" s="2"/>
      <c r="G219" s="2"/>
      <c r="H219" s="2" t="s">
        <v>537</v>
      </c>
      <c r="I219" s="3">
        <f t="shared" si="3"/>
        <v>362</v>
      </c>
    </row>
    <row r="220" spans="1:9" ht="48" x14ac:dyDescent="0.3">
      <c r="A220" s="2" t="s">
        <v>303</v>
      </c>
      <c r="B220" s="2" t="s">
        <v>7648</v>
      </c>
      <c r="C220" s="2" t="s">
        <v>2879</v>
      </c>
      <c r="D220" s="2" t="s">
        <v>9437</v>
      </c>
      <c r="E220" s="2" t="s">
        <v>39</v>
      </c>
      <c r="F220" s="2" t="s">
        <v>2281</v>
      </c>
      <c r="G220" s="2" t="s">
        <v>1717</v>
      </c>
      <c r="H220" s="2"/>
      <c r="I220" s="3">
        <f t="shared" si="3"/>
        <v>364</v>
      </c>
    </row>
    <row r="221" spans="1:9" ht="48" x14ac:dyDescent="0.3">
      <c r="A221" s="2" t="s">
        <v>303</v>
      </c>
      <c r="B221" s="2" t="s">
        <v>7649</v>
      </c>
      <c r="C221" s="2" t="s">
        <v>7650</v>
      </c>
      <c r="D221" s="2" t="s">
        <v>7651</v>
      </c>
      <c r="E221" s="2" t="s">
        <v>39</v>
      </c>
      <c r="F221" s="2"/>
      <c r="G221" s="2"/>
      <c r="H221" s="2" t="s">
        <v>194</v>
      </c>
      <c r="I221" s="3">
        <f t="shared" si="3"/>
        <v>367</v>
      </c>
    </row>
    <row r="222" spans="1:9" ht="48" x14ac:dyDescent="0.3">
      <c r="A222" s="2" t="s">
        <v>303</v>
      </c>
      <c r="B222" s="2" t="s">
        <v>7652</v>
      </c>
      <c r="C222" s="2" t="s">
        <v>275</v>
      </c>
      <c r="D222" s="2" t="s">
        <v>9438</v>
      </c>
      <c r="E222" s="2" t="s">
        <v>1188</v>
      </c>
      <c r="F222" s="2" t="s">
        <v>1778</v>
      </c>
      <c r="G222" s="2" t="s">
        <v>1717</v>
      </c>
      <c r="H222" s="2" t="s">
        <v>194</v>
      </c>
      <c r="I222" s="3">
        <f t="shared" si="3"/>
        <v>365</v>
      </c>
    </row>
    <row r="223" spans="1:9" ht="48" x14ac:dyDescent="0.3">
      <c r="A223" s="2" t="s">
        <v>303</v>
      </c>
      <c r="B223" s="2" t="s">
        <v>7653</v>
      </c>
      <c r="C223" s="2" t="s">
        <v>535</v>
      </c>
      <c r="D223" s="2" t="s">
        <v>7654</v>
      </c>
      <c r="E223" s="2" t="s">
        <v>39</v>
      </c>
      <c r="F223" s="2"/>
      <c r="G223" s="2"/>
      <c r="H223" s="2"/>
      <c r="I223" s="3">
        <f t="shared" si="3"/>
        <v>367</v>
      </c>
    </row>
    <row r="224" spans="1:9" ht="48" x14ac:dyDescent="0.3">
      <c r="A224" s="2" t="s">
        <v>303</v>
      </c>
      <c r="B224" s="2" t="s">
        <v>7672</v>
      </c>
      <c r="C224" s="2" t="s">
        <v>389</v>
      </c>
      <c r="D224" s="2" t="s">
        <v>7673</v>
      </c>
      <c r="E224" s="2" t="s">
        <v>39</v>
      </c>
      <c r="F224" s="2"/>
      <c r="G224" s="2"/>
      <c r="H224" s="2" t="s">
        <v>646</v>
      </c>
      <c r="I224" s="3">
        <f t="shared" si="3"/>
        <v>371</v>
      </c>
    </row>
    <row r="225" spans="1:9" ht="48" x14ac:dyDescent="0.3">
      <c r="A225" s="2" t="s">
        <v>303</v>
      </c>
      <c r="B225" s="2" t="s">
        <v>2750</v>
      </c>
      <c r="C225" s="2"/>
      <c r="D225" s="2" t="s">
        <v>7728</v>
      </c>
      <c r="E225" s="2" t="s">
        <v>1188</v>
      </c>
      <c r="F225" s="2"/>
      <c r="G225" s="2"/>
      <c r="H225" s="2" t="s">
        <v>1176</v>
      </c>
      <c r="I225" s="3">
        <f t="shared" si="3"/>
        <v>382</v>
      </c>
    </row>
    <row r="226" spans="1:9" ht="48" x14ac:dyDescent="0.3">
      <c r="A226" s="2" t="s">
        <v>303</v>
      </c>
      <c r="B226" s="2" t="s">
        <v>7753</v>
      </c>
      <c r="C226" s="2" t="s">
        <v>7754</v>
      </c>
      <c r="D226" s="2" t="s">
        <v>7755</v>
      </c>
      <c r="E226" s="2"/>
      <c r="F226" s="2"/>
      <c r="G226" s="2"/>
      <c r="H226" s="2"/>
      <c r="I226" s="3">
        <f t="shared" si="3"/>
        <v>387</v>
      </c>
    </row>
    <row r="227" spans="1:9" ht="48" x14ac:dyDescent="0.3">
      <c r="A227" s="2" t="s">
        <v>303</v>
      </c>
      <c r="B227" s="2" t="s">
        <v>7762</v>
      </c>
      <c r="C227" s="2" t="s">
        <v>181</v>
      </c>
      <c r="D227" s="2" t="s">
        <v>9439</v>
      </c>
      <c r="E227" s="2"/>
      <c r="F227" s="2" t="s">
        <v>2281</v>
      </c>
      <c r="G227" s="2" t="s">
        <v>1717</v>
      </c>
      <c r="H227" s="2" t="s">
        <v>646</v>
      </c>
      <c r="I227" s="3">
        <f t="shared" si="3"/>
        <v>387</v>
      </c>
    </row>
    <row r="228" spans="1:9" ht="48" x14ac:dyDescent="0.3">
      <c r="A228" s="2" t="s">
        <v>303</v>
      </c>
      <c r="B228" s="2" t="s">
        <v>7800</v>
      </c>
      <c r="C228" s="2" t="s">
        <v>1354</v>
      </c>
      <c r="D228" s="2" t="s">
        <v>7801</v>
      </c>
      <c r="E228" s="2" t="s">
        <v>39</v>
      </c>
      <c r="F228" s="2"/>
      <c r="G228" s="2"/>
      <c r="H228" s="2" t="s">
        <v>1176</v>
      </c>
      <c r="I228" s="3">
        <f t="shared" si="3"/>
        <v>396</v>
      </c>
    </row>
    <row r="229" spans="1:9" ht="48" x14ac:dyDescent="0.3">
      <c r="A229" s="2" t="s">
        <v>303</v>
      </c>
      <c r="B229" s="2" t="s">
        <v>7814</v>
      </c>
      <c r="C229" s="2" t="s">
        <v>389</v>
      </c>
      <c r="D229" s="2" t="s">
        <v>9440</v>
      </c>
      <c r="E229" s="2" t="s">
        <v>39</v>
      </c>
      <c r="F229" s="2" t="s">
        <v>4117</v>
      </c>
      <c r="G229" s="2" t="s">
        <v>1717</v>
      </c>
      <c r="H229" s="2"/>
      <c r="I229" s="3">
        <f t="shared" si="3"/>
        <v>400</v>
      </c>
    </row>
    <row r="230" spans="1:9" ht="48" x14ac:dyDescent="0.3">
      <c r="A230" s="2" t="s">
        <v>303</v>
      </c>
      <c r="B230" s="2" t="s">
        <v>7828</v>
      </c>
      <c r="C230" s="3" t="s">
        <v>1142</v>
      </c>
      <c r="D230" s="2" t="s">
        <v>7829</v>
      </c>
      <c r="E230" s="2" t="s">
        <v>39</v>
      </c>
      <c r="F230" s="2"/>
      <c r="G230" s="2"/>
      <c r="H230" s="2" t="s">
        <v>194</v>
      </c>
      <c r="I230" s="3">
        <f t="shared" si="3"/>
        <v>407</v>
      </c>
    </row>
    <row r="231" spans="1:9" ht="60" x14ac:dyDescent="0.3">
      <c r="A231" s="2" t="s">
        <v>303</v>
      </c>
      <c r="B231" s="2" t="s">
        <v>7871</v>
      </c>
      <c r="C231" s="2" t="s">
        <v>500</v>
      </c>
      <c r="D231" s="2" t="s">
        <v>7872</v>
      </c>
      <c r="E231" s="2" t="s">
        <v>39</v>
      </c>
      <c r="F231" s="2"/>
      <c r="G231" s="2"/>
      <c r="H231" s="2" t="s">
        <v>402</v>
      </c>
      <c r="I231" s="3">
        <f t="shared" si="3"/>
        <v>416</v>
      </c>
    </row>
    <row r="232" spans="1:9" ht="60" x14ac:dyDescent="0.3">
      <c r="A232" s="2" t="s">
        <v>303</v>
      </c>
      <c r="B232" s="2" t="s">
        <v>7587</v>
      </c>
      <c r="C232" s="2"/>
      <c r="D232" s="2" t="s">
        <v>7910</v>
      </c>
      <c r="E232" s="2" t="s">
        <v>39</v>
      </c>
      <c r="F232" s="2"/>
      <c r="G232" s="2"/>
      <c r="H232" s="2"/>
      <c r="I232" s="3">
        <f t="shared" si="3"/>
        <v>428</v>
      </c>
    </row>
    <row r="233" spans="1:9" ht="60" x14ac:dyDescent="0.3">
      <c r="A233" s="2" t="s">
        <v>303</v>
      </c>
      <c r="B233" s="2" t="s">
        <v>5666</v>
      </c>
      <c r="C233" s="2" t="s">
        <v>446</v>
      </c>
      <c r="D233" s="2" t="s">
        <v>9441</v>
      </c>
      <c r="E233" s="2" t="s">
        <v>2709</v>
      </c>
      <c r="F233" s="2" t="s">
        <v>1778</v>
      </c>
      <c r="G233" s="2" t="s">
        <v>1717</v>
      </c>
      <c r="H233" s="2"/>
      <c r="I233" s="3">
        <f t="shared" si="3"/>
        <v>427</v>
      </c>
    </row>
    <row r="234" spans="1:9" ht="60" x14ac:dyDescent="0.3">
      <c r="A234" s="2" t="s">
        <v>303</v>
      </c>
      <c r="B234" s="2" t="s">
        <v>7933</v>
      </c>
      <c r="C234" s="2" t="s">
        <v>7934</v>
      </c>
      <c r="D234" s="2" t="s">
        <v>9442</v>
      </c>
      <c r="E234" s="2" t="s">
        <v>242</v>
      </c>
      <c r="F234" s="2" t="s">
        <v>1778</v>
      </c>
      <c r="G234" s="2" t="s">
        <v>1717</v>
      </c>
      <c r="H234" s="2"/>
      <c r="I234" s="3">
        <f t="shared" si="3"/>
        <v>431</v>
      </c>
    </row>
    <row r="235" spans="1:9" ht="60" x14ac:dyDescent="0.3">
      <c r="A235" s="2" t="s">
        <v>303</v>
      </c>
      <c r="B235" s="2" t="s">
        <v>7943</v>
      </c>
      <c r="C235" s="2" t="s">
        <v>515</v>
      </c>
      <c r="D235" s="2" t="s">
        <v>7944</v>
      </c>
      <c r="E235" s="2" t="s">
        <v>39</v>
      </c>
      <c r="F235" s="2"/>
      <c r="G235" s="2"/>
      <c r="H235" s="2" t="s">
        <v>646</v>
      </c>
      <c r="I235" s="3">
        <f t="shared" si="3"/>
        <v>436</v>
      </c>
    </row>
    <row r="236" spans="1:9" ht="60" x14ac:dyDescent="0.3">
      <c r="A236" s="2" t="s">
        <v>303</v>
      </c>
      <c r="B236" s="2" t="s">
        <v>7968</v>
      </c>
      <c r="C236" s="2" t="s">
        <v>500</v>
      </c>
      <c r="D236" s="2" t="s">
        <v>7969</v>
      </c>
      <c r="E236" s="2" t="s">
        <v>39</v>
      </c>
      <c r="F236" s="2"/>
      <c r="G236" s="2"/>
      <c r="H236" s="2" t="s">
        <v>402</v>
      </c>
      <c r="I236" s="3">
        <f t="shared" si="3"/>
        <v>441</v>
      </c>
    </row>
    <row r="237" spans="1:9" ht="60" x14ac:dyDescent="0.3">
      <c r="A237" s="2" t="s">
        <v>303</v>
      </c>
      <c r="B237" s="2" t="s">
        <v>7992</v>
      </c>
      <c r="C237" s="2" t="s">
        <v>544</v>
      </c>
      <c r="D237" s="2" t="s">
        <v>7993</v>
      </c>
      <c r="E237" s="2" t="s">
        <v>39</v>
      </c>
      <c r="F237" s="2"/>
      <c r="G237" s="2"/>
      <c r="H237" s="2"/>
      <c r="I237" s="3">
        <f t="shared" si="3"/>
        <v>445</v>
      </c>
    </row>
    <row r="238" spans="1:9" ht="60" x14ac:dyDescent="0.3">
      <c r="A238" s="2" t="s">
        <v>303</v>
      </c>
      <c r="B238" s="2" t="s">
        <v>8006</v>
      </c>
      <c r="C238" s="2" t="s">
        <v>1255</v>
      </c>
      <c r="D238" s="2" t="s">
        <v>9443</v>
      </c>
      <c r="E238" s="2" t="s">
        <v>39</v>
      </c>
      <c r="F238" s="2" t="s">
        <v>3082</v>
      </c>
      <c r="G238" s="2" t="s">
        <v>1717</v>
      </c>
      <c r="H238" s="2"/>
      <c r="I238" s="3">
        <f t="shared" si="3"/>
        <v>446</v>
      </c>
    </row>
    <row r="239" spans="1:9" ht="60" x14ac:dyDescent="0.3">
      <c r="A239" s="2" t="s">
        <v>303</v>
      </c>
      <c r="B239" s="2" t="s">
        <v>8009</v>
      </c>
      <c r="C239" s="2" t="s">
        <v>535</v>
      </c>
      <c r="D239" s="2" t="s">
        <v>8010</v>
      </c>
      <c r="E239" s="2" t="s">
        <v>39</v>
      </c>
      <c r="F239" s="2"/>
      <c r="G239" s="2"/>
      <c r="H239" s="2" t="s">
        <v>537</v>
      </c>
      <c r="I239" s="3">
        <f t="shared" si="3"/>
        <v>451</v>
      </c>
    </row>
    <row r="240" spans="1:9" ht="60" x14ac:dyDescent="0.3">
      <c r="A240" s="2" t="s">
        <v>303</v>
      </c>
      <c r="B240" s="2" t="s">
        <v>8022</v>
      </c>
      <c r="C240" s="2" t="s">
        <v>535</v>
      </c>
      <c r="D240" s="2" t="s">
        <v>8023</v>
      </c>
      <c r="E240" s="2" t="s">
        <v>39</v>
      </c>
      <c r="F240" s="2"/>
      <c r="G240" s="2"/>
      <c r="H240" s="2"/>
      <c r="I240" s="3">
        <f t="shared" si="3"/>
        <v>457</v>
      </c>
    </row>
    <row r="241" spans="1:9" ht="60" x14ac:dyDescent="0.3">
      <c r="A241" s="2" t="s">
        <v>303</v>
      </c>
      <c r="B241" s="2" t="s">
        <v>8037</v>
      </c>
      <c r="C241" s="2" t="s">
        <v>389</v>
      </c>
      <c r="D241" s="2" t="s">
        <v>8038</v>
      </c>
      <c r="E241" s="2" t="s">
        <v>39</v>
      </c>
      <c r="F241" s="2"/>
      <c r="G241" s="2"/>
      <c r="H241" s="2"/>
      <c r="I241" s="3">
        <f t="shared" si="3"/>
        <v>460</v>
      </c>
    </row>
    <row r="242" spans="1:9" ht="60" x14ac:dyDescent="0.3">
      <c r="A242" s="2" t="s">
        <v>303</v>
      </c>
      <c r="B242" s="2" t="s">
        <v>8046</v>
      </c>
      <c r="C242" s="2" t="s">
        <v>544</v>
      </c>
      <c r="D242" s="2" t="s">
        <v>9444</v>
      </c>
      <c r="E242" s="2" t="s">
        <v>39</v>
      </c>
      <c r="F242" s="2" t="s">
        <v>1778</v>
      </c>
      <c r="G242" s="2" t="s">
        <v>1717</v>
      </c>
      <c r="H242" s="2"/>
      <c r="I242" s="3">
        <f t="shared" si="3"/>
        <v>461</v>
      </c>
    </row>
    <row r="243" spans="1:9" ht="60" x14ac:dyDescent="0.3">
      <c r="A243" s="2" t="s">
        <v>303</v>
      </c>
      <c r="B243" s="2" t="s">
        <v>6555</v>
      </c>
      <c r="C243" s="2" t="s">
        <v>500</v>
      </c>
      <c r="D243" s="2" t="s">
        <v>8097</v>
      </c>
      <c r="E243" s="2" t="s">
        <v>39</v>
      </c>
      <c r="F243" s="2"/>
      <c r="G243" s="2"/>
      <c r="H243" s="2" t="s">
        <v>402</v>
      </c>
      <c r="I243" s="3">
        <f t="shared" si="3"/>
        <v>476</v>
      </c>
    </row>
    <row r="244" spans="1:9" ht="60" x14ac:dyDescent="0.3">
      <c r="A244" s="2" t="s">
        <v>303</v>
      </c>
      <c r="B244" s="2" t="s">
        <v>8112</v>
      </c>
      <c r="C244" s="2" t="s">
        <v>389</v>
      </c>
      <c r="D244" s="2" t="s">
        <v>9445</v>
      </c>
      <c r="E244" s="2" t="s">
        <v>39</v>
      </c>
      <c r="F244" s="2" t="s">
        <v>2281</v>
      </c>
      <c r="G244" s="2" t="s">
        <v>1717</v>
      </c>
      <c r="H244" s="2"/>
      <c r="I244" s="3">
        <f t="shared" si="3"/>
        <v>478</v>
      </c>
    </row>
    <row r="245" spans="1:9" ht="60" x14ac:dyDescent="0.3">
      <c r="A245" s="2" t="s">
        <v>303</v>
      </c>
      <c r="B245" s="2" t="s">
        <v>8120</v>
      </c>
      <c r="C245" s="2" t="s">
        <v>35</v>
      </c>
      <c r="D245" s="2" t="s">
        <v>9446</v>
      </c>
      <c r="E245" s="2" t="s">
        <v>3773</v>
      </c>
      <c r="F245" s="2" t="s">
        <v>1778</v>
      </c>
      <c r="G245" s="2" t="s">
        <v>1717</v>
      </c>
      <c r="H245" s="2" t="s">
        <v>1176</v>
      </c>
      <c r="I245" s="3">
        <f t="shared" si="3"/>
        <v>482</v>
      </c>
    </row>
    <row r="246" spans="1:9" ht="60" x14ac:dyDescent="0.3">
      <c r="A246" s="2" t="s">
        <v>303</v>
      </c>
      <c r="B246" s="2" t="s">
        <v>8146</v>
      </c>
      <c r="C246" s="2" t="s">
        <v>8147</v>
      </c>
      <c r="D246" s="2" t="s">
        <v>8727</v>
      </c>
      <c r="E246" s="2" t="s">
        <v>3545</v>
      </c>
      <c r="F246" s="2"/>
      <c r="G246" s="2"/>
      <c r="H246" s="2" t="s">
        <v>1176</v>
      </c>
      <c r="I246" s="3">
        <f t="shared" si="3"/>
        <v>494</v>
      </c>
    </row>
    <row r="247" spans="1:9" ht="60" x14ac:dyDescent="0.3">
      <c r="A247" s="2" t="s">
        <v>303</v>
      </c>
      <c r="B247" s="2" t="s">
        <v>8166</v>
      </c>
      <c r="C247" s="2" t="s">
        <v>559</v>
      </c>
      <c r="D247" s="2" t="s">
        <v>8167</v>
      </c>
      <c r="E247" s="2" t="s">
        <v>39</v>
      </c>
      <c r="F247" s="2"/>
      <c r="G247" s="2"/>
      <c r="H247" s="2"/>
      <c r="I247" s="3">
        <f t="shared" si="3"/>
        <v>501</v>
      </c>
    </row>
    <row r="248" spans="1:9" ht="60" x14ac:dyDescent="0.3">
      <c r="A248" s="2" t="s">
        <v>303</v>
      </c>
      <c r="B248" s="2" t="s">
        <v>8170</v>
      </c>
      <c r="C248" s="2" t="s">
        <v>535</v>
      </c>
      <c r="D248" s="2" t="s">
        <v>8171</v>
      </c>
      <c r="E248" s="2" t="s">
        <v>39</v>
      </c>
      <c r="F248" s="2"/>
      <c r="G248" s="2"/>
      <c r="H248" s="2" t="s">
        <v>537</v>
      </c>
      <c r="I248" s="3">
        <f t="shared" si="3"/>
        <v>502</v>
      </c>
    </row>
    <row r="249" spans="1:9" ht="72" x14ac:dyDescent="0.3">
      <c r="A249" s="2" t="s">
        <v>303</v>
      </c>
      <c r="B249" s="2" t="s">
        <v>8172</v>
      </c>
      <c r="C249" s="2" t="s">
        <v>8173</v>
      </c>
      <c r="D249" s="2" t="s">
        <v>8174</v>
      </c>
      <c r="E249" s="2" t="s">
        <v>39</v>
      </c>
      <c r="F249" s="2"/>
      <c r="G249" s="2"/>
      <c r="H249" s="2" t="s">
        <v>537</v>
      </c>
      <c r="I249" s="3">
        <f t="shared" si="3"/>
        <v>503</v>
      </c>
    </row>
    <row r="250" spans="1:9" ht="60" x14ac:dyDescent="0.3">
      <c r="A250" s="2" t="s">
        <v>303</v>
      </c>
      <c r="B250" s="2" t="s">
        <v>8184</v>
      </c>
      <c r="C250" s="2" t="s">
        <v>6605</v>
      </c>
      <c r="D250" s="2" t="s">
        <v>9447</v>
      </c>
      <c r="E250" s="2" t="s">
        <v>39</v>
      </c>
      <c r="F250" s="2" t="s">
        <v>4117</v>
      </c>
      <c r="G250" s="2" t="s">
        <v>1717</v>
      </c>
      <c r="H250" s="2" t="s">
        <v>194</v>
      </c>
      <c r="I250" s="3">
        <f t="shared" si="3"/>
        <v>509</v>
      </c>
    </row>
    <row r="251" spans="1:9" ht="60" x14ac:dyDescent="0.3">
      <c r="A251" s="2" t="s">
        <v>303</v>
      </c>
      <c r="B251" s="2" t="s">
        <v>8189</v>
      </c>
      <c r="C251" s="2" t="s">
        <v>8190</v>
      </c>
      <c r="D251" s="2" t="s">
        <v>8191</v>
      </c>
      <c r="E251" s="2" t="s">
        <v>39</v>
      </c>
      <c r="F251" s="2"/>
      <c r="G251" s="2"/>
      <c r="H251" s="2" t="s">
        <v>216</v>
      </c>
      <c r="I251" s="3">
        <f t="shared" si="3"/>
        <v>514</v>
      </c>
    </row>
    <row r="252" spans="1:9" ht="72" x14ac:dyDescent="0.3">
      <c r="A252" s="2" t="s">
        <v>303</v>
      </c>
      <c r="B252" s="2" t="s">
        <v>8208</v>
      </c>
      <c r="C252" s="2" t="s">
        <v>389</v>
      </c>
      <c r="D252" s="2" t="s">
        <v>9448</v>
      </c>
      <c r="E252" s="2" t="s">
        <v>39</v>
      </c>
      <c r="F252" s="2" t="s">
        <v>3082</v>
      </c>
      <c r="G252" s="2" t="s">
        <v>1717</v>
      </c>
      <c r="H252" s="2"/>
      <c r="I252" s="3">
        <f t="shared" si="3"/>
        <v>527</v>
      </c>
    </row>
    <row r="253" spans="1:9" ht="72" x14ac:dyDescent="0.3">
      <c r="A253" s="2" t="s">
        <v>303</v>
      </c>
      <c r="B253" s="2" t="s">
        <v>8217</v>
      </c>
      <c r="C253" s="2" t="s">
        <v>2516</v>
      </c>
      <c r="D253" s="2" t="s">
        <v>9449</v>
      </c>
      <c r="E253" s="2" t="s">
        <v>3545</v>
      </c>
      <c r="F253" s="2" t="s">
        <v>4117</v>
      </c>
      <c r="G253" s="2" t="s">
        <v>1717</v>
      </c>
      <c r="H253" s="2" t="s">
        <v>646</v>
      </c>
      <c r="I253" s="3">
        <f t="shared" si="3"/>
        <v>530</v>
      </c>
    </row>
    <row r="254" spans="1:9" ht="72" x14ac:dyDescent="0.3">
      <c r="A254" s="2" t="s">
        <v>303</v>
      </c>
      <c r="B254" s="2" t="s">
        <v>8222</v>
      </c>
      <c r="C254" s="2" t="s">
        <v>8223</v>
      </c>
      <c r="D254" s="2" t="s">
        <v>9450</v>
      </c>
      <c r="E254" s="2" t="s">
        <v>39</v>
      </c>
      <c r="F254" s="2" t="s">
        <v>4117</v>
      </c>
      <c r="G254" s="2" t="s">
        <v>1717</v>
      </c>
      <c r="H254" s="2"/>
      <c r="I254" s="3">
        <f t="shared" si="3"/>
        <v>532</v>
      </c>
    </row>
    <row r="255" spans="1:9" ht="72" x14ac:dyDescent="0.3">
      <c r="A255" s="2" t="s">
        <v>303</v>
      </c>
      <c r="B255" s="2" t="s">
        <v>8248</v>
      </c>
      <c r="C255" s="2"/>
      <c r="D255" s="2" t="s">
        <v>8249</v>
      </c>
      <c r="E255" s="2" t="s">
        <v>39</v>
      </c>
      <c r="F255" s="2"/>
      <c r="G255" s="2"/>
      <c r="H255" s="2" t="s">
        <v>646</v>
      </c>
      <c r="I255" s="3">
        <f t="shared" si="3"/>
        <v>544</v>
      </c>
    </row>
    <row r="256" spans="1:9" ht="72" x14ac:dyDescent="0.3">
      <c r="A256" s="2" t="s">
        <v>303</v>
      </c>
      <c r="B256" s="2" t="s">
        <v>2758</v>
      </c>
      <c r="C256" s="2" t="s">
        <v>535</v>
      </c>
      <c r="D256" s="2" t="s">
        <v>8257</v>
      </c>
      <c r="E256" s="2" t="s">
        <v>39</v>
      </c>
      <c r="F256" s="2"/>
      <c r="G256" s="2"/>
      <c r="H256" s="2"/>
      <c r="I256" s="3">
        <f t="shared" si="3"/>
        <v>546</v>
      </c>
    </row>
    <row r="257" spans="1:9" ht="72" x14ac:dyDescent="0.3">
      <c r="A257" s="2" t="s">
        <v>303</v>
      </c>
      <c r="B257" s="2" t="s">
        <v>8270</v>
      </c>
      <c r="C257" s="2"/>
      <c r="D257" s="2" t="s">
        <v>8271</v>
      </c>
      <c r="E257" s="2" t="s">
        <v>39</v>
      </c>
      <c r="F257" s="2"/>
      <c r="G257" s="2"/>
      <c r="H257" s="2" t="s">
        <v>194</v>
      </c>
      <c r="I257" s="3">
        <f t="shared" si="3"/>
        <v>552</v>
      </c>
    </row>
    <row r="258" spans="1:9" ht="72" x14ac:dyDescent="0.3">
      <c r="A258" s="2" t="s">
        <v>303</v>
      </c>
      <c r="B258" s="2" t="s">
        <v>8272</v>
      </c>
      <c r="C258" s="2" t="s">
        <v>6000</v>
      </c>
      <c r="D258" s="2" t="s">
        <v>9451</v>
      </c>
      <c r="E258" s="2" t="s">
        <v>39</v>
      </c>
      <c r="F258" s="2" t="s">
        <v>4117</v>
      </c>
      <c r="G258" s="2" t="s">
        <v>1717</v>
      </c>
      <c r="H258" s="2" t="s">
        <v>646</v>
      </c>
      <c r="I258" s="3">
        <f t="shared" ref="I258:I285" si="4">LEN(D258)</f>
        <v>551</v>
      </c>
    </row>
    <row r="259" spans="1:9" ht="72" x14ac:dyDescent="0.3">
      <c r="A259" s="2" t="s">
        <v>303</v>
      </c>
      <c r="B259" s="2" t="s">
        <v>8295</v>
      </c>
      <c r="C259" s="2" t="s">
        <v>116</v>
      </c>
      <c r="D259" s="2" t="s">
        <v>8296</v>
      </c>
      <c r="E259" s="2" t="s">
        <v>39</v>
      </c>
      <c r="F259" s="2"/>
      <c r="G259" s="2"/>
      <c r="H259" s="2" t="s">
        <v>1176</v>
      </c>
      <c r="I259" s="3">
        <f t="shared" si="4"/>
        <v>564</v>
      </c>
    </row>
    <row r="260" spans="1:9" ht="72" x14ac:dyDescent="0.3">
      <c r="A260" s="2" t="s">
        <v>303</v>
      </c>
      <c r="B260" s="2" t="s">
        <v>8308</v>
      </c>
      <c r="C260" s="2"/>
      <c r="D260" s="2" t="s">
        <v>8309</v>
      </c>
      <c r="E260" s="2" t="s">
        <v>39</v>
      </c>
      <c r="F260" s="2"/>
      <c r="G260" s="2"/>
      <c r="H260" s="2" t="s">
        <v>1176</v>
      </c>
      <c r="I260" s="3">
        <f t="shared" si="4"/>
        <v>567</v>
      </c>
    </row>
    <row r="261" spans="1:9" ht="72" x14ac:dyDescent="0.3">
      <c r="A261" s="2" t="s">
        <v>303</v>
      </c>
      <c r="B261" s="2" t="s">
        <v>8338</v>
      </c>
      <c r="C261" s="2" t="s">
        <v>8330</v>
      </c>
      <c r="D261" s="2" t="s">
        <v>9452</v>
      </c>
      <c r="E261" s="2" t="s">
        <v>3700</v>
      </c>
      <c r="F261" s="2" t="s">
        <v>4117</v>
      </c>
      <c r="G261" s="2" t="s">
        <v>350</v>
      </c>
      <c r="H261" s="2"/>
      <c r="I261" s="3">
        <f t="shared" si="4"/>
        <v>587</v>
      </c>
    </row>
    <row r="262" spans="1:9" ht="72" x14ac:dyDescent="0.3">
      <c r="A262" s="2" t="s">
        <v>303</v>
      </c>
      <c r="B262" s="2" t="s">
        <v>8339</v>
      </c>
      <c r="C262" s="2" t="s">
        <v>8340</v>
      </c>
      <c r="D262" s="2" t="s">
        <v>9453</v>
      </c>
      <c r="E262" s="2" t="s">
        <v>39</v>
      </c>
      <c r="F262" s="2" t="s">
        <v>2281</v>
      </c>
      <c r="G262" s="2" t="s">
        <v>1717</v>
      </c>
      <c r="H262" s="2"/>
      <c r="I262" s="3">
        <f t="shared" si="4"/>
        <v>589</v>
      </c>
    </row>
    <row r="263" spans="1:9" ht="72" x14ac:dyDescent="0.3">
      <c r="A263" s="2" t="s">
        <v>303</v>
      </c>
      <c r="B263" s="2" t="s">
        <v>8347</v>
      </c>
      <c r="C263" s="2" t="s">
        <v>8348</v>
      </c>
      <c r="D263" s="2" t="s">
        <v>9454</v>
      </c>
      <c r="E263" s="2" t="s">
        <v>39</v>
      </c>
      <c r="F263" s="2" t="s">
        <v>3082</v>
      </c>
      <c r="G263" s="2" t="s">
        <v>1717</v>
      </c>
      <c r="H263" s="2" t="s">
        <v>1644</v>
      </c>
      <c r="I263" s="3">
        <f t="shared" si="4"/>
        <v>594</v>
      </c>
    </row>
    <row r="264" spans="1:9" ht="72" x14ac:dyDescent="0.3">
      <c r="A264" s="2" t="s">
        <v>303</v>
      </c>
      <c r="B264" s="2" t="s">
        <v>8349</v>
      </c>
      <c r="C264" s="2"/>
      <c r="D264" s="2" t="s">
        <v>8350</v>
      </c>
      <c r="E264" s="2" t="s">
        <v>39</v>
      </c>
      <c r="F264" s="2"/>
      <c r="G264" s="2"/>
      <c r="H264" s="2"/>
      <c r="I264" s="3">
        <f t="shared" si="4"/>
        <v>598</v>
      </c>
    </row>
    <row r="265" spans="1:9" ht="72" x14ac:dyDescent="0.3">
      <c r="A265" s="2" t="s">
        <v>303</v>
      </c>
      <c r="B265" s="2" t="s">
        <v>8360</v>
      </c>
      <c r="C265" s="2" t="s">
        <v>8361</v>
      </c>
      <c r="D265" s="2" t="s">
        <v>9455</v>
      </c>
      <c r="E265" s="2" t="s">
        <v>39</v>
      </c>
      <c r="F265" s="2" t="s">
        <v>2281</v>
      </c>
      <c r="G265" s="2" t="s">
        <v>1717</v>
      </c>
      <c r="H265" s="2"/>
      <c r="I265" s="3">
        <f t="shared" si="4"/>
        <v>603</v>
      </c>
    </row>
    <row r="266" spans="1:9" ht="84" x14ac:dyDescent="0.3">
      <c r="A266" s="2" t="s">
        <v>303</v>
      </c>
      <c r="B266" s="2" t="s">
        <v>8365</v>
      </c>
      <c r="C266" s="2" t="s">
        <v>57</v>
      </c>
      <c r="D266" s="2" t="s">
        <v>9456</v>
      </c>
      <c r="E266" s="2" t="s">
        <v>5017</v>
      </c>
      <c r="F266" s="2" t="s">
        <v>1778</v>
      </c>
      <c r="G266" s="2" t="s">
        <v>1717</v>
      </c>
      <c r="H266" s="2" t="s">
        <v>1176</v>
      </c>
      <c r="I266" s="3">
        <f t="shared" si="4"/>
        <v>605</v>
      </c>
    </row>
    <row r="267" spans="1:9" ht="84" x14ac:dyDescent="0.3">
      <c r="A267" s="2" t="s">
        <v>303</v>
      </c>
      <c r="B267" s="2" t="s">
        <v>8222</v>
      </c>
      <c r="C267" s="2" t="s">
        <v>500</v>
      </c>
      <c r="D267" s="2" t="s">
        <v>9457</v>
      </c>
      <c r="E267" s="2" t="s">
        <v>8415</v>
      </c>
      <c r="F267" s="2" t="s">
        <v>4117</v>
      </c>
      <c r="G267" s="2" t="s">
        <v>1717</v>
      </c>
      <c r="H267" s="2"/>
      <c r="I267" s="3">
        <f t="shared" si="4"/>
        <v>646</v>
      </c>
    </row>
    <row r="268" spans="1:9" ht="84" x14ac:dyDescent="0.3">
      <c r="A268" s="2" t="s">
        <v>303</v>
      </c>
      <c r="B268" s="2" t="s">
        <v>8426</v>
      </c>
      <c r="C268" s="2" t="s">
        <v>535</v>
      </c>
      <c r="D268" s="2" t="s">
        <v>8427</v>
      </c>
      <c r="E268" s="2" t="s">
        <v>39</v>
      </c>
      <c r="F268" s="2"/>
      <c r="G268" s="2"/>
      <c r="H268" s="2" t="s">
        <v>537</v>
      </c>
      <c r="I268" s="3">
        <f t="shared" si="4"/>
        <v>657</v>
      </c>
    </row>
    <row r="269" spans="1:9" ht="84" x14ac:dyDescent="0.3">
      <c r="A269" s="2" t="s">
        <v>303</v>
      </c>
      <c r="B269" s="2" t="s">
        <v>8451</v>
      </c>
      <c r="C269" s="2" t="s">
        <v>8452</v>
      </c>
      <c r="D269" s="2" t="s">
        <v>8453</v>
      </c>
      <c r="E269" s="2" t="s">
        <v>39</v>
      </c>
      <c r="F269" s="2"/>
      <c r="G269" s="2"/>
      <c r="H269" s="2"/>
      <c r="I269" s="3">
        <f t="shared" si="4"/>
        <v>685</v>
      </c>
    </row>
    <row r="270" spans="1:9" ht="84" x14ac:dyDescent="0.3">
      <c r="A270" s="2" t="s">
        <v>303</v>
      </c>
      <c r="B270" s="2" t="s">
        <v>8474</v>
      </c>
      <c r="C270" s="2" t="s">
        <v>535</v>
      </c>
      <c r="D270" s="2" t="s">
        <v>8475</v>
      </c>
      <c r="E270" s="2" t="s">
        <v>39</v>
      </c>
      <c r="F270" s="2"/>
      <c r="G270" s="2"/>
      <c r="H270" s="2" t="s">
        <v>537</v>
      </c>
      <c r="I270" s="3">
        <f t="shared" si="4"/>
        <v>708</v>
      </c>
    </row>
    <row r="271" spans="1:9" ht="96" x14ac:dyDescent="0.3">
      <c r="A271" s="2" t="s">
        <v>303</v>
      </c>
      <c r="B271" s="2" t="s">
        <v>8493</v>
      </c>
      <c r="C271" s="2" t="s">
        <v>8173</v>
      </c>
      <c r="D271" s="2" t="s">
        <v>9458</v>
      </c>
      <c r="E271" s="2" t="s">
        <v>3980</v>
      </c>
      <c r="F271" s="2" t="s">
        <v>1778</v>
      </c>
      <c r="G271" s="2" t="s">
        <v>1717</v>
      </c>
      <c r="H271" s="2" t="s">
        <v>537</v>
      </c>
      <c r="I271" s="3">
        <f t="shared" si="4"/>
        <v>726</v>
      </c>
    </row>
    <row r="272" spans="1:9" ht="96" x14ac:dyDescent="0.3">
      <c r="A272" s="2" t="s">
        <v>303</v>
      </c>
      <c r="B272" s="2" t="s">
        <v>8497</v>
      </c>
      <c r="C272" s="2" t="s">
        <v>500</v>
      </c>
      <c r="D272" s="2" t="s">
        <v>9459</v>
      </c>
      <c r="E272" s="2" t="s">
        <v>6316</v>
      </c>
      <c r="F272" s="2" t="s">
        <v>4117</v>
      </c>
      <c r="G272" s="2" t="s">
        <v>1717</v>
      </c>
      <c r="H272" s="2" t="s">
        <v>402</v>
      </c>
      <c r="I272" s="3">
        <f t="shared" si="4"/>
        <v>733</v>
      </c>
    </row>
    <row r="273" spans="1:9" ht="96" x14ac:dyDescent="0.3">
      <c r="A273" s="2" t="s">
        <v>303</v>
      </c>
      <c r="B273" s="2" t="s">
        <v>8502</v>
      </c>
      <c r="C273" s="2" t="s">
        <v>389</v>
      </c>
      <c r="D273" s="2" t="s">
        <v>9460</v>
      </c>
      <c r="E273" s="2" t="s">
        <v>39</v>
      </c>
      <c r="F273" s="2" t="s">
        <v>3082</v>
      </c>
      <c r="G273" s="2" t="s">
        <v>1717</v>
      </c>
      <c r="H273" s="2"/>
      <c r="I273" s="3">
        <f t="shared" si="4"/>
        <v>741</v>
      </c>
    </row>
    <row r="274" spans="1:9" ht="96" x14ac:dyDescent="0.3">
      <c r="A274" s="2" t="s">
        <v>303</v>
      </c>
      <c r="B274" s="2" t="s">
        <v>8507</v>
      </c>
      <c r="C274" s="2"/>
      <c r="D274" s="2" t="s">
        <v>9461</v>
      </c>
      <c r="E274" s="2" t="s">
        <v>39</v>
      </c>
      <c r="F274" s="2" t="s">
        <v>3082</v>
      </c>
      <c r="G274" s="2" t="s">
        <v>1717</v>
      </c>
      <c r="H274" s="2" t="s">
        <v>194</v>
      </c>
      <c r="I274" s="3">
        <f t="shared" si="4"/>
        <v>757</v>
      </c>
    </row>
    <row r="275" spans="1:9" ht="96" x14ac:dyDescent="0.3">
      <c r="A275" s="2" t="s">
        <v>303</v>
      </c>
      <c r="B275" s="2" t="s">
        <v>4343</v>
      </c>
      <c r="C275" s="2" t="s">
        <v>14</v>
      </c>
      <c r="D275" s="2" t="s">
        <v>9462</v>
      </c>
      <c r="E275" s="2" t="s">
        <v>39</v>
      </c>
      <c r="F275" s="2" t="s">
        <v>1778</v>
      </c>
      <c r="G275" s="2" t="s">
        <v>1717</v>
      </c>
      <c r="H275" s="2"/>
      <c r="I275" s="3">
        <f t="shared" si="4"/>
        <v>769</v>
      </c>
    </row>
    <row r="276" spans="1:9" ht="96" x14ac:dyDescent="0.3">
      <c r="A276" s="2" t="s">
        <v>303</v>
      </c>
      <c r="B276" s="2" t="s">
        <v>8523</v>
      </c>
      <c r="C276" s="2" t="s">
        <v>8306</v>
      </c>
      <c r="D276" s="2" t="s">
        <v>8524</v>
      </c>
      <c r="E276" s="2" t="s">
        <v>39</v>
      </c>
      <c r="F276" s="2"/>
      <c r="G276" s="2"/>
      <c r="H276" s="2" t="s">
        <v>537</v>
      </c>
      <c r="I276" s="3">
        <f t="shared" si="4"/>
        <v>787</v>
      </c>
    </row>
    <row r="277" spans="1:9" ht="108" x14ac:dyDescent="0.3">
      <c r="A277" s="2" t="s">
        <v>303</v>
      </c>
      <c r="B277" s="2" t="s">
        <v>8536</v>
      </c>
      <c r="C277" s="2" t="s">
        <v>8537</v>
      </c>
      <c r="D277" s="2" t="s">
        <v>9463</v>
      </c>
      <c r="E277" s="2" t="s">
        <v>731</v>
      </c>
      <c r="F277" s="2" t="s">
        <v>2281</v>
      </c>
      <c r="G277" s="2" t="s">
        <v>1717</v>
      </c>
      <c r="H277" s="2" t="s">
        <v>898</v>
      </c>
      <c r="I277" s="3">
        <f t="shared" si="4"/>
        <v>818</v>
      </c>
    </row>
    <row r="278" spans="1:9" ht="96" x14ac:dyDescent="0.3">
      <c r="A278" s="2" t="s">
        <v>303</v>
      </c>
      <c r="B278" s="2" t="s">
        <v>8541</v>
      </c>
      <c r="C278" s="2" t="s">
        <v>535</v>
      </c>
      <c r="D278" s="2" t="s">
        <v>8542</v>
      </c>
      <c r="E278" s="2" t="s">
        <v>39</v>
      </c>
      <c r="F278" s="2"/>
      <c r="G278" s="2"/>
      <c r="H278" s="2" t="s">
        <v>537</v>
      </c>
      <c r="I278" s="3">
        <f t="shared" si="4"/>
        <v>827</v>
      </c>
    </row>
    <row r="279" spans="1:9" ht="108" x14ac:dyDescent="0.3">
      <c r="A279" s="2" t="s">
        <v>303</v>
      </c>
      <c r="B279" s="2" t="s">
        <v>8549</v>
      </c>
      <c r="C279" s="2" t="s">
        <v>7746</v>
      </c>
      <c r="D279" s="2" t="s">
        <v>9464</v>
      </c>
      <c r="E279" s="2" t="s">
        <v>39</v>
      </c>
      <c r="F279" s="2" t="s">
        <v>2281</v>
      </c>
      <c r="G279" s="2" t="s">
        <v>1717</v>
      </c>
      <c r="H279" s="2" t="s">
        <v>646</v>
      </c>
      <c r="I279" s="3">
        <f t="shared" si="4"/>
        <v>842</v>
      </c>
    </row>
    <row r="280" spans="1:9" ht="120" x14ac:dyDescent="0.3">
      <c r="A280" s="2" t="s">
        <v>303</v>
      </c>
      <c r="B280" s="2" t="s">
        <v>8585</v>
      </c>
      <c r="C280" s="2" t="s">
        <v>500</v>
      </c>
      <c r="D280" s="2" t="s">
        <v>8586</v>
      </c>
      <c r="E280" s="2" t="s">
        <v>39</v>
      </c>
      <c r="F280" s="2"/>
      <c r="G280" s="2" t="s">
        <v>1717</v>
      </c>
      <c r="H280" s="2" t="s">
        <v>402</v>
      </c>
      <c r="I280" s="3">
        <f t="shared" si="4"/>
        <v>931</v>
      </c>
    </row>
    <row r="281" spans="1:9" ht="132" x14ac:dyDescent="0.3">
      <c r="A281" s="2" t="s">
        <v>303</v>
      </c>
      <c r="B281" s="2" t="s">
        <v>8503</v>
      </c>
      <c r="C281" s="2" t="s">
        <v>7705</v>
      </c>
      <c r="D281" s="2" t="s">
        <v>9465</v>
      </c>
      <c r="E281" s="2" t="s">
        <v>39</v>
      </c>
      <c r="F281" s="2" t="s">
        <v>3082</v>
      </c>
      <c r="G281" s="2" t="s">
        <v>1717</v>
      </c>
      <c r="H281" s="2" t="s">
        <v>646</v>
      </c>
      <c r="I281" s="3">
        <f t="shared" si="4"/>
        <v>1082</v>
      </c>
    </row>
    <row r="282" spans="1:9" ht="132" x14ac:dyDescent="0.3">
      <c r="A282" s="2" t="s">
        <v>303</v>
      </c>
      <c r="B282" s="2" t="s">
        <v>5978</v>
      </c>
      <c r="C282" s="2" t="s">
        <v>8619</v>
      </c>
      <c r="D282" s="2" t="s">
        <v>9466</v>
      </c>
      <c r="E282" s="2" t="s">
        <v>39</v>
      </c>
      <c r="F282" s="2" t="s">
        <v>3082</v>
      </c>
      <c r="G282" s="2" t="s">
        <v>1717</v>
      </c>
      <c r="H282" s="2" t="s">
        <v>194</v>
      </c>
      <c r="I282" s="3">
        <f t="shared" si="4"/>
        <v>1105</v>
      </c>
    </row>
    <row r="283" spans="1:9" ht="132" x14ac:dyDescent="0.3">
      <c r="A283" s="2" t="s">
        <v>303</v>
      </c>
      <c r="B283" s="2" t="s">
        <v>8620</v>
      </c>
      <c r="C283" s="2" t="s">
        <v>45</v>
      </c>
      <c r="D283" s="2" t="s">
        <v>9467</v>
      </c>
      <c r="E283" s="2" t="s">
        <v>39</v>
      </c>
      <c r="F283" s="2" t="s">
        <v>1778</v>
      </c>
      <c r="G283" s="2" t="s">
        <v>1717</v>
      </c>
      <c r="H283" s="2"/>
      <c r="I283" s="3">
        <f t="shared" si="4"/>
        <v>1112</v>
      </c>
    </row>
    <row r="284" spans="1:9" ht="156" x14ac:dyDescent="0.3">
      <c r="A284" s="2" t="s">
        <v>303</v>
      </c>
      <c r="B284" s="2" t="s">
        <v>8626</v>
      </c>
      <c r="C284" s="2" t="s">
        <v>8627</v>
      </c>
      <c r="D284" s="2" t="s">
        <v>9468</v>
      </c>
      <c r="E284" s="2" t="s">
        <v>5938</v>
      </c>
      <c r="F284" s="2" t="s">
        <v>1778</v>
      </c>
      <c r="G284" s="2" t="s">
        <v>1717</v>
      </c>
      <c r="H284" s="2" t="s">
        <v>646</v>
      </c>
      <c r="I284" s="3">
        <f t="shared" si="4"/>
        <v>1244</v>
      </c>
    </row>
    <row r="285" spans="1:9" ht="192" x14ac:dyDescent="0.3">
      <c r="A285" s="2" t="s">
        <v>303</v>
      </c>
      <c r="B285" s="2" t="s">
        <v>8641</v>
      </c>
      <c r="C285" s="2" t="s">
        <v>8642</v>
      </c>
      <c r="D285" s="2" t="s">
        <v>9469</v>
      </c>
      <c r="E285" s="2" t="s">
        <v>3209</v>
      </c>
      <c r="F285" s="2" t="s">
        <v>8643</v>
      </c>
      <c r="G285" s="2" t="s">
        <v>1717</v>
      </c>
      <c r="H285" s="2" t="s">
        <v>86</v>
      </c>
      <c r="I285" s="3">
        <f t="shared" si="4"/>
        <v>1514</v>
      </c>
    </row>
  </sheetData>
  <autoFilter ref="A1:I285" xr:uid="{00000000-0009-0000-0000-000000000000}">
    <sortState xmlns:xlrd2="http://schemas.microsoft.com/office/spreadsheetml/2017/richdata2" ref="A2:I285">
      <sortCondition ref="A1:A285"/>
    </sortState>
  </autoFilter>
  <conditionalFormatting sqref="H1:H287">
    <cfRule type="notContainsBlanks" dxfId="5" priority="1">
      <formula>LEN(TRIM(H1))&gt;0</formula>
    </cfRule>
  </conditionalFormatting>
  <dataValidations count="2">
    <dataValidation type="list" allowBlank="1" sqref="H2:H285" xr:uid="{0A135374-C494-4E1D-A509-D7D4512B6C2A}">
      <formula1>#REF!</formula1>
    </dataValidation>
    <dataValidation type="list" allowBlank="1" showErrorMessage="1" sqref="C2:C285" xr:uid="{9FA121D7-BA7E-4853-B120-E0CA9A61B58D}">
      <formula1>#REF!</formula1>
    </dataValidation>
  </dataValidations>
  <pageMargins left="0.7" right="0.7" top="0.75" bottom="0.75" header="0" footer="0"/>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DCC64-F56C-44BE-B8F8-31F2519D4F67}">
  <dimension ref="A1:I282"/>
  <sheetViews>
    <sheetView topLeftCell="B1" workbookViewId="0">
      <pane ySplit="1" topLeftCell="A232" activePane="bottomLeft" state="frozen"/>
      <selection pane="bottomLeft" activeCell="C21" sqref="C21"/>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1031</v>
      </c>
      <c r="B2" s="2" t="s">
        <v>1032</v>
      </c>
      <c r="C2" s="2"/>
      <c r="D2" s="2" t="s">
        <v>1033</v>
      </c>
      <c r="E2" s="2" t="s">
        <v>39</v>
      </c>
      <c r="F2" s="2"/>
      <c r="G2" s="2"/>
      <c r="H2" s="2" t="s">
        <v>194</v>
      </c>
      <c r="I2" s="3">
        <f t="shared" ref="I2:I65" si="0">LEN(D2)</f>
        <v>56</v>
      </c>
    </row>
    <row r="3" spans="1:9" x14ac:dyDescent="0.3">
      <c r="A3" s="2" t="s">
        <v>1031</v>
      </c>
      <c r="B3" s="2" t="s">
        <v>1111</v>
      </c>
      <c r="C3" s="2" t="s">
        <v>559</v>
      </c>
      <c r="D3" s="2" t="s">
        <v>1112</v>
      </c>
      <c r="E3" s="2" t="s">
        <v>39</v>
      </c>
      <c r="F3" s="2"/>
      <c r="G3" s="2"/>
      <c r="H3" s="2"/>
      <c r="I3" s="3">
        <f t="shared" si="0"/>
        <v>57</v>
      </c>
    </row>
    <row r="4" spans="1:9" x14ac:dyDescent="0.3">
      <c r="A4" s="2" t="s">
        <v>1031</v>
      </c>
      <c r="B4" s="2" t="s">
        <v>1254</v>
      </c>
      <c r="C4" s="2" t="s">
        <v>1255</v>
      </c>
      <c r="D4" s="2" t="s">
        <v>1256</v>
      </c>
      <c r="E4" s="2" t="s">
        <v>39</v>
      </c>
      <c r="F4" s="2"/>
      <c r="G4" s="2"/>
      <c r="H4" s="2" t="s">
        <v>194</v>
      </c>
      <c r="I4" s="3">
        <f t="shared" si="0"/>
        <v>60</v>
      </c>
    </row>
    <row r="5" spans="1:9" x14ac:dyDescent="0.3">
      <c r="A5" s="2" t="s">
        <v>1031</v>
      </c>
      <c r="B5" s="2" t="s">
        <v>1343</v>
      </c>
      <c r="C5" s="2"/>
      <c r="D5" s="2" t="s">
        <v>1344</v>
      </c>
      <c r="E5" s="2" t="s">
        <v>39</v>
      </c>
      <c r="F5" s="2"/>
      <c r="G5" s="2"/>
      <c r="H5" s="2"/>
      <c r="I5" s="3">
        <f t="shared" si="0"/>
        <v>62</v>
      </c>
    </row>
    <row r="6" spans="1:9" x14ac:dyDescent="0.3">
      <c r="A6" s="2" t="s">
        <v>1031</v>
      </c>
      <c r="B6" s="2" t="s">
        <v>1587</v>
      </c>
      <c r="C6" s="2"/>
      <c r="D6" s="2" t="s">
        <v>1588</v>
      </c>
      <c r="E6" s="2" t="s">
        <v>39</v>
      </c>
      <c r="F6" s="2"/>
      <c r="G6" s="2"/>
      <c r="H6" s="2"/>
      <c r="I6" s="3">
        <f t="shared" si="0"/>
        <v>66</v>
      </c>
    </row>
    <row r="7" spans="1:9" x14ac:dyDescent="0.3">
      <c r="A7" s="2" t="s">
        <v>1031</v>
      </c>
      <c r="B7" s="2" t="s">
        <v>2179</v>
      </c>
      <c r="C7" s="2"/>
      <c r="D7" s="2" t="s">
        <v>2180</v>
      </c>
      <c r="E7" s="2" t="s">
        <v>39</v>
      </c>
      <c r="F7" s="2"/>
      <c r="G7" s="2"/>
      <c r="H7" s="2"/>
      <c r="I7" s="3">
        <f t="shared" si="0"/>
        <v>76</v>
      </c>
    </row>
    <row r="8" spans="1:9" x14ac:dyDescent="0.3">
      <c r="A8" s="2" t="s">
        <v>1031</v>
      </c>
      <c r="B8" s="2" t="s">
        <v>2224</v>
      </c>
      <c r="C8" s="2" t="s">
        <v>422</v>
      </c>
      <c r="D8" s="2" t="s">
        <v>2225</v>
      </c>
      <c r="E8" s="2" t="s">
        <v>39</v>
      </c>
      <c r="F8" s="2"/>
      <c r="G8" s="2"/>
      <c r="H8" s="2"/>
      <c r="I8" s="3">
        <f t="shared" si="0"/>
        <v>77</v>
      </c>
    </row>
    <row r="9" spans="1:9" x14ac:dyDescent="0.3">
      <c r="A9" s="2" t="s">
        <v>1031</v>
      </c>
      <c r="B9" s="2" t="s">
        <v>2358</v>
      </c>
      <c r="C9" s="2" t="s">
        <v>491</v>
      </c>
      <c r="D9" s="2" t="s">
        <v>2359</v>
      </c>
      <c r="E9" s="2" t="s">
        <v>39</v>
      </c>
      <c r="F9" s="2"/>
      <c r="G9" s="2"/>
      <c r="H9" s="2"/>
      <c r="I9" s="3">
        <f t="shared" si="0"/>
        <v>80</v>
      </c>
    </row>
    <row r="10" spans="1:9" x14ac:dyDescent="0.3">
      <c r="A10" s="2" t="s">
        <v>1031</v>
      </c>
      <c r="B10" s="2" t="s">
        <v>2392</v>
      </c>
      <c r="C10" s="2" t="s">
        <v>253</v>
      </c>
      <c r="D10" s="2" t="s">
        <v>2393</v>
      </c>
      <c r="E10" s="2" t="s">
        <v>39</v>
      </c>
      <c r="F10" s="2"/>
      <c r="G10" s="2"/>
      <c r="H10" s="2"/>
      <c r="I10" s="3">
        <f t="shared" si="0"/>
        <v>81</v>
      </c>
    </row>
    <row r="11" spans="1:9" x14ac:dyDescent="0.3">
      <c r="A11" s="2" t="s">
        <v>1031</v>
      </c>
      <c r="B11" s="2" t="s">
        <v>2591</v>
      </c>
      <c r="C11" s="2" t="s">
        <v>559</v>
      </c>
      <c r="D11" s="2" t="s">
        <v>2592</v>
      </c>
      <c r="E11" s="2" t="s">
        <v>39</v>
      </c>
      <c r="F11" s="2"/>
      <c r="G11" s="2"/>
      <c r="H11" s="2"/>
      <c r="I11" s="3">
        <f t="shared" si="0"/>
        <v>84</v>
      </c>
    </row>
    <row r="12" spans="1:9" x14ac:dyDescent="0.3">
      <c r="A12" s="2" t="s">
        <v>1031</v>
      </c>
      <c r="B12" s="2" t="s">
        <v>1455</v>
      </c>
      <c r="C12" s="2" t="s">
        <v>389</v>
      </c>
      <c r="D12" s="2" t="s">
        <v>2671</v>
      </c>
      <c r="E12" s="2" t="s">
        <v>39</v>
      </c>
      <c r="F12" s="2"/>
      <c r="G12" s="2"/>
      <c r="H12" s="2"/>
      <c r="I12" s="3">
        <f t="shared" si="0"/>
        <v>85</v>
      </c>
    </row>
    <row r="13" spans="1:9" x14ac:dyDescent="0.3">
      <c r="A13" s="2" t="s">
        <v>1031</v>
      </c>
      <c r="B13" s="2" t="s">
        <v>504</v>
      </c>
      <c r="C13" s="2"/>
      <c r="D13" s="2" t="s">
        <v>2703</v>
      </c>
      <c r="E13" s="2" t="s">
        <v>39</v>
      </c>
      <c r="F13" s="2"/>
      <c r="G13" s="2"/>
      <c r="H13" s="2"/>
      <c r="I13" s="3">
        <f t="shared" si="0"/>
        <v>86</v>
      </c>
    </row>
    <row r="14" spans="1:9" x14ac:dyDescent="0.3">
      <c r="A14" s="2" t="s">
        <v>1031</v>
      </c>
      <c r="B14" s="2" t="s">
        <v>2704</v>
      </c>
      <c r="C14" s="2" t="s">
        <v>559</v>
      </c>
      <c r="D14" s="2" t="s">
        <v>2705</v>
      </c>
      <c r="E14" s="2" t="s">
        <v>39</v>
      </c>
      <c r="F14" s="2"/>
      <c r="G14" s="2"/>
      <c r="H14" s="2"/>
      <c r="I14" s="3">
        <f t="shared" si="0"/>
        <v>86</v>
      </c>
    </row>
    <row r="15" spans="1:9" x14ac:dyDescent="0.3">
      <c r="A15" s="2" t="s">
        <v>1031</v>
      </c>
      <c r="B15" s="2" t="s">
        <v>2762</v>
      </c>
      <c r="C15" s="2" t="s">
        <v>253</v>
      </c>
      <c r="D15" s="2" t="s">
        <v>2763</v>
      </c>
      <c r="E15" s="2" t="s">
        <v>39</v>
      </c>
      <c r="F15" s="2"/>
      <c r="G15" s="2"/>
      <c r="H15" s="2"/>
      <c r="I15" s="3">
        <f t="shared" si="0"/>
        <v>87</v>
      </c>
    </row>
    <row r="16" spans="1:9" x14ac:dyDescent="0.3">
      <c r="A16" s="2" t="s">
        <v>1031</v>
      </c>
      <c r="B16" s="2" t="s">
        <v>2817</v>
      </c>
      <c r="C16" s="2"/>
      <c r="D16" s="2" t="s">
        <v>2818</v>
      </c>
      <c r="E16" s="2" t="s">
        <v>39</v>
      </c>
      <c r="F16" s="2"/>
      <c r="G16" s="2"/>
      <c r="H16" s="2" t="s">
        <v>194</v>
      </c>
      <c r="I16" s="3">
        <f t="shared" si="0"/>
        <v>88</v>
      </c>
    </row>
    <row r="17" spans="1:9" x14ac:dyDescent="0.3">
      <c r="A17" s="2" t="s">
        <v>1031</v>
      </c>
      <c r="B17" s="2" t="s">
        <v>2819</v>
      </c>
      <c r="C17" s="2" t="s">
        <v>253</v>
      </c>
      <c r="D17" s="2" t="s">
        <v>2820</v>
      </c>
      <c r="E17" s="2" t="s">
        <v>39</v>
      </c>
      <c r="F17" s="2"/>
      <c r="G17" s="2"/>
      <c r="H17" s="2"/>
      <c r="I17" s="3">
        <f t="shared" si="0"/>
        <v>88</v>
      </c>
    </row>
    <row r="18" spans="1:9" x14ac:dyDescent="0.3">
      <c r="A18" s="2" t="s">
        <v>1031</v>
      </c>
      <c r="B18" s="2" t="s">
        <v>2833</v>
      </c>
      <c r="C18" s="2"/>
      <c r="D18" s="2" t="s">
        <v>2834</v>
      </c>
      <c r="E18" s="2" t="s">
        <v>39</v>
      </c>
      <c r="F18" s="2"/>
      <c r="G18" s="2"/>
      <c r="H18" s="2"/>
      <c r="I18" s="3">
        <f t="shared" si="0"/>
        <v>88</v>
      </c>
    </row>
    <row r="19" spans="1:9" x14ac:dyDescent="0.3">
      <c r="A19" s="2" t="s">
        <v>1031</v>
      </c>
      <c r="B19" s="2" t="s">
        <v>2874</v>
      </c>
      <c r="C19" s="2"/>
      <c r="D19" s="2" t="s">
        <v>2875</v>
      </c>
      <c r="E19" s="2" t="s">
        <v>39</v>
      </c>
      <c r="F19" s="2"/>
      <c r="G19" s="2"/>
      <c r="H19" s="2"/>
      <c r="I19" s="3">
        <f t="shared" si="0"/>
        <v>89</v>
      </c>
    </row>
    <row r="20" spans="1:9" x14ac:dyDescent="0.3">
      <c r="A20" s="2" t="s">
        <v>1031</v>
      </c>
      <c r="B20" s="2" t="s">
        <v>177</v>
      </c>
      <c r="C20" s="2" t="s">
        <v>178</v>
      </c>
      <c r="D20" s="2" t="s">
        <v>2935</v>
      </c>
      <c r="E20" s="2" t="s">
        <v>39</v>
      </c>
      <c r="F20" s="2"/>
      <c r="G20" s="2"/>
      <c r="H20" s="2"/>
      <c r="I20" s="3">
        <f t="shared" si="0"/>
        <v>90</v>
      </c>
    </row>
    <row r="21" spans="1:9" x14ac:dyDescent="0.3">
      <c r="A21" s="2" t="s">
        <v>1031</v>
      </c>
      <c r="B21" s="2" t="s">
        <v>3256</v>
      </c>
      <c r="C21" s="2" t="s">
        <v>253</v>
      </c>
      <c r="D21" s="2" t="s">
        <v>3257</v>
      </c>
      <c r="E21" s="2" t="s">
        <v>39</v>
      </c>
      <c r="F21" s="2"/>
      <c r="G21" s="2"/>
      <c r="H21" s="2"/>
      <c r="I21" s="3">
        <f t="shared" si="0"/>
        <v>97</v>
      </c>
    </row>
    <row r="22" spans="1:9" x14ac:dyDescent="0.3">
      <c r="A22" s="2" t="s">
        <v>1031</v>
      </c>
      <c r="B22" s="2" t="s">
        <v>1455</v>
      </c>
      <c r="C22" s="2" t="s">
        <v>389</v>
      </c>
      <c r="D22" s="2" t="s">
        <v>3283</v>
      </c>
      <c r="E22" s="2" t="s">
        <v>39</v>
      </c>
      <c r="F22" s="2"/>
      <c r="G22" s="2"/>
      <c r="H22" s="2"/>
      <c r="I22" s="3">
        <f t="shared" si="0"/>
        <v>97</v>
      </c>
    </row>
    <row r="23" spans="1:9" x14ac:dyDescent="0.3">
      <c r="A23" s="2" t="s">
        <v>1031</v>
      </c>
      <c r="B23" s="2" t="s">
        <v>3422</v>
      </c>
      <c r="C23" s="2"/>
      <c r="D23" s="2" t="s">
        <v>3423</v>
      </c>
      <c r="E23" s="2" t="s">
        <v>39</v>
      </c>
      <c r="F23" s="2"/>
      <c r="G23" s="2"/>
      <c r="H23" s="2" t="s">
        <v>194</v>
      </c>
      <c r="I23" s="3">
        <f t="shared" si="0"/>
        <v>100</v>
      </c>
    </row>
    <row r="24" spans="1:9" x14ac:dyDescent="0.3">
      <c r="A24" s="2" t="s">
        <v>1031</v>
      </c>
      <c r="B24" s="2" t="s">
        <v>3434</v>
      </c>
      <c r="C24" s="2"/>
      <c r="D24" s="2" t="s">
        <v>3435</v>
      </c>
      <c r="E24" s="2" t="s">
        <v>39</v>
      </c>
      <c r="F24" s="2"/>
      <c r="G24" s="2"/>
      <c r="H24" s="2" t="s">
        <v>194</v>
      </c>
      <c r="I24" s="3">
        <f t="shared" si="0"/>
        <v>101</v>
      </c>
    </row>
    <row r="25" spans="1:9" x14ac:dyDescent="0.3">
      <c r="A25" s="2" t="s">
        <v>1031</v>
      </c>
      <c r="B25" s="2" t="s">
        <v>3436</v>
      </c>
      <c r="C25" s="2" t="s">
        <v>590</v>
      </c>
      <c r="D25" s="2" t="s">
        <v>3437</v>
      </c>
      <c r="E25" s="2" t="s">
        <v>211</v>
      </c>
      <c r="F25" s="2"/>
      <c r="G25" s="2"/>
      <c r="H25" s="2"/>
      <c r="I25" s="3">
        <f t="shared" si="0"/>
        <v>101</v>
      </c>
    </row>
    <row r="26" spans="1:9" x14ac:dyDescent="0.3">
      <c r="A26" s="2" t="s">
        <v>1031</v>
      </c>
      <c r="B26" s="2" t="s">
        <v>3554</v>
      </c>
      <c r="C26" s="2" t="s">
        <v>1255</v>
      </c>
      <c r="D26" s="2" t="s">
        <v>3555</v>
      </c>
      <c r="E26" s="2" t="s">
        <v>39</v>
      </c>
      <c r="F26" s="2"/>
      <c r="G26" s="2"/>
      <c r="H26" s="2"/>
      <c r="I26" s="3">
        <f t="shared" si="0"/>
        <v>104</v>
      </c>
    </row>
    <row r="27" spans="1:9" ht="24" x14ac:dyDescent="0.3">
      <c r="A27" s="2" t="s">
        <v>1031</v>
      </c>
      <c r="B27" s="2" t="s">
        <v>3556</v>
      </c>
      <c r="C27" s="2" t="s">
        <v>95</v>
      </c>
      <c r="D27" s="2" t="s">
        <v>3557</v>
      </c>
      <c r="E27" s="2" t="s">
        <v>39</v>
      </c>
      <c r="F27" s="2"/>
      <c r="G27" s="2"/>
      <c r="H27" s="2"/>
      <c r="I27" s="3">
        <f t="shared" si="0"/>
        <v>104</v>
      </c>
    </row>
    <row r="28" spans="1:9" x14ac:dyDescent="0.3">
      <c r="A28" s="2" t="s">
        <v>1031</v>
      </c>
      <c r="B28" s="2" t="s">
        <v>3558</v>
      </c>
      <c r="C28" s="2" t="s">
        <v>253</v>
      </c>
      <c r="D28" s="2" t="s">
        <v>3559</v>
      </c>
      <c r="E28" s="2" t="s">
        <v>39</v>
      </c>
      <c r="F28" s="2"/>
      <c r="G28" s="2"/>
      <c r="H28" s="2"/>
      <c r="I28" s="3">
        <f t="shared" si="0"/>
        <v>104</v>
      </c>
    </row>
    <row r="29" spans="1:9" ht="24" x14ac:dyDescent="0.3">
      <c r="A29" s="2" t="s">
        <v>1031</v>
      </c>
      <c r="B29" s="2" t="s">
        <v>3696</v>
      </c>
      <c r="C29" s="2" t="s">
        <v>559</v>
      </c>
      <c r="D29" s="2" t="s">
        <v>3697</v>
      </c>
      <c r="E29" s="2" t="s">
        <v>39</v>
      </c>
      <c r="F29" s="2"/>
      <c r="G29" s="2"/>
      <c r="H29" s="2"/>
      <c r="I29" s="3">
        <f t="shared" si="0"/>
        <v>107</v>
      </c>
    </row>
    <row r="30" spans="1:9" ht="24" x14ac:dyDescent="0.3">
      <c r="A30" s="2" t="s">
        <v>1031</v>
      </c>
      <c r="B30" s="2" t="s">
        <v>3903</v>
      </c>
      <c r="C30" s="2"/>
      <c r="D30" s="2" t="s">
        <v>3904</v>
      </c>
      <c r="E30" s="2" t="s">
        <v>39</v>
      </c>
      <c r="F30" s="2"/>
      <c r="G30" s="2"/>
      <c r="H30" s="2"/>
      <c r="I30" s="3">
        <f t="shared" si="0"/>
        <v>112</v>
      </c>
    </row>
    <row r="31" spans="1:9" ht="24" x14ac:dyDescent="0.3">
      <c r="A31" s="2" t="s">
        <v>1031</v>
      </c>
      <c r="B31" s="2" t="s">
        <v>3950</v>
      </c>
      <c r="C31" s="2" t="s">
        <v>95</v>
      </c>
      <c r="D31" s="2" t="s">
        <v>3951</v>
      </c>
      <c r="E31" s="2" t="s">
        <v>39</v>
      </c>
      <c r="F31" s="2"/>
      <c r="G31" s="2"/>
      <c r="H31" s="2"/>
      <c r="I31" s="3">
        <f t="shared" si="0"/>
        <v>113</v>
      </c>
    </row>
    <row r="32" spans="1:9" ht="24" x14ac:dyDescent="0.3">
      <c r="A32" s="2" t="s">
        <v>1031</v>
      </c>
      <c r="B32" s="2" t="s">
        <v>4030</v>
      </c>
      <c r="C32" s="2" t="s">
        <v>422</v>
      </c>
      <c r="D32" s="2" t="s">
        <v>4031</v>
      </c>
      <c r="E32" s="2" t="s">
        <v>39</v>
      </c>
      <c r="F32" s="2"/>
      <c r="G32" s="2"/>
      <c r="H32" s="2"/>
      <c r="I32" s="3">
        <f t="shared" si="0"/>
        <v>115</v>
      </c>
    </row>
    <row r="33" spans="1:9" ht="24" x14ac:dyDescent="0.3">
      <c r="A33" s="2" t="s">
        <v>1031</v>
      </c>
      <c r="B33" s="2" t="s">
        <v>4090</v>
      </c>
      <c r="C33" s="2" t="s">
        <v>807</v>
      </c>
      <c r="D33" s="2" t="s">
        <v>4091</v>
      </c>
      <c r="E33" s="2" t="s">
        <v>1776</v>
      </c>
      <c r="F33" s="2"/>
      <c r="G33" s="2"/>
      <c r="H33" s="2"/>
      <c r="I33" s="3">
        <f t="shared" si="0"/>
        <v>117</v>
      </c>
    </row>
    <row r="34" spans="1:9" ht="24" x14ac:dyDescent="0.3">
      <c r="A34" s="2" t="s">
        <v>1031</v>
      </c>
      <c r="B34" s="2" t="s">
        <v>4092</v>
      </c>
      <c r="C34" s="2"/>
      <c r="D34" s="2" t="s">
        <v>4093</v>
      </c>
      <c r="E34" s="2" t="s">
        <v>39</v>
      </c>
      <c r="F34" s="2"/>
      <c r="G34" s="2"/>
      <c r="H34" s="2" t="s">
        <v>194</v>
      </c>
      <c r="I34" s="3">
        <f t="shared" si="0"/>
        <v>117</v>
      </c>
    </row>
    <row r="35" spans="1:9" ht="24" x14ac:dyDescent="0.3">
      <c r="A35" s="2" t="s">
        <v>1031</v>
      </c>
      <c r="B35" s="2" t="s">
        <v>4128</v>
      </c>
      <c r="C35" s="2" t="s">
        <v>4129</v>
      </c>
      <c r="D35" s="2" t="s">
        <v>4130</v>
      </c>
      <c r="E35" s="2" t="s">
        <v>39</v>
      </c>
      <c r="F35" s="2"/>
      <c r="G35" s="2"/>
      <c r="H35" s="2"/>
      <c r="I35" s="3">
        <f t="shared" si="0"/>
        <v>118</v>
      </c>
    </row>
    <row r="36" spans="1:9" ht="24" x14ac:dyDescent="0.3">
      <c r="A36" s="2" t="s">
        <v>1031</v>
      </c>
      <c r="B36" s="2" t="s">
        <v>1111</v>
      </c>
      <c r="C36" s="2" t="s">
        <v>559</v>
      </c>
      <c r="D36" s="2" t="s">
        <v>4190</v>
      </c>
      <c r="E36" s="2" t="s">
        <v>39</v>
      </c>
      <c r="F36" s="2"/>
      <c r="G36" s="2"/>
      <c r="H36" s="2"/>
      <c r="I36" s="3">
        <f t="shared" si="0"/>
        <v>120</v>
      </c>
    </row>
    <row r="37" spans="1:9" ht="24" x14ac:dyDescent="0.3">
      <c r="A37" s="2" t="s">
        <v>1031</v>
      </c>
      <c r="B37" s="2" t="s">
        <v>3536</v>
      </c>
      <c r="C37" s="2" t="s">
        <v>559</v>
      </c>
      <c r="D37" s="2" t="s">
        <v>4273</v>
      </c>
      <c r="E37" s="2" t="s">
        <v>39</v>
      </c>
      <c r="F37" s="2"/>
      <c r="G37" s="2"/>
      <c r="H37" s="2"/>
      <c r="I37" s="3">
        <f t="shared" si="0"/>
        <v>122</v>
      </c>
    </row>
    <row r="38" spans="1:9" ht="24" x14ac:dyDescent="0.3">
      <c r="A38" s="2" t="s">
        <v>1031</v>
      </c>
      <c r="B38" s="2" t="s">
        <v>2560</v>
      </c>
      <c r="C38" s="2"/>
      <c r="D38" s="2" t="s">
        <v>4274</v>
      </c>
      <c r="E38" s="2" t="s">
        <v>39</v>
      </c>
      <c r="F38" s="2"/>
      <c r="G38" s="2"/>
      <c r="H38" s="2" t="s">
        <v>646</v>
      </c>
      <c r="I38" s="3">
        <f t="shared" si="0"/>
        <v>122</v>
      </c>
    </row>
    <row r="39" spans="1:9" ht="24" x14ac:dyDescent="0.3">
      <c r="A39" s="2" t="s">
        <v>1031</v>
      </c>
      <c r="B39" s="2" t="s">
        <v>4306</v>
      </c>
      <c r="C39" s="2"/>
      <c r="D39" s="2" t="s">
        <v>4307</v>
      </c>
      <c r="E39" s="2" t="s">
        <v>4308</v>
      </c>
      <c r="F39" s="2"/>
      <c r="G39" s="2"/>
      <c r="H39" s="2"/>
      <c r="I39" s="3">
        <f t="shared" si="0"/>
        <v>123</v>
      </c>
    </row>
    <row r="40" spans="1:9" ht="24" x14ac:dyDescent="0.3">
      <c r="A40" s="2" t="s">
        <v>1031</v>
      </c>
      <c r="B40" s="2" t="s">
        <v>4309</v>
      </c>
      <c r="C40" s="2"/>
      <c r="D40" s="2" t="s">
        <v>4310</v>
      </c>
      <c r="E40" s="2" t="s">
        <v>39</v>
      </c>
      <c r="F40" s="2"/>
      <c r="G40" s="2"/>
      <c r="H40" s="2" t="s">
        <v>646</v>
      </c>
      <c r="I40" s="3">
        <f t="shared" si="0"/>
        <v>123</v>
      </c>
    </row>
    <row r="41" spans="1:9" ht="24" x14ac:dyDescent="0.3">
      <c r="A41" s="2" t="s">
        <v>1031</v>
      </c>
      <c r="B41" s="2" t="s">
        <v>4311</v>
      </c>
      <c r="C41" s="2" t="s">
        <v>559</v>
      </c>
      <c r="D41" s="2" t="s">
        <v>4312</v>
      </c>
      <c r="E41" s="2" t="s">
        <v>39</v>
      </c>
      <c r="F41" s="2"/>
      <c r="G41" s="2"/>
      <c r="H41" s="2"/>
      <c r="I41" s="3">
        <f t="shared" si="0"/>
        <v>123</v>
      </c>
    </row>
    <row r="42" spans="1:9" ht="24" x14ac:dyDescent="0.3">
      <c r="A42" s="2" t="s">
        <v>1031</v>
      </c>
      <c r="B42" s="2" t="s">
        <v>4329</v>
      </c>
      <c r="C42" s="2" t="s">
        <v>412</v>
      </c>
      <c r="D42" s="2" t="s">
        <v>4330</v>
      </c>
      <c r="E42" s="2" t="s">
        <v>39</v>
      </c>
      <c r="F42" s="2"/>
      <c r="G42" s="2"/>
      <c r="H42" s="2" t="s">
        <v>646</v>
      </c>
      <c r="I42" s="3">
        <f t="shared" si="0"/>
        <v>124</v>
      </c>
    </row>
    <row r="43" spans="1:9" ht="24" x14ac:dyDescent="0.3">
      <c r="A43" s="2" t="s">
        <v>1031</v>
      </c>
      <c r="B43" s="2" t="s">
        <v>4370</v>
      </c>
      <c r="C43" s="2"/>
      <c r="D43" s="2" t="s">
        <v>4371</v>
      </c>
      <c r="E43" s="2" t="s">
        <v>39</v>
      </c>
      <c r="F43" s="2"/>
      <c r="G43" s="2"/>
      <c r="H43" s="2"/>
      <c r="I43" s="3">
        <f t="shared" si="0"/>
        <v>125</v>
      </c>
    </row>
    <row r="44" spans="1:9" ht="24" x14ac:dyDescent="0.3">
      <c r="A44" s="2" t="s">
        <v>1031</v>
      </c>
      <c r="B44" s="2" t="s">
        <v>4399</v>
      </c>
      <c r="C44" s="2" t="s">
        <v>4400</v>
      </c>
      <c r="D44" s="2" t="s">
        <v>4401</v>
      </c>
      <c r="E44" s="2" t="s">
        <v>39</v>
      </c>
      <c r="F44" s="2"/>
      <c r="G44" s="2"/>
      <c r="H44" s="2"/>
      <c r="I44" s="3">
        <f t="shared" si="0"/>
        <v>126</v>
      </c>
    </row>
    <row r="45" spans="1:9" ht="24" x14ac:dyDescent="0.3">
      <c r="A45" s="2" t="s">
        <v>1031</v>
      </c>
      <c r="B45" s="2" t="s">
        <v>4461</v>
      </c>
      <c r="C45" s="2" t="s">
        <v>389</v>
      </c>
      <c r="D45" s="2" t="s">
        <v>4462</v>
      </c>
      <c r="E45" s="2" t="s">
        <v>39</v>
      </c>
      <c r="F45" s="2"/>
      <c r="G45" s="2"/>
      <c r="H45" s="2"/>
      <c r="I45" s="3">
        <f t="shared" si="0"/>
        <v>128</v>
      </c>
    </row>
    <row r="46" spans="1:9" ht="24" x14ac:dyDescent="0.3">
      <c r="A46" s="2" t="s">
        <v>1031</v>
      </c>
      <c r="B46" s="2" t="s">
        <v>4498</v>
      </c>
      <c r="C46" s="2" t="s">
        <v>559</v>
      </c>
      <c r="D46" s="2" t="s">
        <v>4499</v>
      </c>
      <c r="E46" s="2" t="s">
        <v>39</v>
      </c>
      <c r="F46" s="2"/>
      <c r="G46" s="2"/>
      <c r="H46" s="2"/>
      <c r="I46" s="3">
        <f t="shared" si="0"/>
        <v>129</v>
      </c>
    </row>
    <row r="47" spans="1:9" ht="24" x14ac:dyDescent="0.3">
      <c r="A47" s="2" t="s">
        <v>1031</v>
      </c>
      <c r="B47" s="2" t="s">
        <v>4546</v>
      </c>
      <c r="C47" s="2"/>
      <c r="D47" s="2" t="s">
        <v>4547</v>
      </c>
      <c r="E47" s="2" t="s">
        <v>39</v>
      </c>
      <c r="F47" s="2"/>
      <c r="G47" s="2"/>
      <c r="H47" s="2"/>
      <c r="I47" s="3">
        <f t="shared" si="0"/>
        <v>130</v>
      </c>
    </row>
    <row r="48" spans="1:9" ht="24" x14ac:dyDescent="0.3">
      <c r="A48" s="2" t="s">
        <v>1031</v>
      </c>
      <c r="B48" s="2" t="s">
        <v>4548</v>
      </c>
      <c r="C48" s="2" t="s">
        <v>559</v>
      </c>
      <c r="D48" s="2" t="s">
        <v>4549</v>
      </c>
      <c r="E48" s="2" t="s">
        <v>1776</v>
      </c>
      <c r="F48" s="2"/>
      <c r="G48" s="2"/>
      <c r="H48" s="2"/>
      <c r="I48" s="3">
        <f t="shared" si="0"/>
        <v>130</v>
      </c>
    </row>
    <row r="49" spans="1:9" ht="24" x14ac:dyDescent="0.3">
      <c r="A49" s="2" t="s">
        <v>1031</v>
      </c>
      <c r="B49" s="2" t="s">
        <v>4567</v>
      </c>
      <c r="C49" s="2"/>
      <c r="D49" s="2" t="s">
        <v>4568</v>
      </c>
      <c r="E49" s="2" t="s">
        <v>39</v>
      </c>
      <c r="F49" s="2"/>
      <c r="G49" s="2"/>
      <c r="H49" s="2" t="s">
        <v>646</v>
      </c>
      <c r="I49" s="3">
        <f t="shared" si="0"/>
        <v>131</v>
      </c>
    </row>
    <row r="50" spans="1:9" ht="24" x14ac:dyDescent="0.3">
      <c r="A50" s="2" t="s">
        <v>1031</v>
      </c>
      <c r="B50" s="2" t="s">
        <v>4569</v>
      </c>
      <c r="C50" s="2" t="s">
        <v>559</v>
      </c>
      <c r="D50" s="2" t="s">
        <v>4570</v>
      </c>
      <c r="E50" s="2" t="s">
        <v>39</v>
      </c>
      <c r="F50" s="2"/>
      <c r="G50" s="2"/>
      <c r="H50" s="2"/>
      <c r="I50" s="3">
        <f t="shared" si="0"/>
        <v>131</v>
      </c>
    </row>
    <row r="51" spans="1:9" ht="24" x14ac:dyDescent="0.3">
      <c r="A51" s="2" t="s">
        <v>1031</v>
      </c>
      <c r="B51" s="2" t="s">
        <v>4627</v>
      </c>
      <c r="C51" s="2"/>
      <c r="D51" s="2" t="s">
        <v>4628</v>
      </c>
      <c r="E51" s="2" t="s">
        <v>39</v>
      </c>
      <c r="F51" s="2"/>
      <c r="G51" s="2"/>
      <c r="H51" s="2"/>
      <c r="I51" s="3">
        <f t="shared" si="0"/>
        <v>133</v>
      </c>
    </row>
    <row r="52" spans="1:9" ht="24" x14ac:dyDescent="0.3">
      <c r="A52" s="2" t="s">
        <v>1031</v>
      </c>
      <c r="B52" s="2" t="s">
        <v>4629</v>
      </c>
      <c r="C52" s="2" t="s">
        <v>389</v>
      </c>
      <c r="D52" s="2" t="s">
        <v>4630</v>
      </c>
      <c r="E52" s="2" t="s">
        <v>39</v>
      </c>
      <c r="F52" s="2"/>
      <c r="G52" s="2"/>
      <c r="H52" s="2"/>
      <c r="I52" s="3">
        <f t="shared" si="0"/>
        <v>133</v>
      </c>
    </row>
    <row r="53" spans="1:9" ht="24" x14ac:dyDescent="0.3">
      <c r="A53" s="2" t="s">
        <v>1031</v>
      </c>
      <c r="B53" s="2" t="s">
        <v>1111</v>
      </c>
      <c r="C53" s="2" t="s">
        <v>559</v>
      </c>
      <c r="D53" s="2" t="s">
        <v>4631</v>
      </c>
      <c r="E53" s="2" t="s">
        <v>39</v>
      </c>
      <c r="F53" s="2"/>
      <c r="G53" s="2"/>
      <c r="H53" s="2"/>
      <c r="I53" s="3">
        <f t="shared" si="0"/>
        <v>133</v>
      </c>
    </row>
    <row r="54" spans="1:9" ht="24" x14ac:dyDescent="0.3">
      <c r="A54" s="2" t="s">
        <v>1031</v>
      </c>
      <c r="B54" s="2" t="s">
        <v>4632</v>
      </c>
      <c r="C54" s="2" t="s">
        <v>559</v>
      </c>
      <c r="D54" s="2" t="s">
        <v>4633</v>
      </c>
      <c r="E54" s="2" t="s">
        <v>39</v>
      </c>
      <c r="F54" s="2"/>
      <c r="G54" s="2"/>
      <c r="H54" s="2"/>
      <c r="I54" s="3">
        <f t="shared" si="0"/>
        <v>133</v>
      </c>
    </row>
    <row r="55" spans="1:9" ht="24" x14ac:dyDescent="0.3">
      <c r="A55" s="2" t="s">
        <v>1031</v>
      </c>
      <c r="B55" s="2" t="s">
        <v>4713</v>
      </c>
      <c r="C55" s="2"/>
      <c r="D55" s="2" t="s">
        <v>4714</v>
      </c>
      <c r="E55" s="2" t="s">
        <v>39</v>
      </c>
      <c r="F55" s="2"/>
      <c r="G55" s="2"/>
      <c r="H55" s="2"/>
      <c r="I55" s="3">
        <f t="shared" si="0"/>
        <v>136</v>
      </c>
    </row>
    <row r="56" spans="1:9" ht="24" x14ac:dyDescent="0.3">
      <c r="A56" s="2" t="s">
        <v>1031</v>
      </c>
      <c r="B56" s="2" t="s">
        <v>4735</v>
      </c>
      <c r="C56" s="2" t="s">
        <v>422</v>
      </c>
      <c r="D56" s="2" t="s">
        <v>4736</v>
      </c>
      <c r="E56" s="2" t="s">
        <v>39</v>
      </c>
      <c r="F56" s="2"/>
      <c r="G56" s="2"/>
      <c r="H56" s="2"/>
      <c r="I56" s="3">
        <f t="shared" si="0"/>
        <v>137</v>
      </c>
    </row>
    <row r="57" spans="1:9" ht="24" x14ac:dyDescent="0.3">
      <c r="A57" s="2" t="s">
        <v>1031</v>
      </c>
      <c r="B57" s="2" t="s">
        <v>4737</v>
      </c>
      <c r="C57" s="2"/>
      <c r="D57" s="2" t="s">
        <v>4738</v>
      </c>
      <c r="E57" s="2"/>
      <c r="F57" s="2"/>
      <c r="G57" s="2"/>
      <c r="H57" s="2"/>
      <c r="I57" s="3">
        <f t="shared" si="0"/>
        <v>137</v>
      </c>
    </row>
    <row r="58" spans="1:9" ht="24" x14ac:dyDescent="0.3">
      <c r="A58" s="2" t="s">
        <v>1031</v>
      </c>
      <c r="B58" s="2" t="s">
        <v>4763</v>
      </c>
      <c r="C58" s="2"/>
      <c r="D58" s="2" t="s">
        <v>4764</v>
      </c>
      <c r="E58" s="2" t="s">
        <v>39</v>
      </c>
      <c r="F58" s="2"/>
      <c r="G58" s="2"/>
      <c r="H58" s="2"/>
      <c r="I58" s="3">
        <f t="shared" si="0"/>
        <v>138</v>
      </c>
    </row>
    <row r="59" spans="1:9" ht="24" x14ac:dyDescent="0.3">
      <c r="A59" s="2" t="s">
        <v>1031</v>
      </c>
      <c r="B59" s="2" t="s">
        <v>4765</v>
      </c>
      <c r="C59" s="2" t="s">
        <v>95</v>
      </c>
      <c r="D59" s="2" t="s">
        <v>4766</v>
      </c>
      <c r="E59" s="2" t="s">
        <v>39</v>
      </c>
      <c r="F59" s="2"/>
      <c r="G59" s="2"/>
      <c r="H59" s="2"/>
      <c r="I59" s="3">
        <f t="shared" si="0"/>
        <v>138</v>
      </c>
    </row>
    <row r="60" spans="1:9" ht="24" x14ac:dyDescent="0.3">
      <c r="A60" s="2" t="s">
        <v>1031</v>
      </c>
      <c r="B60" s="2" t="s">
        <v>4878</v>
      </c>
      <c r="C60" s="2"/>
      <c r="D60" s="2" t="s">
        <v>4879</v>
      </c>
      <c r="E60" s="2" t="s">
        <v>39</v>
      </c>
      <c r="F60" s="2"/>
      <c r="G60" s="2"/>
      <c r="H60" s="2"/>
      <c r="I60" s="3">
        <f t="shared" si="0"/>
        <v>141</v>
      </c>
    </row>
    <row r="61" spans="1:9" ht="24" x14ac:dyDescent="0.3">
      <c r="A61" s="2" t="s">
        <v>1031</v>
      </c>
      <c r="B61" s="2" t="s">
        <v>4880</v>
      </c>
      <c r="C61" s="2"/>
      <c r="D61" s="2" t="s">
        <v>4881</v>
      </c>
      <c r="E61" s="2" t="s">
        <v>39</v>
      </c>
      <c r="F61" s="2"/>
      <c r="G61" s="2"/>
      <c r="H61" s="2"/>
      <c r="I61" s="3">
        <f t="shared" si="0"/>
        <v>141</v>
      </c>
    </row>
    <row r="62" spans="1:9" ht="24" x14ac:dyDescent="0.3">
      <c r="A62" s="2" t="s">
        <v>1031</v>
      </c>
      <c r="B62" s="2" t="s">
        <v>4950</v>
      </c>
      <c r="C62" s="2"/>
      <c r="D62" s="2" t="s">
        <v>4951</v>
      </c>
      <c r="E62" s="2" t="s">
        <v>39</v>
      </c>
      <c r="F62" s="2"/>
      <c r="G62" s="2"/>
      <c r="H62" s="2"/>
      <c r="I62" s="3">
        <f t="shared" si="0"/>
        <v>143</v>
      </c>
    </row>
    <row r="63" spans="1:9" ht="24" x14ac:dyDescent="0.3">
      <c r="A63" s="2" t="s">
        <v>1031</v>
      </c>
      <c r="B63" s="2" t="s">
        <v>4952</v>
      </c>
      <c r="C63" s="2" t="s">
        <v>332</v>
      </c>
      <c r="D63" s="2" t="s">
        <v>4953</v>
      </c>
      <c r="E63" s="2" t="s">
        <v>39</v>
      </c>
      <c r="F63" s="2"/>
      <c r="G63" s="2"/>
      <c r="H63" s="2"/>
      <c r="I63" s="3">
        <f t="shared" si="0"/>
        <v>143</v>
      </c>
    </row>
    <row r="64" spans="1:9" ht="24" x14ac:dyDescent="0.3">
      <c r="A64" s="2" t="s">
        <v>1031</v>
      </c>
      <c r="B64" s="2" t="s">
        <v>4954</v>
      </c>
      <c r="C64" s="2" t="s">
        <v>389</v>
      </c>
      <c r="D64" s="2" t="s">
        <v>4955</v>
      </c>
      <c r="E64" s="2" t="s">
        <v>39</v>
      </c>
      <c r="F64" s="2"/>
      <c r="G64" s="2"/>
      <c r="H64" s="2"/>
      <c r="I64" s="3">
        <f t="shared" si="0"/>
        <v>143</v>
      </c>
    </row>
    <row r="65" spans="1:9" ht="24" x14ac:dyDescent="0.3">
      <c r="A65" s="2" t="s">
        <v>1031</v>
      </c>
      <c r="B65" s="2" t="s">
        <v>4956</v>
      </c>
      <c r="C65" s="2" t="s">
        <v>559</v>
      </c>
      <c r="D65" s="2" t="s">
        <v>4957</v>
      </c>
      <c r="E65" s="2" t="s">
        <v>39</v>
      </c>
      <c r="F65" s="2"/>
      <c r="G65" s="2"/>
      <c r="H65" s="2"/>
      <c r="I65" s="3">
        <f t="shared" si="0"/>
        <v>143</v>
      </c>
    </row>
    <row r="66" spans="1:9" ht="24" x14ac:dyDescent="0.3">
      <c r="A66" s="2" t="s">
        <v>1031</v>
      </c>
      <c r="B66" s="2" t="s">
        <v>4979</v>
      </c>
      <c r="C66" s="2"/>
      <c r="D66" s="2" t="s">
        <v>4980</v>
      </c>
      <c r="E66" s="2" t="s">
        <v>39</v>
      </c>
      <c r="F66" s="2"/>
      <c r="G66" s="2"/>
      <c r="H66" s="2"/>
      <c r="I66" s="3">
        <f t="shared" ref="I66:I129" si="1">LEN(D66)</f>
        <v>144</v>
      </c>
    </row>
    <row r="67" spans="1:9" ht="24" x14ac:dyDescent="0.3">
      <c r="A67" s="2" t="s">
        <v>1031</v>
      </c>
      <c r="B67" s="2" t="s">
        <v>4984</v>
      </c>
      <c r="C67" s="2" t="s">
        <v>4985</v>
      </c>
      <c r="D67" s="2" t="s">
        <v>4986</v>
      </c>
      <c r="E67" s="2" t="s">
        <v>39</v>
      </c>
      <c r="F67" s="2"/>
      <c r="G67" s="2"/>
      <c r="H67" s="2"/>
      <c r="I67" s="3">
        <f t="shared" si="1"/>
        <v>144</v>
      </c>
    </row>
    <row r="68" spans="1:9" ht="24" x14ac:dyDescent="0.3">
      <c r="A68" s="2" t="s">
        <v>1031</v>
      </c>
      <c r="B68" s="2" t="s">
        <v>5008</v>
      </c>
      <c r="C68" s="2" t="s">
        <v>389</v>
      </c>
      <c r="D68" s="2" t="s">
        <v>5009</v>
      </c>
      <c r="E68" s="2" t="s">
        <v>39</v>
      </c>
      <c r="F68" s="2"/>
      <c r="G68" s="2"/>
      <c r="H68" s="2"/>
      <c r="I68" s="3">
        <f t="shared" si="1"/>
        <v>145</v>
      </c>
    </row>
    <row r="69" spans="1:9" ht="24" x14ac:dyDescent="0.3">
      <c r="A69" s="2" t="s">
        <v>1031</v>
      </c>
      <c r="B69" s="2" t="s">
        <v>5010</v>
      </c>
      <c r="C69" s="2"/>
      <c r="D69" s="2" t="s">
        <v>5011</v>
      </c>
      <c r="E69" s="2" t="s">
        <v>379</v>
      </c>
      <c r="F69" s="2"/>
      <c r="G69" s="2"/>
      <c r="H69" s="2"/>
      <c r="I69" s="3">
        <f t="shared" si="1"/>
        <v>145</v>
      </c>
    </row>
    <row r="70" spans="1:9" ht="24" x14ac:dyDescent="0.3">
      <c r="A70" s="2" t="s">
        <v>1031</v>
      </c>
      <c r="B70" s="2" t="s">
        <v>5040</v>
      </c>
      <c r="C70" s="2"/>
      <c r="D70" s="2" t="s">
        <v>5041</v>
      </c>
      <c r="E70" s="2" t="s">
        <v>39</v>
      </c>
      <c r="F70" s="2"/>
      <c r="G70" s="2"/>
      <c r="H70" s="2" t="s">
        <v>194</v>
      </c>
      <c r="I70" s="3">
        <f t="shared" si="1"/>
        <v>146</v>
      </c>
    </row>
    <row r="71" spans="1:9" ht="24" x14ac:dyDescent="0.3">
      <c r="A71" s="2" t="s">
        <v>1031</v>
      </c>
      <c r="B71" s="2" t="s">
        <v>5042</v>
      </c>
      <c r="C71" s="2"/>
      <c r="D71" s="2" t="s">
        <v>5043</v>
      </c>
      <c r="E71" s="2"/>
      <c r="F71" s="2"/>
      <c r="G71" s="2"/>
      <c r="H71" s="2"/>
      <c r="I71" s="3">
        <f t="shared" si="1"/>
        <v>146</v>
      </c>
    </row>
    <row r="72" spans="1:9" ht="24" x14ac:dyDescent="0.3">
      <c r="A72" s="2" t="s">
        <v>1031</v>
      </c>
      <c r="B72" s="2" t="s">
        <v>5075</v>
      </c>
      <c r="C72" s="2"/>
      <c r="D72" s="2" t="s">
        <v>5076</v>
      </c>
      <c r="E72" s="2" t="s">
        <v>39</v>
      </c>
      <c r="F72" s="2"/>
      <c r="G72" s="2"/>
      <c r="H72" s="2"/>
      <c r="I72" s="3">
        <f t="shared" si="1"/>
        <v>147</v>
      </c>
    </row>
    <row r="73" spans="1:9" ht="24" x14ac:dyDescent="0.3">
      <c r="A73" s="2" t="s">
        <v>1031</v>
      </c>
      <c r="B73" s="2" t="s">
        <v>5077</v>
      </c>
      <c r="C73" s="2" t="s">
        <v>691</v>
      </c>
      <c r="D73" s="2" t="s">
        <v>5078</v>
      </c>
      <c r="E73" s="2" t="s">
        <v>39</v>
      </c>
      <c r="F73" s="2"/>
      <c r="G73" s="2"/>
      <c r="H73" s="2"/>
      <c r="I73" s="3">
        <f t="shared" si="1"/>
        <v>147</v>
      </c>
    </row>
    <row r="74" spans="1:9" ht="24" x14ac:dyDescent="0.3">
      <c r="A74" s="2" t="s">
        <v>1031</v>
      </c>
      <c r="B74" s="2" t="s">
        <v>5084</v>
      </c>
      <c r="C74" s="2"/>
      <c r="D74" s="2" t="s">
        <v>5085</v>
      </c>
      <c r="E74" s="2" t="s">
        <v>39</v>
      </c>
      <c r="F74" s="2"/>
      <c r="G74" s="2"/>
      <c r="H74" s="2"/>
      <c r="I74" s="3">
        <f t="shared" si="1"/>
        <v>147</v>
      </c>
    </row>
    <row r="75" spans="1:9" ht="24" x14ac:dyDescent="0.3">
      <c r="A75" s="2" t="s">
        <v>1031</v>
      </c>
      <c r="B75" s="2" t="s">
        <v>5098</v>
      </c>
      <c r="C75" s="2" t="s">
        <v>422</v>
      </c>
      <c r="D75" s="2" t="s">
        <v>5099</v>
      </c>
      <c r="E75" s="2" t="s">
        <v>39</v>
      </c>
      <c r="F75" s="2"/>
      <c r="G75" s="2"/>
      <c r="H75" s="2"/>
      <c r="I75" s="3">
        <f t="shared" si="1"/>
        <v>148</v>
      </c>
    </row>
    <row r="76" spans="1:9" ht="24" x14ac:dyDescent="0.3">
      <c r="A76" s="2" t="s">
        <v>1031</v>
      </c>
      <c r="B76" s="2" t="s">
        <v>5100</v>
      </c>
      <c r="C76" s="2"/>
      <c r="D76" s="2" t="s">
        <v>5101</v>
      </c>
      <c r="E76" s="2" t="s">
        <v>39</v>
      </c>
      <c r="F76" s="2"/>
      <c r="G76" s="2"/>
      <c r="H76" s="2" t="s">
        <v>194</v>
      </c>
      <c r="I76" s="3">
        <f t="shared" si="1"/>
        <v>148</v>
      </c>
    </row>
    <row r="77" spans="1:9" ht="24" x14ac:dyDescent="0.3">
      <c r="A77" s="2" t="s">
        <v>1031</v>
      </c>
      <c r="B77" s="2" t="s">
        <v>3903</v>
      </c>
      <c r="C77" s="2"/>
      <c r="D77" s="2" t="s">
        <v>5102</v>
      </c>
      <c r="E77" s="2" t="s">
        <v>39</v>
      </c>
      <c r="F77" s="2"/>
      <c r="G77" s="2"/>
      <c r="H77" s="2"/>
      <c r="I77" s="3">
        <f t="shared" si="1"/>
        <v>148</v>
      </c>
    </row>
    <row r="78" spans="1:9" ht="24" x14ac:dyDescent="0.3">
      <c r="A78" s="2" t="s">
        <v>1031</v>
      </c>
      <c r="B78" s="2" t="s">
        <v>4001</v>
      </c>
      <c r="C78" s="2"/>
      <c r="D78" s="2" t="s">
        <v>5135</v>
      </c>
      <c r="E78" s="2" t="s">
        <v>39</v>
      </c>
      <c r="F78" s="2"/>
      <c r="G78" s="2"/>
      <c r="H78" s="2"/>
      <c r="I78" s="3">
        <f t="shared" si="1"/>
        <v>149</v>
      </c>
    </row>
    <row r="79" spans="1:9" ht="24" x14ac:dyDescent="0.3">
      <c r="A79" s="2" t="s">
        <v>1031</v>
      </c>
      <c r="B79" s="2" t="s">
        <v>5174</v>
      </c>
      <c r="C79" s="2"/>
      <c r="D79" s="2" t="s">
        <v>5175</v>
      </c>
      <c r="E79" s="2" t="s">
        <v>39</v>
      </c>
      <c r="F79" s="2"/>
      <c r="G79" s="2"/>
      <c r="H79" s="2"/>
      <c r="I79" s="3">
        <f t="shared" si="1"/>
        <v>150</v>
      </c>
    </row>
    <row r="80" spans="1:9" ht="24" x14ac:dyDescent="0.3">
      <c r="A80" s="2" t="s">
        <v>1031</v>
      </c>
      <c r="B80" s="2" t="s">
        <v>5176</v>
      </c>
      <c r="C80" s="2" t="s">
        <v>389</v>
      </c>
      <c r="D80" s="2" t="s">
        <v>5177</v>
      </c>
      <c r="E80" s="2" t="s">
        <v>39</v>
      </c>
      <c r="F80" s="2"/>
      <c r="G80" s="2"/>
      <c r="H80" s="2"/>
      <c r="I80" s="3">
        <f t="shared" si="1"/>
        <v>150</v>
      </c>
    </row>
    <row r="81" spans="1:9" ht="24" x14ac:dyDescent="0.3">
      <c r="A81" s="2" t="s">
        <v>1031</v>
      </c>
      <c r="B81" s="2" t="s">
        <v>5178</v>
      </c>
      <c r="C81" s="2"/>
      <c r="D81" s="2" t="s">
        <v>5179</v>
      </c>
      <c r="E81" s="2" t="s">
        <v>39</v>
      </c>
      <c r="F81" s="2"/>
      <c r="G81" s="2"/>
      <c r="H81" s="2"/>
      <c r="I81" s="3">
        <f t="shared" si="1"/>
        <v>150</v>
      </c>
    </row>
    <row r="82" spans="1:9" ht="24" x14ac:dyDescent="0.3">
      <c r="A82" s="2" t="s">
        <v>1031</v>
      </c>
      <c r="B82" s="2" t="s">
        <v>5204</v>
      </c>
      <c r="C82" s="2"/>
      <c r="D82" s="2" t="s">
        <v>5205</v>
      </c>
      <c r="E82" s="2" t="s">
        <v>39</v>
      </c>
      <c r="F82" s="2"/>
      <c r="G82" s="2"/>
      <c r="H82" s="2"/>
      <c r="I82" s="3">
        <f t="shared" si="1"/>
        <v>151</v>
      </c>
    </row>
    <row r="83" spans="1:9" ht="24" x14ac:dyDescent="0.3">
      <c r="A83" s="2" t="s">
        <v>1031</v>
      </c>
      <c r="B83" s="2" t="s">
        <v>5206</v>
      </c>
      <c r="C83" s="2"/>
      <c r="D83" s="2" t="s">
        <v>5207</v>
      </c>
      <c r="E83" s="2" t="s">
        <v>39</v>
      </c>
      <c r="F83" s="2"/>
      <c r="G83" s="2"/>
      <c r="H83" s="2"/>
      <c r="I83" s="3">
        <f t="shared" si="1"/>
        <v>151</v>
      </c>
    </row>
    <row r="84" spans="1:9" ht="24" x14ac:dyDescent="0.3">
      <c r="A84" s="2" t="s">
        <v>1031</v>
      </c>
      <c r="B84" s="2" t="s">
        <v>5208</v>
      </c>
      <c r="C84" s="2"/>
      <c r="D84" s="2" t="s">
        <v>5209</v>
      </c>
      <c r="E84" s="2" t="s">
        <v>39</v>
      </c>
      <c r="F84" s="2"/>
      <c r="G84" s="2"/>
      <c r="H84" s="2"/>
      <c r="I84" s="3">
        <f t="shared" si="1"/>
        <v>151</v>
      </c>
    </row>
    <row r="85" spans="1:9" ht="24" x14ac:dyDescent="0.3">
      <c r="A85" s="2" t="s">
        <v>1031</v>
      </c>
      <c r="B85" s="2" t="s">
        <v>5248</v>
      </c>
      <c r="C85" s="2" t="s">
        <v>95</v>
      </c>
      <c r="D85" s="2" t="s">
        <v>5249</v>
      </c>
      <c r="E85" s="2" t="s">
        <v>39</v>
      </c>
      <c r="F85" s="2"/>
      <c r="G85" s="2"/>
      <c r="H85" s="2"/>
      <c r="I85" s="3">
        <f t="shared" si="1"/>
        <v>153</v>
      </c>
    </row>
    <row r="86" spans="1:9" ht="24" x14ac:dyDescent="0.3">
      <c r="A86" s="2" t="s">
        <v>1031</v>
      </c>
      <c r="B86" s="2" t="s">
        <v>5250</v>
      </c>
      <c r="C86" s="2"/>
      <c r="D86" s="2" t="s">
        <v>5251</v>
      </c>
      <c r="E86" s="2" t="s">
        <v>39</v>
      </c>
      <c r="F86" s="2"/>
      <c r="G86" s="2"/>
      <c r="H86" s="2" t="s">
        <v>194</v>
      </c>
      <c r="I86" s="3">
        <f t="shared" si="1"/>
        <v>153</v>
      </c>
    </row>
    <row r="87" spans="1:9" ht="24" x14ac:dyDescent="0.3">
      <c r="A87" s="2" t="s">
        <v>1031</v>
      </c>
      <c r="B87" s="2" t="s">
        <v>5252</v>
      </c>
      <c r="C87" s="2" t="s">
        <v>1354</v>
      </c>
      <c r="D87" s="2" t="s">
        <v>5253</v>
      </c>
      <c r="E87" s="2" t="s">
        <v>39</v>
      </c>
      <c r="F87" s="2"/>
      <c r="G87" s="2"/>
      <c r="H87" s="2" t="s">
        <v>194</v>
      </c>
      <c r="I87" s="3">
        <f t="shared" si="1"/>
        <v>153</v>
      </c>
    </row>
    <row r="88" spans="1:9" ht="24" x14ac:dyDescent="0.3">
      <c r="A88" s="2" t="s">
        <v>1031</v>
      </c>
      <c r="B88" s="2" t="s">
        <v>5254</v>
      </c>
      <c r="C88" s="2" t="s">
        <v>253</v>
      </c>
      <c r="D88" s="2" t="s">
        <v>5255</v>
      </c>
      <c r="E88" s="2" t="s">
        <v>2824</v>
      </c>
      <c r="F88" s="2"/>
      <c r="G88" s="2"/>
      <c r="H88" s="2"/>
      <c r="I88" s="3">
        <f t="shared" si="1"/>
        <v>153</v>
      </c>
    </row>
    <row r="89" spans="1:9" ht="24" x14ac:dyDescent="0.3">
      <c r="A89" s="2" t="s">
        <v>1031</v>
      </c>
      <c r="B89" s="2" t="s">
        <v>5299</v>
      </c>
      <c r="C89" s="2"/>
      <c r="D89" s="2" t="s">
        <v>5300</v>
      </c>
      <c r="E89" s="2" t="s">
        <v>39</v>
      </c>
      <c r="F89" s="2"/>
      <c r="G89" s="2"/>
      <c r="H89" s="2"/>
      <c r="I89" s="3">
        <f t="shared" si="1"/>
        <v>155</v>
      </c>
    </row>
    <row r="90" spans="1:9" ht="24" x14ac:dyDescent="0.3">
      <c r="A90" s="2" t="s">
        <v>1031</v>
      </c>
      <c r="B90" s="2" t="s">
        <v>5301</v>
      </c>
      <c r="C90" s="2"/>
      <c r="D90" s="2" t="s">
        <v>5302</v>
      </c>
      <c r="E90" s="2" t="s">
        <v>39</v>
      </c>
      <c r="F90" s="2"/>
      <c r="G90" s="2"/>
      <c r="H90" s="2"/>
      <c r="I90" s="3">
        <f t="shared" si="1"/>
        <v>155</v>
      </c>
    </row>
    <row r="91" spans="1:9" ht="24" x14ac:dyDescent="0.3">
      <c r="A91" s="2" t="s">
        <v>1031</v>
      </c>
      <c r="B91" s="2" t="s">
        <v>5324</v>
      </c>
      <c r="C91" s="2"/>
      <c r="D91" s="2" t="s">
        <v>5325</v>
      </c>
      <c r="E91" s="2" t="s">
        <v>39</v>
      </c>
      <c r="F91" s="2"/>
      <c r="G91" s="2"/>
      <c r="H91" s="2"/>
      <c r="I91" s="3">
        <f t="shared" si="1"/>
        <v>156</v>
      </c>
    </row>
    <row r="92" spans="1:9" ht="24" x14ac:dyDescent="0.3">
      <c r="A92" s="2" t="s">
        <v>1031</v>
      </c>
      <c r="B92" s="2" t="s">
        <v>5326</v>
      </c>
      <c r="C92" s="2" t="s">
        <v>253</v>
      </c>
      <c r="D92" s="2" t="s">
        <v>5327</v>
      </c>
      <c r="E92" s="2" t="s">
        <v>39</v>
      </c>
      <c r="F92" s="2"/>
      <c r="G92" s="2"/>
      <c r="H92" s="2"/>
      <c r="I92" s="3">
        <f t="shared" si="1"/>
        <v>156</v>
      </c>
    </row>
    <row r="93" spans="1:9" ht="24" x14ac:dyDescent="0.3">
      <c r="A93" s="2" t="s">
        <v>1031</v>
      </c>
      <c r="B93" s="2" t="s">
        <v>5353</v>
      </c>
      <c r="C93" s="2"/>
      <c r="D93" s="2" t="s">
        <v>5354</v>
      </c>
      <c r="E93" s="2" t="s">
        <v>39</v>
      </c>
      <c r="F93" s="2"/>
      <c r="G93" s="2"/>
      <c r="H93" s="2"/>
      <c r="I93" s="3">
        <f t="shared" si="1"/>
        <v>157</v>
      </c>
    </row>
    <row r="94" spans="1:9" ht="24" x14ac:dyDescent="0.3">
      <c r="A94" s="2" t="s">
        <v>1031</v>
      </c>
      <c r="B94" s="2" t="s">
        <v>5355</v>
      </c>
      <c r="C94" s="2" t="s">
        <v>1255</v>
      </c>
      <c r="D94" s="2" t="s">
        <v>5356</v>
      </c>
      <c r="E94" s="2" t="s">
        <v>39</v>
      </c>
      <c r="F94" s="2"/>
      <c r="G94" s="2"/>
      <c r="H94" s="2"/>
      <c r="I94" s="3">
        <f t="shared" si="1"/>
        <v>157</v>
      </c>
    </row>
    <row r="95" spans="1:9" ht="24" x14ac:dyDescent="0.3">
      <c r="A95" s="2" t="s">
        <v>1031</v>
      </c>
      <c r="B95" s="2" t="s">
        <v>5409</v>
      </c>
      <c r="C95" s="2" t="s">
        <v>253</v>
      </c>
      <c r="D95" s="2" t="s">
        <v>5410</v>
      </c>
      <c r="E95" s="2" t="s">
        <v>39</v>
      </c>
      <c r="F95" s="2"/>
      <c r="G95" s="2"/>
      <c r="H95" s="2"/>
      <c r="I95" s="3">
        <f t="shared" si="1"/>
        <v>160</v>
      </c>
    </row>
    <row r="96" spans="1:9" ht="24" x14ac:dyDescent="0.3">
      <c r="A96" s="2" t="s">
        <v>1031</v>
      </c>
      <c r="B96" s="2" t="s">
        <v>5431</v>
      </c>
      <c r="C96" s="2" t="s">
        <v>5432</v>
      </c>
      <c r="D96" s="2" t="s">
        <v>5433</v>
      </c>
      <c r="E96" s="2" t="s">
        <v>39</v>
      </c>
      <c r="F96" s="2"/>
      <c r="G96" s="2"/>
      <c r="H96" s="2"/>
      <c r="I96" s="3">
        <f t="shared" si="1"/>
        <v>161</v>
      </c>
    </row>
    <row r="97" spans="1:9" ht="24" x14ac:dyDescent="0.3">
      <c r="A97" s="2" t="s">
        <v>1031</v>
      </c>
      <c r="B97" s="2" t="s">
        <v>5434</v>
      </c>
      <c r="C97" s="2" t="s">
        <v>95</v>
      </c>
      <c r="D97" s="2" t="s">
        <v>5435</v>
      </c>
      <c r="E97" s="2" t="s">
        <v>39</v>
      </c>
      <c r="F97" s="2"/>
      <c r="G97" s="2"/>
      <c r="H97" s="2"/>
      <c r="I97" s="3">
        <f t="shared" si="1"/>
        <v>161</v>
      </c>
    </row>
    <row r="98" spans="1:9" ht="24" x14ac:dyDescent="0.3">
      <c r="A98" s="2" t="s">
        <v>1031</v>
      </c>
      <c r="B98" s="2" t="s">
        <v>5460</v>
      </c>
      <c r="C98" s="2" t="s">
        <v>291</v>
      </c>
      <c r="D98" s="2" t="s">
        <v>5461</v>
      </c>
      <c r="E98" s="2" t="s">
        <v>3643</v>
      </c>
      <c r="F98" s="2"/>
      <c r="G98" s="2"/>
      <c r="H98" s="2"/>
      <c r="I98" s="3">
        <f t="shared" si="1"/>
        <v>163</v>
      </c>
    </row>
    <row r="99" spans="1:9" ht="24" x14ac:dyDescent="0.3">
      <c r="A99" s="2" t="s">
        <v>1031</v>
      </c>
      <c r="B99" s="2" t="s">
        <v>5481</v>
      </c>
      <c r="C99" s="2" t="s">
        <v>422</v>
      </c>
      <c r="D99" s="2" t="s">
        <v>5482</v>
      </c>
      <c r="E99" s="2" t="s">
        <v>39</v>
      </c>
      <c r="F99" s="2"/>
      <c r="G99" s="2"/>
      <c r="H99" s="2"/>
      <c r="I99" s="3">
        <f t="shared" si="1"/>
        <v>164</v>
      </c>
    </row>
    <row r="100" spans="1:9" ht="24" x14ac:dyDescent="0.3">
      <c r="A100" s="2" t="s">
        <v>1031</v>
      </c>
      <c r="B100" s="2" t="s">
        <v>5483</v>
      </c>
      <c r="C100" s="2"/>
      <c r="D100" s="2" t="s">
        <v>5484</v>
      </c>
      <c r="E100" s="2" t="s">
        <v>39</v>
      </c>
      <c r="F100" s="2"/>
      <c r="G100" s="2"/>
      <c r="H100" s="2"/>
      <c r="I100" s="3">
        <f t="shared" si="1"/>
        <v>164</v>
      </c>
    </row>
    <row r="101" spans="1:9" ht="24" x14ac:dyDescent="0.3">
      <c r="A101" s="2" t="s">
        <v>1031</v>
      </c>
      <c r="B101" s="2" t="s">
        <v>5485</v>
      </c>
      <c r="C101" s="2"/>
      <c r="D101" s="2" t="s">
        <v>5486</v>
      </c>
      <c r="E101" s="2" t="s">
        <v>39</v>
      </c>
      <c r="F101" s="2"/>
      <c r="G101" s="2"/>
      <c r="H101" s="2"/>
      <c r="I101" s="3">
        <f t="shared" si="1"/>
        <v>164</v>
      </c>
    </row>
    <row r="102" spans="1:9" ht="24" x14ac:dyDescent="0.3">
      <c r="A102" s="2" t="s">
        <v>1031</v>
      </c>
      <c r="B102" s="2" t="s">
        <v>5509</v>
      </c>
      <c r="C102" s="2"/>
      <c r="D102" s="2" t="s">
        <v>5510</v>
      </c>
      <c r="E102" s="2" t="s">
        <v>39</v>
      </c>
      <c r="F102" s="2"/>
      <c r="G102" s="2"/>
      <c r="H102" s="2" t="s">
        <v>646</v>
      </c>
      <c r="I102" s="3">
        <f t="shared" si="1"/>
        <v>165</v>
      </c>
    </row>
    <row r="103" spans="1:9" ht="24" x14ac:dyDescent="0.3">
      <c r="A103" s="2" t="s">
        <v>1031</v>
      </c>
      <c r="B103" s="2" t="s">
        <v>5522</v>
      </c>
      <c r="C103" s="2" t="s">
        <v>491</v>
      </c>
      <c r="D103" s="2" t="s">
        <v>5523</v>
      </c>
      <c r="E103" s="2" t="s">
        <v>39</v>
      </c>
      <c r="F103" s="2"/>
      <c r="G103" s="2"/>
      <c r="H103" s="2"/>
      <c r="I103" s="3">
        <f t="shared" si="1"/>
        <v>166</v>
      </c>
    </row>
    <row r="104" spans="1:9" ht="24" x14ac:dyDescent="0.3">
      <c r="A104" s="2" t="s">
        <v>1031</v>
      </c>
      <c r="B104" s="2" t="s">
        <v>5592</v>
      </c>
      <c r="C104" s="2"/>
      <c r="D104" s="2" t="s">
        <v>5593</v>
      </c>
      <c r="E104" s="2" t="s">
        <v>39</v>
      </c>
      <c r="F104" s="2"/>
      <c r="G104" s="2"/>
      <c r="H104" s="2"/>
      <c r="I104" s="3">
        <f t="shared" si="1"/>
        <v>169</v>
      </c>
    </row>
    <row r="105" spans="1:9" ht="24" x14ac:dyDescent="0.3">
      <c r="A105" s="2" t="s">
        <v>1031</v>
      </c>
      <c r="B105" s="2" t="s">
        <v>5640</v>
      </c>
      <c r="C105" s="2" t="s">
        <v>559</v>
      </c>
      <c r="D105" s="2" t="s">
        <v>5641</v>
      </c>
      <c r="E105" s="2" t="s">
        <v>1510</v>
      </c>
      <c r="F105" s="2"/>
      <c r="G105" s="2"/>
      <c r="H105" s="2"/>
      <c r="I105" s="3">
        <f t="shared" si="1"/>
        <v>172</v>
      </c>
    </row>
    <row r="106" spans="1:9" ht="24" x14ac:dyDescent="0.3">
      <c r="A106" s="2" t="s">
        <v>1031</v>
      </c>
      <c r="B106" s="2" t="s">
        <v>5659</v>
      </c>
      <c r="C106" s="2" t="s">
        <v>559</v>
      </c>
      <c r="D106" s="2" t="s">
        <v>5660</v>
      </c>
      <c r="E106" s="2" t="s">
        <v>39</v>
      </c>
      <c r="F106" s="2"/>
      <c r="G106" s="2"/>
      <c r="H106" s="2"/>
      <c r="I106" s="3">
        <f t="shared" si="1"/>
        <v>173</v>
      </c>
    </row>
    <row r="107" spans="1:9" ht="24" x14ac:dyDescent="0.3">
      <c r="A107" s="2" t="s">
        <v>1031</v>
      </c>
      <c r="B107" s="2" t="s">
        <v>4546</v>
      </c>
      <c r="C107" s="2" t="s">
        <v>491</v>
      </c>
      <c r="D107" s="2" t="s">
        <v>5661</v>
      </c>
      <c r="E107" s="2" t="s">
        <v>39</v>
      </c>
      <c r="F107" s="2"/>
      <c r="G107" s="2"/>
      <c r="H107" s="2"/>
      <c r="I107" s="3">
        <f t="shared" si="1"/>
        <v>173</v>
      </c>
    </row>
    <row r="108" spans="1:9" ht="24" x14ac:dyDescent="0.3">
      <c r="A108" s="2" t="s">
        <v>1031</v>
      </c>
      <c r="B108" s="2" t="s">
        <v>5677</v>
      </c>
      <c r="C108" s="2"/>
      <c r="D108" s="2" t="s">
        <v>5678</v>
      </c>
      <c r="E108" s="2" t="s">
        <v>39</v>
      </c>
      <c r="F108" s="2"/>
      <c r="G108" s="2"/>
      <c r="H108" s="2" t="s">
        <v>194</v>
      </c>
      <c r="I108" s="3">
        <f t="shared" si="1"/>
        <v>174</v>
      </c>
    </row>
    <row r="109" spans="1:9" ht="24" x14ac:dyDescent="0.3">
      <c r="A109" s="2" t="s">
        <v>1031</v>
      </c>
      <c r="B109" s="2" t="s">
        <v>5694</v>
      </c>
      <c r="C109" s="2"/>
      <c r="D109" s="2" t="s">
        <v>5695</v>
      </c>
      <c r="E109" s="2" t="s">
        <v>39</v>
      </c>
      <c r="F109" s="2"/>
      <c r="G109" s="2"/>
      <c r="H109" s="2"/>
      <c r="I109" s="3">
        <f t="shared" si="1"/>
        <v>175</v>
      </c>
    </row>
    <row r="110" spans="1:9" ht="24" x14ac:dyDescent="0.3">
      <c r="A110" s="2" t="s">
        <v>1031</v>
      </c>
      <c r="B110" s="2" t="s">
        <v>5696</v>
      </c>
      <c r="C110" s="2"/>
      <c r="D110" s="2" t="s">
        <v>5697</v>
      </c>
      <c r="E110" s="2" t="s">
        <v>39</v>
      </c>
      <c r="F110" s="2"/>
      <c r="G110" s="2"/>
      <c r="H110" s="2" t="s">
        <v>194</v>
      </c>
      <c r="I110" s="3">
        <f t="shared" si="1"/>
        <v>175</v>
      </c>
    </row>
    <row r="111" spans="1:9" ht="24" x14ac:dyDescent="0.3">
      <c r="A111" s="2" t="s">
        <v>1031</v>
      </c>
      <c r="B111" s="2" t="s">
        <v>5698</v>
      </c>
      <c r="C111" s="2"/>
      <c r="D111" s="2" t="s">
        <v>5699</v>
      </c>
      <c r="E111" s="2" t="s">
        <v>39</v>
      </c>
      <c r="F111" s="2"/>
      <c r="G111" s="2"/>
      <c r="H111" s="2" t="s">
        <v>1176</v>
      </c>
      <c r="I111" s="3">
        <f t="shared" si="1"/>
        <v>175</v>
      </c>
    </row>
    <row r="112" spans="1:9" ht="24" x14ac:dyDescent="0.3">
      <c r="A112" s="2" t="s">
        <v>1031</v>
      </c>
      <c r="B112" s="2" t="s">
        <v>5715</v>
      </c>
      <c r="C112" s="2"/>
      <c r="D112" s="2" t="s">
        <v>5716</v>
      </c>
      <c r="E112" s="2" t="s">
        <v>39</v>
      </c>
      <c r="F112" s="2"/>
      <c r="G112" s="2"/>
      <c r="H112" s="2"/>
      <c r="I112" s="3">
        <f t="shared" si="1"/>
        <v>176</v>
      </c>
    </row>
    <row r="113" spans="1:9" ht="24" x14ac:dyDescent="0.3">
      <c r="A113" s="2" t="s">
        <v>1031</v>
      </c>
      <c r="B113" s="2" t="s">
        <v>5717</v>
      </c>
      <c r="C113" s="2"/>
      <c r="D113" s="2" t="s">
        <v>5718</v>
      </c>
      <c r="E113" s="2" t="s">
        <v>39</v>
      </c>
      <c r="F113" s="2"/>
      <c r="G113" s="2"/>
      <c r="H113" s="2"/>
      <c r="I113" s="3">
        <f t="shared" si="1"/>
        <v>176</v>
      </c>
    </row>
    <row r="114" spans="1:9" ht="24" x14ac:dyDescent="0.3">
      <c r="A114" s="2" t="s">
        <v>1031</v>
      </c>
      <c r="B114" s="2" t="s">
        <v>5757</v>
      </c>
      <c r="C114" s="2"/>
      <c r="D114" s="2" t="s">
        <v>5758</v>
      </c>
      <c r="E114" s="2" t="s">
        <v>39</v>
      </c>
      <c r="F114" s="2"/>
      <c r="G114" s="2"/>
      <c r="H114" s="2"/>
      <c r="I114" s="3">
        <f t="shared" si="1"/>
        <v>178</v>
      </c>
    </row>
    <row r="115" spans="1:9" ht="24" x14ac:dyDescent="0.3">
      <c r="A115" s="2" t="s">
        <v>1031</v>
      </c>
      <c r="B115" s="2" t="s">
        <v>5780</v>
      </c>
      <c r="C115" s="2" t="s">
        <v>113</v>
      </c>
      <c r="D115" s="2" t="s">
        <v>9470</v>
      </c>
      <c r="E115" s="2" t="s">
        <v>39</v>
      </c>
      <c r="F115" s="2" t="s">
        <v>350</v>
      </c>
      <c r="G115" s="2" t="s">
        <v>350</v>
      </c>
      <c r="H115" s="2"/>
      <c r="I115" s="3">
        <f t="shared" si="1"/>
        <v>177</v>
      </c>
    </row>
    <row r="116" spans="1:9" ht="24" x14ac:dyDescent="0.3">
      <c r="A116" s="2" t="s">
        <v>1031</v>
      </c>
      <c r="B116" s="2" t="s">
        <v>5781</v>
      </c>
      <c r="C116" s="2"/>
      <c r="D116" s="2" t="s">
        <v>5782</v>
      </c>
      <c r="E116" s="2" t="s">
        <v>39</v>
      </c>
      <c r="F116" s="2"/>
      <c r="G116" s="2"/>
      <c r="H116" s="2"/>
      <c r="I116" s="3">
        <f t="shared" si="1"/>
        <v>179</v>
      </c>
    </row>
    <row r="117" spans="1:9" ht="24" x14ac:dyDescent="0.3">
      <c r="A117" s="2" t="s">
        <v>1031</v>
      </c>
      <c r="B117" s="2" t="s">
        <v>5783</v>
      </c>
      <c r="C117" s="2" t="s">
        <v>253</v>
      </c>
      <c r="D117" s="2" t="s">
        <v>5784</v>
      </c>
      <c r="E117" s="2" t="s">
        <v>39</v>
      </c>
      <c r="F117" s="2"/>
      <c r="G117" s="2"/>
      <c r="H117" s="2"/>
      <c r="I117" s="3">
        <f t="shared" si="1"/>
        <v>179</v>
      </c>
    </row>
    <row r="118" spans="1:9" ht="24" x14ac:dyDescent="0.3">
      <c r="A118" s="2" t="s">
        <v>1031</v>
      </c>
      <c r="B118" s="2" t="s">
        <v>5825</v>
      </c>
      <c r="C118" s="2"/>
      <c r="D118" s="2" t="s">
        <v>5826</v>
      </c>
      <c r="E118" s="2" t="s">
        <v>39</v>
      </c>
      <c r="F118" s="2"/>
      <c r="G118" s="2"/>
      <c r="H118" s="2"/>
      <c r="I118" s="3">
        <f t="shared" si="1"/>
        <v>181</v>
      </c>
    </row>
    <row r="119" spans="1:9" ht="24" x14ac:dyDescent="0.3">
      <c r="A119" s="2" t="s">
        <v>1031</v>
      </c>
      <c r="B119" s="2" t="s">
        <v>5827</v>
      </c>
      <c r="C119" s="2"/>
      <c r="D119" s="2" t="s">
        <v>5828</v>
      </c>
      <c r="E119" s="2" t="s">
        <v>39</v>
      </c>
      <c r="F119" s="2"/>
      <c r="G119" s="2"/>
      <c r="H119" s="2"/>
      <c r="I119" s="3">
        <f t="shared" si="1"/>
        <v>181</v>
      </c>
    </row>
    <row r="120" spans="1:9" ht="24" x14ac:dyDescent="0.3">
      <c r="A120" s="2" t="s">
        <v>1031</v>
      </c>
      <c r="B120" s="2" t="s">
        <v>5829</v>
      </c>
      <c r="C120" s="2"/>
      <c r="D120" s="2" t="s">
        <v>5830</v>
      </c>
      <c r="E120" s="2" t="s">
        <v>39</v>
      </c>
      <c r="F120" s="2"/>
      <c r="G120" s="2"/>
      <c r="H120" s="2"/>
      <c r="I120" s="3">
        <f t="shared" si="1"/>
        <v>181</v>
      </c>
    </row>
    <row r="121" spans="1:9" ht="24" x14ac:dyDescent="0.3">
      <c r="A121" s="2" t="s">
        <v>1031</v>
      </c>
      <c r="B121" s="2" t="s">
        <v>5831</v>
      </c>
      <c r="C121" s="2" t="s">
        <v>113</v>
      </c>
      <c r="D121" s="2" t="s">
        <v>9471</v>
      </c>
      <c r="E121" s="2" t="s">
        <v>39</v>
      </c>
      <c r="F121" s="2" t="s">
        <v>4117</v>
      </c>
      <c r="G121" s="2" t="s">
        <v>1717</v>
      </c>
      <c r="H121" s="2"/>
      <c r="I121" s="3">
        <f t="shared" si="1"/>
        <v>179</v>
      </c>
    </row>
    <row r="122" spans="1:9" ht="24" x14ac:dyDescent="0.3">
      <c r="A122" s="2" t="s">
        <v>1031</v>
      </c>
      <c r="B122" s="2" t="s">
        <v>5832</v>
      </c>
      <c r="C122" s="2" t="s">
        <v>5833</v>
      </c>
      <c r="D122" s="2" t="s">
        <v>5834</v>
      </c>
      <c r="E122" s="2" t="s">
        <v>3643</v>
      </c>
      <c r="F122" s="2"/>
      <c r="G122" s="2"/>
      <c r="H122" s="2"/>
      <c r="I122" s="3">
        <f t="shared" si="1"/>
        <v>181</v>
      </c>
    </row>
    <row r="123" spans="1:9" ht="24" x14ac:dyDescent="0.3">
      <c r="A123" s="2" t="s">
        <v>1031</v>
      </c>
      <c r="B123" s="2" t="s">
        <v>5857</v>
      </c>
      <c r="C123" s="2" t="s">
        <v>559</v>
      </c>
      <c r="D123" s="2" t="s">
        <v>5858</v>
      </c>
      <c r="E123" s="2" t="s">
        <v>39</v>
      </c>
      <c r="F123" s="2"/>
      <c r="G123" s="2"/>
      <c r="H123" s="2" t="s">
        <v>646</v>
      </c>
      <c r="I123" s="3">
        <f t="shared" si="1"/>
        <v>182</v>
      </c>
    </row>
    <row r="124" spans="1:9" ht="24" x14ac:dyDescent="0.3">
      <c r="A124" s="2" t="s">
        <v>1031</v>
      </c>
      <c r="B124" s="2" t="s">
        <v>5898</v>
      </c>
      <c r="C124" s="2" t="s">
        <v>253</v>
      </c>
      <c r="D124" s="2" t="s">
        <v>5899</v>
      </c>
      <c r="E124" s="2" t="s">
        <v>39</v>
      </c>
      <c r="F124" s="2"/>
      <c r="G124" s="2"/>
      <c r="H124" s="2" t="s">
        <v>194</v>
      </c>
      <c r="I124" s="3">
        <f t="shared" si="1"/>
        <v>184</v>
      </c>
    </row>
    <row r="125" spans="1:9" ht="24" x14ac:dyDescent="0.3">
      <c r="A125" s="2" t="s">
        <v>1031</v>
      </c>
      <c r="B125" s="2" t="s">
        <v>5857</v>
      </c>
      <c r="C125" s="2" t="s">
        <v>389</v>
      </c>
      <c r="D125" s="2" t="s">
        <v>5945</v>
      </c>
      <c r="E125" s="2" t="s">
        <v>39</v>
      </c>
      <c r="F125" s="2"/>
      <c r="G125" s="2"/>
      <c r="H125" s="2" t="s">
        <v>646</v>
      </c>
      <c r="I125" s="3">
        <f t="shared" si="1"/>
        <v>187</v>
      </c>
    </row>
    <row r="126" spans="1:9" ht="24" x14ac:dyDescent="0.3">
      <c r="A126" s="2" t="s">
        <v>1031</v>
      </c>
      <c r="B126" s="2" t="s">
        <v>5946</v>
      </c>
      <c r="C126" s="2"/>
      <c r="D126" s="2" t="s">
        <v>5947</v>
      </c>
      <c r="E126" s="2" t="s">
        <v>39</v>
      </c>
      <c r="F126" s="2"/>
      <c r="G126" s="2"/>
      <c r="H126" s="2"/>
      <c r="I126" s="3">
        <f t="shared" si="1"/>
        <v>187</v>
      </c>
    </row>
    <row r="127" spans="1:9" ht="24" x14ac:dyDescent="0.3">
      <c r="A127" s="2" t="s">
        <v>1031</v>
      </c>
      <c r="B127" s="2" t="s">
        <v>5948</v>
      </c>
      <c r="C127" s="2" t="s">
        <v>491</v>
      </c>
      <c r="D127" s="2" t="s">
        <v>5949</v>
      </c>
      <c r="E127" s="2"/>
      <c r="F127" s="2"/>
      <c r="G127" s="2"/>
      <c r="H127" s="2"/>
      <c r="I127" s="3">
        <f t="shared" si="1"/>
        <v>187</v>
      </c>
    </row>
    <row r="128" spans="1:9" ht="24" x14ac:dyDescent="0.3">
      <c r="A128" s="2" t="s">
        <v>1031</v>
      </c>
      <c r="B128" s="2" t="s">
        <v>5962</v>
      </c>
      <c r="C128" s="2" t="s">
        <v>50</v>
      </c>
      <c r="D128" s="2" t="s">
        <v>5963</v>
      </c>
      <c r="E128" s="2" t="s">
        <v>39</v>
      </c>
      <c r="F128" s="2"/>
      <c r="G128" s="2"/>
      <c r="H128" s="2" t="s">
        <v>646</v>
      </c>
      <c r="I128" s="3">
        <f t="shared" si="1"/>
        <v>188</v>
      </c>
    </row>
    <row r="129" spans="1:9" ht="24" x14ac:dyDescent="0.3">
      <c r="A129" s="2" t="s">
        <v>1031</v>
      </c>
      <c r="B129" s="2" t="s">
        <v>5964</v>
      </c>
      <c r="C129" s="2"/>
      <c r="D129" s="2" t="s">
        <v>5965</v>
      </c>
      <c r="E129" s="2" t="s">
        <v>39</v>
      </c>
      <c r="F129" s="2"/>
      <c r="G129" s="2"/>
      <c r="H129" s="2"/>
      <c r="I129" s="3">
        <f t="shared" si="1"/>
        <v>188</v>
      </c>
    </row>
    <row r="130" spans="1:9" ht="24" x14ac:dyDescent="0.3">
      <c r="A130" s="2" t="s">
        <v>1031</v>
      </c>
      <c r="B130" s="2" t="s">
        <v>5984</v>
      </c>
      <c r="C130" s="2"/>
      <c r="D130" s="2" t="s">
        <v>5985</v>
      </c>
      <c r="E130" s="2" t="s">
        <v>39</v>
      </c>
      <c r="F130" s="2"/>
      <c r="G130" s="2"/>
      <c r="H130" s="2"/>
      <c r="I130" s="3">
        <f t="shared" ref="I130:I193" si="2">LEN(D130)</f>
        <v>190</v>
      </c>
    </row>
    <row r="131" spans="1:9" ht="24" x14ac:dyDescent="0.3">
      <c r="A131" s="2" t="s">
        <v>1031</v>
      </c>
      <c r="B131" s="2" t="s">
        <v>5986</v>
      </c>
      <c r="C131" s="2" t="s">
        <v>98</v>
      </c>
      <c r="D131" s="2" t="s">
        <v>5987</v>
      </c>
      <c r="E131" s="2" t="s">
        <v>211</v>
      </c>
      <c r="F131" s="2"/>
      <c r="G131" s="2"/>
      <c r="H131" s="2"/>
      <c r="I131" s="3">
        <f t="shared" si="2"/>
        <v>190</v>
      </c>
    </row>
    <row r="132" spans="1:9" ht="24" x14ac:dyDescent="0.3">
      <c r="A132" s="2" t="s">
        <v>1031</v>
      </c>
      <c r="B132" s="2" t="s">
        <v>6028</v>
      </c>
      <c r="C132" s="2" t="s">
        <v>1255</v>
      </c>
      <c r="D132" s="2" t="s">
        <v>6029</v>
      </c>
      <c r="E132" s="2" t="s">
        <v>39</v>
      </c>
      <c r="F132" s="2"/>
      <c r="G132" s="2"/>
      <c r="H132" s="2"/>
      <c r="I132" s="3">
        <f t="shared" si="2"/>
        <v>192</v>
      </c>
    </row>
    <row r="133" spans="1:9" ht="24" x14ac:dyDescent="0.3">
      <c r="A133" s="2" t="s">
        <v>1031</v>
      </c>
      <c r="B133" s="2" t="s">
        <v>5409</v>
      </c>
      <c r="C133" s="2" t="s">
        <v>389</v>
      </c>
      <c r="D133" s="2" t="s">
        <v>6061</v>
      </c>
      <c r="E133" s="2" t="s">
        <v>39</v>
      </c>
      <c r="F133" s="2"/>
      <c r="G133" s="2"/>
      <c r="H133" s="2"/>
      <c r="I133" s="3">
        <f t="shared" si="2"/>
        <v>195</v>
      </c>
    </row>
    <row r="134" spans="1:9" ht="24" x14ac:dyDescent="0.3">
      <c r="A134" s="2" t="s">
        <v>1031</v>
      </c>
      <c r="B134" s="2" t="s">
        <v>6090</v>
      </c>
      <c r="C134" s="2" t="s">
        <v>559</v>
      </c>
      <c r="D134" s="2" t="s">
        <v>9472</v>
      </c>
      <c r="E134" s="2" t="s">
        <v>39</v>
      </c>
      <c r="F134" s="2" t="s">
        <v>4117</v>
      </c>
      <c r="G134" s="2" t="s">
        <v>1717</v>
      </c>
      <c r="H134" s="2"/>
      <c r="I134" s="3">
        <f t="shared" si="2"/>
        <v>195</v>
      </c>
    </row>
    <row r="135" spans="1:9" ht="24" x14ac:dyDescent="0.3">
      <c r="A135" s="2" t="s">
        <v>1031</v>
      </c>
      <c r="B135" s="2" t="s">
        <v>6110</v>
      </c>
      <c r="C135" s="2" t="s">
        <v>45</v>
      </c>
      <c r="D135" s="2" t="s">
        <v>9473</v>
      </c>
      <c r="E135" s="2" t="s">
        <v>39</v>
      </c>
      <c r="F135" s="2" t="s">
        <v>1778</v>
      </c>
      <c r="G135" s="2" t="s">
        <v>1717</v>
      </c>
      <c r="H135" s="2"/>
      <c r="I135" s="3">
        <f t="shared" si="2"/>
        <v>196</v>
      </c>
    </row>
    <row r="136" spans="1:9" ht="24" x14ac:dyDescent="0.3">
      <c r="A136" s="2" t="s">
        <v>1031</v>
      </c>
      <c r="B136" s="2" t="s">
        <v>6140</v>
      </c>
      <c r="C136" s="2" t="s">
        <v>559</v>
      </c>
      <c r="D136" s="2" t="s">
        <v>6141</v>
      </c>
      <c r="E136" s="2" t="s">
        <v>39</v>
      </c>
      <c r="F136" s="2"/>
      <c r="G136" s="2"/>
      <c r="H136" s="2"/>
      <c r="I136" s="3">
        <f t="shared" si="2"/>
        <v>200</v>
      </c>
    </row>
    <row r="137" spans="1:9" ht="24" x14ac:dyDescent="0.3">
      <c r="A137" s="2" t="s">
        <v>1031</v>
      </c>
      <c r="B137" s="2" t="s">
        <v>6185</v>
      </c>
      <c r="C137" s="2" t="s">
        <v>332</v>
      </c>
      <c r="D137" s="2" t="s">
        <v>6186</v>
      </c>
      <c r="E137" s="2" t="s">
        <v>39</v>
      </c>
      <c r="F137" s="2"/>
      <c r="G137" s="2"/>
      <c r="H137" s="2"/>
      <c r="I137" s="3">
        <f t="shared" si="2"/>
        <v>204</v>
      </c>
    </row>
    <row r="138" spans="1:9" ht="24" x14ac:dyDescent="0.3">
      <c r="A138" s="2" t="s">
        <v>1031</v>
      </c>
      <c r="B138" s="2" t="s">
        <v>6198</v>
      </c>
      <c r="C138" s="2"/>
      <c r="D138" s="2" t="s">
        <v>6199</v>
      </c>
      <c r="E138" s="2" t="s">
        <v>39</v>
      </c>
      <c r="F138" s="2"/>
      <c r="G138" s="2"/>
      <c r="H138" s="2" t="s">
        <v>216</v>
      </c>
      <c r="I138" s="3">
        <f t="shared" si="2"/>
        <v>205</v>
      </c>
    </row>
    <row r="139" spans="1:9" ht="24" x14ac:dyDescent="0.3">
      <c r="A139" s="2" t="s">
        <v>1031</v>
      </c>
      <c r="B139" s="2" t="s">
        <v>6200</v>
      </c>
      <c r="C139" s="2"/>
      <c r="D139" s="2" t="s">
        <v>6201</v>
      </c>
      <c r="E139" s="2" t="s">
        <v>39</v>
      </c>
      <c r="F139" s="2"/>
      <c r="G139" s="2"/>
      <c r="H139" s="2"/>
      <c r="I139" s="3">
        <f t="shared" si="2"/>
        <v>205</v>
      </c>
    </row>
    <row r="140" spans="1:9" ht="36" x14ac:dyDescent="0.3">
      <c r="A140" s="2" t="s">
        <v>1031</v>
      </c>
      <c r="B140" s="2" t="s">
        <v>6202</v>
      </c>
      <c r="C140" s="2" t="s">
        <v>389</v>
      </c>
      <c r="D140" s="2" t="s">
        <v>6203</v>
      </c>
      <c r="E140" s="2" t="s">
        <v>39</v>
      </c>
      <c r="F140" s="2"/>
      <c r="G140" s="2"/>
      <c r="H140" s="2"/>
      <c r="I140" s="3">
        <f t="shared" si="2"/>
        <v>205</v>
      </c>
    </row>
    <row r="141" spans="1:9" ht="36" x14ac:dyDescent="0.3">
      <c r="A141" s="2" t="s">
        <v>1031</v>
      </c>
      <c r="B141" s="2" t="s">
        <v>6225</v>
      </c>
      <c r="C141" s="2" t="s">
        <v>348</v>
      </c>
      <c r="D141" s="2" t="s">
        <v>9474</v>
      </c>
      <c r="E141" s="2" t="s">
        <v>39</v>
      </c>
      <c r="F141" s="2" t="s">
        <v>4117</v>
      </c>
      <c r="G141" s="2" t="s">
        <v>350</v>
      </c>
      <c r="H141" s="2" t="s">
        <v>646</v>
      </c>
      <c r="I141" s="3">
        <f t="shared" si="2"/>
        <v>204</v>
      </c>
    </row>
    <row r="142" spans="1:9" ht="24" x14ac:dyDescent="0.3">
      <c r="A142" s="2" t="s">
        <v>1031</v>
      </c>
      <c r="B142" s="2" t="s">
        <v>6241</v>
      </c>
      <c r="C142" s="2" t="s">
        <v>45</v>
      </c>
      <c r="D142" s="2" t="s">
        <v>9475</v>
      </c>
      <c r="E142" s="2" t="s">
        <v>39</v>
      </c>
      <c r="F142" s="2" t="s">
        <v>1778</v>
      </c>
      <c r="G142" s="2" t="s">
        <v>1717</v>
      </c>
      <c r="H142" s="2"/>
      <c r="I142" s="3">
        <f t="shared" si="2"/>
        <v>205</v>
      </c>
    </row>
    <row r="143" spans="1:9" ht="36" x14ac:dyDescent="0.3">
      <c r="A143" s="2" t="s">
        <v>1031</v>
      </c>
      <c r="B143" s="2" t="s">
        <v>6251</v>
      </c>
      <c r="C143" s="2"/>
      <c r="D143" s="2" t="s">
        <v>6252</v>
      </c>
      <c r="E143" s="2" t="s">
        <v>39</v>
      </c>
      <c r="F143" s="2"/>
      <c r="G143" s="2"/>
      <c r="H143" s="2"/>
      <c r="I143" s="3">
        <f t="shared" si="2"/>
        <v>208</v>
      </c>
    </row>
    <row r="144" spans="1:9" ht="24" x14ac:dyDescent="0.3">
      <c r="A144" s="2" t="s">
        <v>1031</v>
      </c>
      <c r="B144" s="2" t="s">
        <v>1793</v>
      </c>
      <c r="C144" s="2" t="s">
        <v>389</v>
      </c>
      <c r="D144" s="2" t="s">
        <v>6253</v>
      </c>
      <c r="E144" s="2" t="s">
        <v>39</v>
      </c>
      <c r="F144" s="2"/>
      <c r="G144" s="2"/>
      <c r="H144" s="2"/>
      <c r="I144" s="3">
        <f t="shared" si="2"/>
        <v>208</v>
      </c>
    </row>
    <row r="145" spans="1:9" ht="24" x14ac:dyDescent="0.3">
      <c r="A145" s="2" t="s">
        <v>1031</v>
      </c>
      <c r="B145" s="2" t="s">
        <v>6264</v>
      </c>
      <c r="C145" s="2" t="s">
        <v>535</v>
      </c>
      <c r="D145" s="2" t="s">
        <v>6265</v>
      </c>
      <c r="E145" s="2" t="s">
        <v>39</v>
      </c>
      <c r="F145" s="2"/>
      <c r="G145" s="2"/>
      <c r="H145" s="2"/>
      <c r="I145" s="3">
        <f t="shared" si="2"/>
        <v>209</v>
      </c>
    </row>
    <row r="146" spans="1:9" ht="24" x14ac:dyDescent="0.3">
      <c r="A146" s="2" t="s">
        <v>1031</v>
      </c>
      <c r="B146" s="2" t="s">
        <v>6266</v>
      </c>
      <c r="C146" s="2" t="s">
        <v>116</v>
      </c>
      <c r="D146" s="2" t="s">
        <v>6267</v>
      </c>
      <c r="E146" s="2" t="s">
        <v>39</v>
      </c>
      <c r="F146" s="2"/>
      <c r="G146" s="2"/>
      <c r="H146" s="2"/>
      <c r="I146" s="3">
        <f t="shared" si="2"/>
        <v>209</v>
      </c>
    </row>
    <row r="147" spans="1:9" ht="36" x14ac:dyDescent="0.3">
      <c r="A147" s="2" t="s">
        <v>1031</v>
      </c>
      <c r="B147" s="2" t="s">
        <v>6294</v>
      </c>
      <c r="C147" s="2"/>
      <c r="D147" s="2" t="s">
        <v>6295</v>
      </c>
      <c r="E147" s="2" t="s">
        <v>39</v>
      </c>
      <c r="F147" s="2"/>
      <c r="G147" s="2"/>
      <c r="H147" s="2" t="s">
        <v>216</v>
      </c>
      <c r="I147" s="3">
        <f t="shared" si="2"/>
        <v>211</v>
      </c>
    </row>
    <row r="148" spans="1:9" ht="36" x14ac:dyDescent="0.3">
      <c r="A148" s="2" t="s">
        <v>1031</v>
      </c>
      <c r="B148" s="2" t="s">
        <v>6296</v>
      </c>
      <c r="C148" s="2"/>
      <c r="D148" s="2" t="s">
        <v>9476</v>
      </c>
      <c r="E148" s="2" t="s">
        <v>6297</v>
      </c>
      <c r="F148" s="2" t="s">
        <v>4117</v>
      </c>
      <c r="G148" s="2" t="s">
        <v>1717</v>
      </c>
      <c r="H148" s="2" t="s">
        <v>646</v>
      </c>
      <c r="I148" s="3">
        <f t="shared" si="2"/>
        <v>209</v>
      </c>
    </row>
    <row r="149" spans="1:9" ht="36" x14ac:dyDescent="0.3">
      <c r="A149" s="2" t="s">
        <v>1031</v>
      </c>
      <c r="B149" s="2" t="s">
        <v>6298</v>
      </c>
      <c r="C149" s="2"/>
      <c r="D149" s="2" t="s">
        <v>6299</v>
      </c>
      <c r="E149" s="2" t="s">
        <v>39</v>
      </c>
      <c r="F149" s="2"/>
      <c r="G149" s="2"/>
      <c r="H149" s="2"/>
      <c r="I149" s="3">
        <f t="shared" si="2"/>
        <v>211</v>
      </c>
    </row>
    <row r="150" spans="1:9" ht="36" x14ac:dyDescent="0.3">
      <c r="A150" s="2" t="s">
        <v>1031</v>
      </c>
      <c r="B150" s="2" t="s">
        <v>6304</v>
      </c>
      <c r="C150" s="2" t="s">
        <v>389</v>
      </c>
      <c r="D150" s="2" t="s">
        <v>9477</v>
      </c>
      <c r="E150" s="2" t="s">
        <v>616</v>
      </c>
      <c r="F150" s="2" t="s">
        <v>2281</v>
      </c>
      <c r="G150" s="2" t="s">
        <v>1717</v>
      </c>
      <c r="H150" s="2" t="s">
        <v>1176</v>
      </c>
      <c r="I150" s="3">
        <f t="shared" si="2"/>
        <v>209</v>
      </c>
    </row>
    <row r="151" spans="1:9" ht="36" x14ac:dyDescent="0.3">
      <c r="A151" s="2" t="s">
        <v>1031</v>
      </c>
      <c r="B151" s="2" t="s">
        <v>1503</v>
      </c>
      <c r="C151" s="2" t="s">
        <v>911</v>
      </c>
      <c r="D151" s="2" t="s">
        <v>9478</v>
      </c>
      <c r="E151" s="2" t="s">
        <v>2830</v>
      </c>
      <c r="F151" s="2" t="s">
        <v>4117</v>
      </c>
      <c r="G151" s="2" t="s">
        <v>1717</v>
      </c>
      <c r="H151" s="2" t="s">
        <v>646</v>
      </c>
      <c r="I151" s="3">
        <f t="shared" si="2"/>
        <v>210</v>
      </c>
    </row>
    <row r="152" spans="1:9" ht="36" x14ac:dyDescent="0.3">
      <c r="A152" s="2" t="s">
        <v>1031</v>
      </c>
      <c r="B152" s="2" t="s">
        <v>6315</v>
      </c>
      <c r="C152" s="2"/>
      <c r="D152" s="2" t="s">
        <v>8728</v>
      </c>
      <c r="E152" s="2" t="s">
        <v>6316</v>
      </c>
      <c r="F152" s="2"/>
      <c r="G152" s="2"/>
      <c r="H152" s="2"/>
      <c r="I152" s="3">
        <f t="shared" si="2"/>
        <v>212</v>
      </c>
    </row>
    <row r="153" spans="1:9" ht="36" x14ac:dyDescent="0.3">
      <c r="A153" s="2" t="s">
        <v>1031</v>
      </c>
      <c r="B153" s="2" t="s">
        <v>6349</v>
      </c>
      <c r="C153" s="2" t="s">
        <v>95</v>
      </c>
      <c r="D153" s="2" t="s">
        <v>6350</v>
      </c>
      <c r="E153" s="2" t="s">
        <v>39</v>
      </c>
      <c r="F153" s="2"/>
      <c r="G153" s="2"/>
      <c r="H153" s="2"/>
      <c r="I153" s="3">
        <f t="shared" si="2"/>
        <v>216</v>
      </c>
    </row>
    <row r="154" spans="1:9" ht="36" x14ac:dyDescent="0.3">
      <c r="A154" s="2" t="s">
        <v>1031</v>
      </c>
      <c r="B154" s="2" t="s">
        <v>6351</v>
      </c>
      <c r="C154" s="2" t="s">
        <v>3692</v>
      </c>
      <c r="D154" s="2" t="s">
        <v>6352</v>
      </c>
      <c r="E154" s="2" t="s">
        <v>39</v>
      </c>
      <c r="F154" s="2"/>
      <c r="G154" s="2"/>
      <c r="H154" s="2"/>
      <c r="I154" s="3">
        <f t="shared" si="2"/>
        <v>216</v>
      </c>
    </row>
    <row r="155" spans="1:9" ht="36" x14ac:dyDescent="0.3">
      <c r="A155" s="2" t="s">
        <v>1031</v>
      </c>
      <c r="B155" s="2" t="s">
        <v>6384</v>
      </c>
      <c r="C155" s="2" t="s">
        <v>1255</v>
      </c>
      <c r="D155" s="2" t="s">
        <v>6385</v>
      </c>
      <c r="E155" s="2" t="s">
        <v>39</v>
      </c>
      <c r="F155" s="2"/>
      <c r="G155" s="2"/>
      <c r="H155" s="2"/>
      <c r="I155" s="3">
        <f t="shared" si="2"/>
        <v>218</v>
      </c>
    </row>
    <row r="156" spans="1:9" ht="36" x14ac:dyDescent="0.3">
      <c r="A156" s="2" t="s">
        <v>1031</v>
      </c>
      <c r="B156" s="2" t="s">
        <v>6408</v>
      </c>
      <c r="C156" s="2"/>
      <c r="D156" s="2" t="s">
        <v>9479</v>
      </c>
      <c r="E156" s="2" t="s">
        <v>39</v>
      </c>
      <c r="F156" s="2" t="s">
        <v>350</v>
      </c>
      <c r="G156" s="2" t="s">
        <v>1717</v>
      </c>
      <c r="H156" s="2"/>
      <c r="I156" s="3">
        <f t="shared" si="2"/>
        <v>218</v>
      </c>
    </row>
    <row r="157" spans="1:9" ht="36" x14ac:dyDescent="0.3">
      <c r="A157" s="2" t="s">
        <v>1031</v>
      </c>
      <c r="B157" s="2" t="s">
        <v>6409</v>
      </c>
      <c r="C157" s="2" t="s">
        <v>389</v>
      </c>
      <c r="D157" s="2" t="s">
        <v>9480</v>
      </c>
      <c r="E157" s="2" t="s">
        <v>39</v>
      </c>
      <c r="F157" s="2" t="s">
        <v>2281</v>
      </c>
      <c r="G157" s="2" t="s">
        <v>1717</v>
      </c>
      <c r="H157" s="2"/>
      <c r="I157" s="3">
        <f t="shared" si="2"/>
        <v>218</v>
      </c>
    </row>
    <row r="158" spans="1:9" ht="36" x14ac:dyDescent="0.3">
      <c r="A158" s="2" t="s">
        <v>1031</v>
      </c>
      <c r="B158" s="2" t="s">
        <v>6410</v>
      </c>
      <c r="C158" s="2" t="s">
        <v>559</v>
      </c>
      <c r="D158" s="2" t="s">
        <v>6411</v>
      </c>
      <c r="E158" s="2" t="s">
        <v>6412</v>
      </c>
      <c r="F158" s="2"/>
      <c r="G158" s="2"/>
      <c r="H158" s="2"/>
      <c r="I158" s="3">
        <f t="shared" si="2"/>
        <v>220</v>
      </c>
    </row>
    <row r="159" spans="1:9" ht="36" x14ac:dyDescent="0.3">
      <c r="A159" s="2" t="s">
        <v>1031</v>
      </c>
      <c r="B159" s="2" t="s">
        <v>6429</v>
      </c>
      <c r="C159" s="2" t="s">
        <v>253</v>
      </c>
      <c r="D159" s="2" t="s">
        <v>6430</v>
      </c>
      <c r="E159" s="2" t="s">
        <v>39</v>
      </c>
      <c r="F159" s="2"/>
      <c r="G159" s="2"/>
      <c r="H159" s="2"/>
      <c r="I159" s="3">
        <f t="shared" si="2"/>
        <v>221</v>
      </c>
    </row>
    <row r="160" spans="1:9" ht="36" x14ac:dyDescent="0.3">
      <c r="A160" s="2" t="s">
        <v>1031</v>
      </c>
      <c r="B160" s="2" t="s">
        <v>6453</v>
      </c>
      <c r="C160" s="2" t="s">
        <v>1244</v>
      </c>
      <c r="D160" s="2" t="s">
        <v>6454</v>
      </c>
      <c r="E160" s="2" t="s">
        <v>39</v>
      </c>
      <c r="F160" s="2"/>
      <c r="G160" s="2"/>
      <c r="H160" s="2"/>
      <c r="I160" s="3">
        <f t="shared" si="2"/>
        <v>223</v>
      </c>
    </row>
    <row r="161" spans="1:9" ht="36" x14ac:dyDescent="0.3">
      <c r="A161" s="2" t="s">
        <v>1031</v>
      </c>
      <c r="B161" s="2" t="s">
        <v>6455</v>
      </c>
      <c r="C161" s="2"/>
      <c r="D161" s="2" t="s">
        <v>6456</v>
      </c>
      <c r="E161" s="2" t="s">
        <v>39</v>
      </c>
      <c r="F161" s="2"/>
      <c r="G161" s="2"/>
      <c r="H161" s="2"/>
      <c r="I161" s="3">
        <f t="shared" si="2"/>
        <v>223</v>
      </c>
    </row>
    <row r="162" spans="1:9" ht="36" x14ac:dyDescent="0.3">
      <c r="A162" s="2" t="s">
        <v>1031</v>
      </c>
      <c r="B162" s="2" t="s">
        <v>6457</v>
      </c>
      <c r="C162" s="2" t="s">
        <v>116</v>
      </c>
      <c r="D162" s="2" t="s">
        <v>6458</v>
      </c>
      <c r="E162" s="2" t="s">
        <v>39</v>
      </c>
      <c r="F162" s="2"/>
      <c r="G162" s="2"/>
      <c r="H162" s="2"/>
      <c r="I162" s="3">
        <f t="shared" si="2"/>
        <v>223</v>
      </c>
    </row>
    <row r="163" spans="1:9" ht="36" x14ac:dyDescent="0.3">
      <c r="A163" s="2" t="s">
        <v>1031</v>
      </c>
      <c r="B163" s="2" t="s">
        <v>5231</v>
      </c>
      <c r="C163" s="2" t="s">
        <v>6459</v>
      </c>
      <c r="D163" s="2" t="s">
        <v>9481</v>
      </c>
      <c r="E163" s="2" t="s">
        <v>39</v>
      </c>
      <c r="F163" s="2" t="s">
        <v>1778</v>
      </c>
      <c r="G163" s="2" t="s">
        <v>1717</v>
      </c>
      <c r="H163" s="2"/>
      <c r="I163" s="3">
        <f t="shared" si="2"/>
        <v>221</v>
      </c>
    </row>
    <row r="164" spans="1:9" ht="36" x14ac:dyDescent="0.3">
      <c r="A164" s="2" t="s">
        <v>1031</v>
      </c>
      <c r="B164" s="2" t="s">
        <v>6476</v>
      </c>
      <c r="C164" s="2" t="s">
        <v>95</v>
      </c>
      <c r="D164" s="2" t="s">
        <v>6477</v>
      </c>
      <c r="E164" s="2" t="s">
        <v>39</v>
      </c>
      <c r="F164" s="2"/>
      <c r="G164" s="2"/>
      <c r="H164" s="2" t="s">
        <v>646</v>
      </c>
      <c r="I164" s="3">
        <f t="shared" si="2"/>
        <v>225</v>
      </c>
    </row>
    <row r="165" spans="1:9" ht="36" x14ac:dyDescent="0.3">
      <c r="A165" s="2" t="s">
        <v>1031</v>
      </c>
      <c r="B165" s="2" t="s">
        <v>1564</v>
      </c>
      <c r="C165" s="2" t="s">
        <v>422</v>
      </c>
      <c r="D165" s="2" t="s">
        <v>6478</v>
      </c>
      <c r="E165" s="2" t="s">
        <v>39</v>
      </c>
      <c r="F165" s="2"/>
      <c r="G165" s="2"/>
      <c r="H165" s="2"/>
      <c r="I165" s="3">
        <f t="shared" si="2"/>
        <v>225</v>
      </c>
    </row>
    <row r="166" spans="1:9" ht="36" x14ac:dyDescent="0.3">
      <c r="A166" s="2" t="s">
        <v>1031</v>
      </c>
      <c r="B166" s="2" t="s">
        <v>6487</v>
      </c>
      <c r="C166" s="2"/>
      <c r="D166" s="2" t="s">
        <v>6488</v>
      </c>
      <c r="E166" s="2" t="s">
        <v>39</v>
      </c>
      <c r="F166" s="2"/>
      <c r="G166" s="2"/>
      <c r="H166" s="2"/>
      <c r="I166" s="3">
        <f t="shared" si="2"/>
        <v>226</v>
      </c>
    </row>
    <row r="167" spans="1:9" ht="36" x14ac:dyDescent="0.3">
      <c r="A167" s="2" t="s">
        <v>1031</v>
      </c>
      <c r="B167" s="2" t="s">
        <v>6495</v>
      </c>
      <c r="C167" s="2"/>
      <c r="D167" s="2" t="s">
        <v>6496</v>
      </c>
      <c r="E167" s="2" t="s">
        <v>39</v>
      </c>
      <c r="F167" s="2"/>
      <c r="G167" s="2"/>
      <c r="H167" s="2"/>
      <c r="I167" s="3">
        <f t="shared" si="2"/>
        <v>227</v>
      </c>
    </row>
    <row r="168" spans="1:9" ht="36" x14ac:dyDescent="0.3">
      <c r="A168" s="2" t="s">
        <v>1031</v>
      </c>
      <c r="B168" s="2" t="s">
        <v>6517</v>
      </c>
      <c r="C168" s="2"/>
      <c r="D168" s="2" t="s">
        <v>9482</v>
      </c>
      <c r="E168" s="2" t="s">
        <v>39</v>
      </c>
      <c r="F168" s="2" t="s">
        <v>4841</v>
      </c>
      <c r="G168" s="2" t="s">
        <v>1717</v>
      </c>
      <c r="H168" s="2"/>
      <c r="I168" s="3">
        <f t="shared" si="2"/>
        <v>227</v>
      </c>
    </row>
    <row r="169" spans="1:9" ht="36" x14ac:dyDescent="0.3">
      <c r="A169" s="2" t="s">
        <v>1031</v>
      </c>
      <c r="B169" s="2" t="s">
        <v>6541</v>
      </c>
      <c r="C169" s="2" t="s">
        <v>1553</v>
      </c>
      <c r="D169" s="2" t="s">
        <v>9483</v>
      </c>
      <c r="E169" s="2" t="s">
        <v>6542</v>
      </c>
      <c r="F169" s="2" t="s">
        <v>4117</v>
      </c>
      <c r="G169" s="2" t="s">
        <v>350</v>
      </c>
      <c r="H169" s="2"/>
      <c r="I169" s="3">
        <f t="shared" si="2"/>
        <v>229</v>
      </c>
    </row>
    <row r="170" spans="1:9" ht="36" x14ac:dyDescent="0.3">
      <c r="A170" s="2" t="s">
        <v>1031</v>
      </c>
      <c r="B170" s="2" t="s">
        <v>6550</v>
      </c>
      <c r="C170" s="2"/>
      <c r="D170" s="2" t="s">
        <v>6551</v>
      </c>
      <c r="E170" s="2" t="s">
        <v>39</v>
      </c>
      <c r="F170" s="2"/>
      <c r="G170" s="2"/>
      <c r="H170" s="2"/>
      <c r="I170" s="3">
        <f t="shared" si="2"/>
        <v>232</v>
      </c>
    </row>
    <row r="171" spans="1:9" ht="36" x14ac:dyDescent="0.3">
      <c r="A171" s="2" t="s">
        <v>1031</v>
      </c>
      <c r="B171" s="2" t="s">
        <v>6558</v>
      </c>
      <c r="C171" s="2"/>
      <c r="D171" s="2" t="s">
        <v>6559</v>
      </c>
      <c r="E171" s="2" t="s">
        <v>39</v>
      </c>
      <c r="F171" s="2"/>
      <c r="G171" s="2"/>
      <c r="H171" s="2"/>
      <c r="I171" s="3">
        <f t="shared" si="2"/>
        <v>233</v>
      </c>
    </row>
    <row r="172" spans="1:9" ht="36" x14ac:dyDescent="0.3">
      <c r="A172" s="2" t="s">
        <v>1031</v>
      </c>
      <c r="B172" s="2" t="s">
        <v>4548</v>
      </c>
      <c r="C172" s="2"/>
      <c r="D172" s="2" t="s">
        <v>6560</v>
      </c>
      <c r="E172" s="2" t="s">
        <v>39</v>
      </c>
      <c r="F172" s="2"/>
      <c r="G172" s="2"/>
      <c r="H172" s="2"/>
      <c r="I172" s="3">
        <f t="shared" si="2"/>
        <v>233</v>
      </c>
    </row>
    <row r="173" spans="1:9" ht="36" x14ac:dyDescent="0.3">
      <c r="A173" s="2" t="s">
        <v>1031</v>
      </c>
      <c r="B173" s="2" t="s">
        <v>6561</v>
      </c>
      <c r="C173" s="2"/>
      <c r="D173" s="2" t="s">
        <v>6562</v>
      </c>
      <c r="E173" s="2" t="s">
        <v>39</v>
      </c>
      <c r="F173" s="2"/>
      <c r="G173" s="2"/>
      <c r="H173" s="2"/>
      <c r="I173" s="3">
        <f t="shared" si="2"/>
        <v>233</v>
      </c>
    </row>
    <row r="174" spans="1:9" ht="36" x14ac:dyDescent="0.3">
      <c r="A174" s="2" t="s">
        <v>1031</v>
      </c>
      <c r="B174" s="2" t="s">
        <v>6588</v>
      </c>
      <c r="C174" s="2" t="s">
        <v>491</v>
      </c>
      <c r="D174" s="2" t="s">
        <v>6589</v>
      </c>
      <c r="E174" s="2" t="s">
        <v>39</v>
      </c>
      <c r="F174" s="2"/>
      <c r="G174" s="2"/>
      <c r="H174" s="2"/>
      <c r="I174" s="3">
        <f t="shared" si="2"/>
        <v>235</v>
      </c>
    </row>
    <row r="175" spans="1:9" ht="36" x14ac:dyDescent="0.3">
      <c r="A175" s="2" t="s">
        <v>1031</v>
      </c>
      <c r="B175" s="2" t="s">
        <v>6610</v>
      </c>
      <c r="C175" s="2" t="s">
        <v>1255</v>
      </c>
      <c r="D175" s="2" t="s">
        <v>6611</v>
      </c>
      <c r="E175" s="2" t="s">
        <v>39</v>
      </c>
      <c r="F175" s="2"/>
      <c r="G175" s="2"/>
      <c r="H175" s="2"/>
      <c r="I175" s="3">
        <f t="shared" si="2"/>
        <v>237</v>
      </c>
    </row>
    <row r="176" spans="1:9" ht="36" x14ac:dyDescent="0.3">
      <c r="A176" s="2" t="s">
        <v>1031</v>
      </c>
      <c r="B176" s="2" t="s">
        <v>6612</v>
      </c>
      <c r="C176" s="2" t="s">
        <v>389</v>
      </c>
      <c r="D176" s="2" t="s">
        <v>6613</v>
      </c>
      <c r="E176" s="2" t="s">
        <v>39</v>
      </c>
      <c r="F176" s="2"/>
      <c r="G176" s="2"/>
      <c r="H176" s="2"/>
      <c r="I176" s="3">
        <f t="shared" si="2"/>
        <v>237</v>
      </c>
    </row>
    <row r="177" spans="1:9" ht="36" x14ac:dyDescent="0.3">
      <c r="A177" s="2" t="s">
        <v>1031</v>
      </c>
      <c r="B177" s="2" t="s">
        <v>6616</v>
      </c>
      <c r="C177" s="2" t="s">
        <v>559</v>
      </c>
      <c r="D177" s="2" t="s">
        <v>6617</v>
      </c>
      <c r="E177" s="2" t="s">
        <v>39</v>
      </c>
      <c r="F177" s="2"/>
      <c r="G177" s="2"/>
      <c r="H177" s="2"/>
      <c r="I177" s="3">
        <f t="shared" si="2"/>
        <v>237</v>
      </c>
    </row>
    <row r="178" spans="1:9" ht="36" x14ac:dyDescent="0.3">
      <c r="A178" s="2" t="s">
        <v>1031</v>
      </c>
      <c r="B178" s="2" t="s">
        <v>6622</v>
      </c>
      <c r="C178" s="2" t="s">
        <v>1255</v>
      </c>
      <c r="D178" s="2" t="s">
        <v>6623</v>
      </c>
      <c r="E178" s="2" t="s">
        <v>39</v>
      </c>
      <c r="F178" s="2"/>
      <c r="G178" s="2"/>
      <c r="H178" s="2"/>
      <c r="I178" s="3">
        <f t="shared" si="2"/>
        <v>238</v>
      </c>
    </row>
    <row r="179" spans="1:9" ht="36" x14ac:dyDescent="0.3">
      <c r="A179" s="2" t="s">
        <v>1031</v>
      </c>
      <c r="B179" s="2" t="s">
        <v>6624</v>
      </c>
      <c r="C179" s="2"/>
      <c r="D179" s="2" t="s">
        <v>6625</v>
      </c>
      <c r="E179" s="2" t="s">
        <v>6626</v>
      </c>
      <c r="F179" s="2"/>
      <c r="G179" s="2"/>
      <c r="H179" s="2"/>
      <c r="I179" s="3">
        <f t="shared" si="2"/>
        <v>238</v>
      </c>
    </row>
    <row r="180" spans="1:9" ht="36" x14ac:dyDescent="0.3">
      <c r="A180" s="2" t="s">
        <v>1031</v>
      </c>
      <c r="B180" s="2" t="s">
        <v>6635</v>
      </c>
      <c r="C180" s="2"/>
      <c r="D180" s="2" t="s">
        <v>6636</v>
      </c>
      <c r="E180" s="2" t="s">
        <v>2693</v>
      </c>
      <c r="F180" s="2"/>
      <c r="G180" s="2"/>
      <c r="H180" s="2"/>
      <c r="I180" s="3">
        <f t="shared" si="2"/>
        <v>239</v>
      </c>
    </row>
    <row r="181" spans="1:9" ht="36" x14ac:dyDescent="0.3">
      <c r="A181" s="2" t="s">
        <v>1031</v>
      </c>
      <c r="B181" s="2" t="s">
        <v>6657</v>
      </c>
      <c r="C181" s="2" t="s">
        <v>332</v>
      </c>
      <c r="D181" s="2" t="s">
        <v>6658</v>
      </c>
      <c r="E181" s="2" t="s">
        <v>3643</v>
      </c>
      <c r="F181" s="2"/>
      <c r="G181" s="2"/>
      <c r="H181" s="2"/>
      <c r="I181" s="3">
        <f t="shared" si="2"/>
        <v>241</v>
      </c>
    </row>
    <row r="182" spans="1:9" ht="36" x14ac:dyDescent="0.3">
      <c r="A182" s="2" t="s">
        <v>1031</v>
      </c>
      <c r="B182" s="2" t="s">
        <v>6700</v>
      </c>
      <c r="C182" s="2" t="s">
        <v>57</v>
      </c>
      <c r="D182" s="2" t="s">
        <v>9484</v>
      </c>
      <c r="E182" s="2" t="s">
        <v>39</v>
      </c>
      <c r="F182" s="2" t="s">
        <v>1778</v>
      </c>
      <c r="G182" s="2" t="s">
        <v>1717</v>
      </c>
      <c r="H182" s="2"/>
      <c r="I182" s="3">
        <f t="shared" si="2"/>
        <v>245</v>
      </c>
    </row>
    <row r="183" spans="1:9" ht="36" x14ac:dyDescent="0.3">
      <c r="A183" s="2" t="s">
        <v>1031</v>
      </c>
      <c r="B183" s="2" t="s">
        <v>6720</v>
      </c>
      <c r="C183" s="2" t="s">
        <v>95</v>
      </c>
      <c r="D183" s="2" t="s">
        <v>6721</v>
      </c>
      <c r="E183" s="2" t="s">
        <v>39</v>
      </c>
      <c r="F183" s="2"/>
      <c r="G183" s="2"/>
      <c r="H183" s="2" t="s">
        <v>646</v>
      </c>
      <c r="I183" s="3">
        <f t="shared" si="2"/>
        <v>249</v>
      </c>
    </row>
    <row r="184" spans="1:9" ht="36" x14ac:dyDescent="0.3">
      <c r="A184" s="2" t="s">
        <v>1031</v>
      </c>
      <c r="B184" s="2" t="s">
        <v>6722</v>
      </c>
      <c r="C184" s="2" t="s">
        <v>253</v>
      </c>
      <c r="D184" s="2" t="s">
        <v>6723</v>
      </c>
      <c r="E184" s="2" t="s">
        <v>39</v>
      </c>
      <c r="F184" s="2"/>
      <c r="G184" s="2"/>
      <c r="H184" s="2"/>
      <c r="I184" s="3">
        <f t="shared" si="2"/>
        <v>249</v>
      </c>
    </row>
    <row r="185" spans="1:9" ht="36" x14ac:dyDescent="0.3">
      <c r="A185" s="2" t="s">
        <v>1031</v>
      </c>
      <c r="B185" s="2" t="s">
        <v>5857</v>
      </c>
      <c r="C185" s="2"/>
      <c r="D185" s="2" t="s">
        <v>6729</v>
      </c>
      <c r="E185" s="2" t="s">
        <v>39</v>
      </c>
      <c r="F185" s="2"/>
      <c r="G185" s="2"/>
      <c r="H185" s="2"/>
      <c r="I185" s="3">
        <f t="shared" si="2"/>
        <v>250</v>
      </c>
    </row>
    <row r="186" spans="1:9" ht="36" x14ac:dyDescent="0.3">
      <c r="A186" s="2" t="s">
        <v>1031</v>
      </c>
      <c r="B186" s="2" t="s">
        <v>6741</v>
      </c>
      <c r="C186" s="2" t="s">
        <v>95</v>
      </c>
      <c r="D186" s="2" t="s">
        <v>6742</v>
      </c>
      <c r="E186" s="2" t="s">
        <v>39</v>
      </c>
      <c r="F186" s="2"/>
      <c r="G186" s="2"/>
      <c r="H186" s="2"/>
      <c r="I186" s="3">
        <f t="shared" si="2"/>
        <v>251</v>
      </c>
    </row>
    <row r="187" spans="1:9" ht="36" x14ac:dyDescent="0.3">
      <c r="A187" s="2" t="s">
        <v>1031</v>
      </c>
      <c r="B187" s="2" t="s">
        <v>6770</v>
      </c>
      <c r="C187" s="2"/>
      <c r="D187" s="2" t="s">
        <v>6771</v>
      </c>
      <c r="E187" s="2" t="s">
        <v>39</v>
      </c>
      <c r="F187" s="2"/>
      <c r="G187" s="2"/>
      <c r="H187" s="2" t="s">
        <v>646</v>
      </c>
      <c r="I187" s="3">
        <f t="shared" si="2"/>
        <v>253</v>
      </c>
    </row>
    <row r="188" spans="1:9" ht="36" x14ac:dyDescent="0.3">
      <c r="A188" s="2" t="s">
        <v>1031</v>
      </c>
      <c r="B188" s="2" t="s">
        <v>6784</v>
      </c>
      <c r="C188" s="2"/>
      <c r="D188" s="2" t="s">
        <v>6785</v>
      </c>
      <c r="E188" s="2" t="s">
        <v>39</v>
      </c>
      <c r="F188" s="2"/>
      <c r="G188" s="2"/>
      <c r="H188" s="2"/>
      <c r="I188" s="3">
        <f t="shared" si="2"/>
        <v>254</v>
      </c>
    </row>
    <row r="189" spans="1:9" ht="36" x14ac:dyDescent="0.3">
      <c r="A189" s="2" t="s">
        <v>1031</v>
      </c>
      <c r="B189" s="2" t="s">
        <v>6805</v>
      </c>
      <c r="C189" s="2" t="s">
        <v>240</v>
      </c>
      <c r="D189" s="2" t="s">
        <v>6806</v>
      </c>
      <c r="E189" s="2" t="s">
        <v>242</v>
      </c>
      <c r="F189" s="2"/>
      <c r="G189" s="2"/>
      <c r="H189" s="2"/>
      <c r="I189" s="3">
        <f t="shared" si="2"/>
        <v>255</v>
      </c>
    </row>
    <row r="190" spans="1:9" ht="36" x14ac:dyDescent="0.3">
      <c r="A190" s="2" t="s">
        <v>1031</v>
      </c>
      <c r="B190" s="2" t="s">
        <v>6815</v>
      </c>
      <c r="C190" s="2" t="s">
        <v>116</v>
      </c>
      <c r="D190" s="2" t="s">
        <v>9485</v>
      </c>
      <c r="E190" s="2" t="s">
        <v>2693</v>
      </c>
      <c r="F190" s="2" t="s">
        <v>1778</v>
      </c>
      <c r="G190" s="2" t="s">
        <v>1717</v>
      </c>
      <c r="H190" s="2"/>
      <c r="I190" s="3">
        <f t="shared" si="2"/>
        <v>254</v>
      </c>
    </row>
    <row r="191" spans="1:9" ht="36" x14ac:dyDescent="0.3">
      <c r="A191" s="2" t="s">
        <v>1031</v>
      </c>
      <c r="B191" s="2" t="s">
        <v>6832</v>
      </c>
      <c r="C191" s="2"/>
      <c r="D191" s="2" t="s">
        <v>6833</v>
      </c>
      <c r="E191" s="2" t="s">
        <v>39</v>
      </c>
      <c r="F191" s="2"/>
      <c r="G191" s="2"/>
      <c r="H191" s="2"/>
      <c r="I191" s="3">
        <f t="shared" si="2"/>
        <v>257</v>
      </c>
    </row>
    <row r="192" spans="1:9" ht="36" x14ac:dyDescent="0.3">
      <c r="A192" s="2" t="s">
        <v>1031</v>
      </c>
      <c r="B192" s="2" t="s">
        <v>2955</v>
      </c>
      <c r="C192" s="2" t="s">
        <v>250</v>
      </c>
      <c r="D192" s="2" t="s">
        <v>9486</v>
      </c>
      <c r="E192" s="2" t="s">
        <v>39</v>
      </c>
      <c r="F192" s="2" t="s">
        <v>4117</v>
      </c>
      <c r="G192" s="2" t="s">
        <v>1717</v>
      </c>
      <c r="H192" s="2"/>
      <c r="I192" s="3">
        <f t="shared" si="2"/>
        <v>257</v>
      </c>
    </row>
    <row r="193" spans="1:9" ht="36" x14ac:dyDescent="0.3">
      <c r="A193" s="2" t="s">
        <v>1031</v>
      </c>
      <c r="B193" s="2" t="s">
        <v>6859</v>
      </c>
      <c r="C193" s="2"/>
      <c r="D193" s="2" t="s">
        <v>6860</v>
      </c>
      <c r="E193" s="2" t="s">
        <v>39</v>
      </c>
      <c r="F193" s="2"/>
      <c r="G193" s="2"/>
      <c r="H193" s="2"/>
      <c r="I193" s="3">
        <f t="shared" si="2"/>
        <v>259</v>
      </c>
    </row>
    <row r="194" spans="1:9" ht="36" x14ac:dyDescent="0.3">
      <c r="A194" s="2" t="s">
        <v>1031</v>
      </c>
      <c r="B194" s="2" t="s">
        <v>6864</v>
      </c>
      <c r="C194" s="2" t="s">
        <v>253</v>
      </c>
      <c r="D194" s="2" t="s">
        <v>6865</v>
      </c>
      <c r="E194" s="2" t="s">
        <v>39</v>
      </c>
      <c r="F194" s="2"/>
      <c r="G194" s="2"/>
      <c r="H194" s="2"/>
      <c r="I194" s="3">
        <f t="shared" ref="I194:I257" si="3">LEN(D194)</f>
        <v>260</v>
      </c>
    </row>
    <row r="195" spans="1:9" ht="36" x14ac:dyDescent="0.3">
      <c r="A195" s="2" t="s">
        <v>1031</v>
      </c>
      <c r="B195" s="2" t="s">
        <v>6871</v>
      </c>
      <c r="C195" s="2" t="s">
        <v>2730</v>
      </c>
      <c r="D195" s="2" t="s">
        <v>9487</v>
      </c>
      <c r="E195" s="2" t="s">
        <v>918</v>
      </c>
      <c r="F195" s="2" t="s">
        <v>1778</v>
      </c>
      <c r="G195" s="2" t="s">
        <v>1717</v>
      </c>
      <c r="H195" s="2"/>
      <c r="I195" s="3">
        <f t="shared" si="3"/>
        <v>259</v>
      </c>
    </row>
    <row r="196" spans="1:9" ht="36" x14ac:dyDescent="0.3">
      <c r="A196" s="2" t="s">
        <v>1031</v>
      </c>
      <c r="B196" s="2" t="s">
        <v>6872</v>
      </c>
      <c r="C196" s="2"/>
      <c r="D196" s="2" t="s">
        <v>9488</v>
      </c>
      <c r="E196" s="2" t="s">
        <v>4720</v>
      </c>
      <c r="F196" s="2" t="s">
        <v>2281</v>
      </c>
      <c r="G196" s="2" t="s">
        <v>1717</v>
      </c>
      <c r="H196" s="2"/>
      <c r="I196" s="3">
        <f t="shared" si="3"/>
        <v>259</v>
      </c>
    </row>
    <row r="197" spans="1:9" ht="36" x14ac:dyDescent="0.3">
      <c r="A197" s="2" t="s">
        <v>1031</v>
      </c>
      <c r="B197" s="2" t="s">
        <v>6873</v>
      </c>
      <c r="C197" s="2" t="s">
        <v>422</v>
      </c>
      <c r="D197" s="2" t="s">
        <v>6874</v>
      </c>
      <c r="E197" s="2" t="s">
        <v>39</v>
      </c>
      <c r="F197" s="2"/>
      <c r="G197" s="2"/>
      <c r="H197" s="2"/>
      <c r="I197" s="3">
        <f t="shared" si="3"/>
        <v>261</v>
      </c>
    </row>
    <row r="198" spans="1:9" ht="36" x14ac:dyDescent="0.3">
      <c r="A198" s="2" t="s">
        <v>1031</v>
      </c>
      <c r="B198" s="2" t="s">
        <v>6090</v>
      </c>
      <c r="C198" s="2"/>
      <c r="D198" s="2" t="s">
        <v>9489</v>
      </c>
      <c r="E198" s="2" t="s">
        <v>39</v>
      </c>
      <c r="F198" s="2" t="s">
        <v>4117</v>
      </c>
      <c r="G198" s="2" t="s">
        <v>4507</v>
      </c>
      <c r="H198" s="2"/>
      <c r="I198" s="3">
        <f t="shared" si="3"/>
        <v>261</v>
      </c>
    </row>
    <row r="199" spans="1:9" ht="36" x14ac:dyDescent="0.3">
      <c r="A199" s="2" t="s">
        <v>1031</v>
      </c>
      <c r="B199" s="2" t="s">
        <v>6912</v>
      </c>
      <c r="C199" s="2"/>
      <c r="D199" s="2" t="s">
        <v>6913</v>
      </c>
      <c r="E199" s="2" t="s">
        <v>39</v>
      </c>
      <c r="F199" s="2"/>
      <c r="G199" s="2"/>
      <c r="H199" s="2"/>
      <c r="I199" s="3">
        <f t="shared" si="3"/>
        <v>264</v>
      </c>
    </row>
    <row r="200" spans="1:9" ht="36" x14ac:dyDescent="0.3">
      <c r="A200" s="2" t="s">
        <v>1031</v>
      </c>
      <c r="B200" s="2" t="s">
        <v>6923</v>
      </c>
      <c r="C200" s="2"/>
      <c r="D200" s="2" t="s">
        <v>9490</v>
      </c>
      <c r="E200" s="2" t="s">
        <v>39</v>
      </c>
      <c r="F200" s="2" t="s">
        <v>4117</v>
      </c>
      <c r="G200" s="2" t="s">
        <v>1717</v>
      </c>
      <c r="H200" s="2"/>
      <c r="I200" s="3">
        <f t="shared" si="3"/>
        <v>263</v>
      </c>
    </row>
    <row r="201" spans="1:9" ht="36" x14ac:dyDescent="0.3">
      <c r="A201" s="2" t="s">
        <v>1031</v>
      </c>
      <c r="B201" s="2" t="s">
        <v>6924</v>
      </c>
      <c r="C201" s="2" t="s">
        <v>1255</v>
      </c>
      <c r="D201" s="2" t="s">
        <v>6925</v>
      </c>
      <c r="E201" s="2" t="s">
        <v>39</v>
      </c>
      <c r="F201" s="2"/>
      <c r="G201" s="2"/>
      <c r="H201" s="2"/>
      <c r="I201" s="3">
        <f t="shared" si="3"/>
        <v>265</v>
      </c>
    </row>
    <row r="202" spans="1:9" ht="36" x14ac:dyDescent="0.3">
      <c r="A202" s="2" t="s">
        <v>1031</v>
      </c>
      <c r="B202" s="2" t="s">
        <v>6958</v>
      </c>
      <c r="C202" s="2" t="s">
        <v>113</v>
      </c>
      <c r="D202" s="2" t="s">
        <v>9491</v>
      </c>
      <c r="E202" s="2" t="s">
        <v>2136</v>
      </c>
      <c r="F202" s="2" t="s">
        <v>350</v>
      </c>
      <c r="G202" s="2" t="s">
        <v>350</v>
      </c>
      <c r="H202" s="2"/>
      <c r="I202" s="3">
        <f t="shared" si="3"/>
        <v>266</v>
      </c>
    </row>
    <row r="203" spans="1:9" ht="36" x14ac:dyDescent="0.3">
      <c r="A203" s="2" t="s">
        <v>1031</v>
      </c>
      <c r="B203" s="2" t="s">
        <v>6982</v>
      </c>
      <c r="C203" s="2" t="s">
        <v>6662</v>
      </c>
      <c r="D203" s="2" t="s">
        <v>6983</v>
      </c>
      <c r="E203" s="2" t="s">
        <v>39</v>
      </c>
      <c r="F203" s="2"/>
      <c r="G203" s="2"/>
      <c r="H203" s="2"/>
      <c r="I203" s="3">
        <f t="shared" si="3"/>
        <v>270</v>
      </c>
    </row>
    <row r="204" spans="1:9" ht="36" x14ac:dyDescent="0.3">
      <c r="A204" s="2" t="s">
        <v>1031</v>
      </c>
      <c r="B204" s="2" t="s">
        <v>6985</v>
      </c>
      <c r="C204" s="2"/>
      <c r="D204" s="2" t="s">
        <v>9492</v>
      </c>
      <c r="E204" s="2" t="s">
        <v>3571</v>
      </c>
      <c r="F204" s="2" t="s">
        <v>1778</v>
      </c>
      <c r="G204" s="2" t="s">
        <v>1717</v>
      </c>
      <c r="H204" s="2"/>
      <c r="I204" s="3">
        <f t="shared" si="3"/>
        <v>269</v>
      </c>
    </row>
    <row r="205" spans="1:9" ht="36" x14ac:dyDescent="0.3">
      <c r="A205" s="2" t="s">
        <v>1031</v>
      </c>
      <c r="B205" s="2" t="s">
        <v>6986</v>
      </c>
      <c r="C205" s="2" t="s">
        <v>807</v>
      </c>
      <c r="D205" s="2" t="s">
        <v>6987</v>
      </c>
      <c r="E205" s="2" t="s">
        <v>39</v>
      </c>
      <c r="F205" s="2"/>
      <c r="G205" s="2"/>
      <c r="H205" s="2" t="s">
        <v>646</v>
      </c>
      <c r="I205" s="3">
        <f t="shared" si="3"/>
        <v>271</v>
      </c>
    </row>
    <row r="206" spans="1:9" ht="36" x14ac:dyDescent="0.3">
      <c r="A206" s="2" t="s">
        <v>1031</v>
      </c>
      <c r="B206" s="2" t="s">
        <v>6988</v>
      </c>
      <c r="C206" s="2" t="s">
        <v>253</v>
      </c>
      <c r="D206" s="2" t="s">
        <v>6989</v>
      </c>
      <c r="E206" s="2" t="s">
        <v>39</v>
      </c>
      <c r="F206" s="2"/>
      <c r="G206" s="2"/>
      <c r="H206" s="2"/>
      <c r="I206" s="3">
        <f t="shared" si="3"/>
        <v>271</v>
      </c>
    </row>
    <row r="207" spans="1:9" ht="36" x14ac:dyDescent="0.3">
      <c r="A207" s="2" t="s">
        <v>1031</v>
      </c>
      <c r="B207" s="2" t="s">
        <v>6996</v>
      </c>
      <c r="C207" s="2"/>
      <c r="D207" s="2" t="s">
        <v>6997</v>
      </c>
      <c r="E207" s="2" t="s">
        <v>39</v>
      </c>
      <c r="F207" s="2"/>
      <c r="G207" s="2"/>
      <c r="H207" s="2"/>
      <c r="I207" s="3">
        <f t="shared" si="3"/>
        <v>272</v>
      </c>
    </row>
    <row r="208" spans="1:9" ht="36" x14ac:dyDescent="0.3">
      <c r="A208" s="2" t="s">
        <v>1031</v>
      </c>
      <c r="B208" s="2" t="s">
        <v>7009</v>
      </c>
      <c r="C208" s="2" t="s">
        <v>896</v>
      </c>
      <c r="D208" s="2" t="s">
        <v>9493</v>
      </c>
      <c r="E208" s="2" t="s">
        <v>1188</v>
      </c>
      <c r="F208" s="2" t="s">
        <v>4117</v>
      </c>
      <c r="G208" s="2" t="s">
        <v>1717</v>
      </c>
      <c r="H208" s="2" t="s">
        <v>898</v>
      </c>
      <c r="I208" s="3">
        <f t="shared" si="3"/>
        <v>272</v>
      </c>
    </row>
    <row r="209" spans="1:9" ht="36" x14ac:dyDescent="0.3">
      <c r="A209" s="2" t="s">
        <v>1031</v>
      </c>
      <c r="B209" s="2" t="s">
        <v>7035</v>
      </c>
      <c r="C209" s="2"/>
      <c r="D209" s="2" t="s">
        <v>7036</v>
      </c>
      <c r="E209" s="2" t="s">
        <v>2693</v>
      </c>
      <c r="F209" s="2"/>
      <c r="G209" s="2"/>
      <c r="H209" s="2"/>
      <c r="I209" s="3">
        <f t="shared" si="3"/>
        <v>278</v>
      </c>
    </row>
    <row r="210" spans="1:9" ht="36" x14ac:dyDescent="0.3">
      <c r="A210" s="2" t="s">
        <v>1031</v>
      </c>
      <c r="B210" s="2" t="s">
        <v>7058</v>
      </c>
      <c r="C210" s="2" t="s">
        <v>110</v>
      </c>
      <c r="D210" s="2" t="s">
        <v>9494</v>
      </c>
      <c r="E210" s="2" t="s">
        <v>7059</v>
      </c>
      <c r="F210" s="2" t="s">
        <v>1778</v>
      </c>
      <c r="G210" s="2" t="s">
        <v>1717</v>
      </c>
      <c r="H210" s="2"/>
      <c r="I210" s="3">
        <f t="shared" si="3"/>
        <v>279</v>
      </c>
    </row>
    <row r="211" spans="1:9" ht="36" x14ac:dyDescent="0.3">
      <c r="A211" s="2" t="s">
        <v>1031</v>
      </c>
      <c r="B211" s="2" t="s">
        <v>7061</v>
      </c>
      <c r="C211" s="2"/>
      <c r="D211" s="2" t="s">
        <v>9495</v>
      </c>
      <c r="E211" s="2" t="s">
        <v>3578</v>
      </c>
      <c r="F211" s="2" t="s">
        <v>4117</v>
      </c>
      <c r="G211" s="2" t="s">
        <v>350</v>
      </c>
      <c r="H211" s="2" t="s">
        <v>1176</v>
      </c>
      <c r="I211" s="3">
        <f t="shared" si="3"/>
        <v>279</v>
      </c>
    </row>
    <row r="212" spans="1:9" ht="36" x14ac:dyDescent="0.3">
      <c r="A212" s="2" t="s">
        <v>1031</v>
      </c>
      <c r="B212" s="2" t="s">
        <v>7064</v>
      </c>
      <c r="C212" s="2" t="s">
        <v>535</v>
      </c>
      <c r="D212" s="2" t="s">
        <v>7065</v>
      </c>
      <c r="E212" s="2" t="s">
        <v>39</v>
      </c>
      <c r="F212" s="2"/>
      <c r="G212" s="2"/>
      <c r="H212" s="2" t="s">
        <v>537</v>
      </c>
      <c r="I212" s="3">
        <f t="shared" si="3"/>
        <v>282</v>
      </c>
    </row>
    <row r="213" spans="1:9" ht="36" x14ac:dyDescent="0.3">
      <c r="A213" s="2" t="s">
        <v>1031</v>
      </c>
      <c r="B213" s="2" t="s">
        <v>7073</v>
      </c>
      <c r="C213" s="2" t="s">
        <v>144</v>
      </c>
      <c r="D213" s="2" t="s">
        <v>9496</v>
      </c>
      <c r="E213" s="2" t="s">
        <v>3251</v>
      </c>
      <c r="F213" s="2" t="s">
        <v>1778</v>
      </c>
      <c r="G213" s="2" t="s">
        <v>1717</v>
      </c>
      <c r="H213" s="2" t="s">
        <v>1176</v>
      </c>
      <c r="I213" s="3">
        <f t="shared" si="3"/>
        <v>281</v>
      </c>
    </row>
    <row r="214" spans="1:9" ht="36" x14ac:dyDescent="0.3">
      <c r="A214" s="2" t="s">
        <v>1031</v>
      </c>
      <c r="B214" s="2" t="s">
        <v>7074</v>
      </c>
      <c r="C214" s="2" t="s">
        <v>7075</v>
      </c>
      <c r="D214" s="2" t="s">
        <v>7076</v>
      </c>
      <c r="E214" s="2" t="s">
        <v>39</v>
      </c>
      <c r="F214" s="2"/>
      <c r="G214" s="2"/>
      <c r="H214" s="2" t="s">
        <v>194</v>
      </c>
      <c r="I214" s="3">
        <f t="shared" si="3"/>
        <v>283</v>
      </c>
    </row>
    <row r="215" spans="1:9" ht="36" x14ac:dyDescent="0.3">
      <c r="A215" s="2" t="s">
        <v>1031</v>
      </c>
      <c r="B215" s="2" t="s">
        <v>6591</v>
      </c>
      <c r="C215" s="2"/>
      <c r="D215" s="2" t="s">
        <v>7090</v>
      </c>
      <c r="E215" s="2" t="s">
        <v>39</v>
      </c>
      <c r="F215" s="2"/>
      <c r="G215" s="2"/>
      <c r="H215" s="2"/>
      <c r="I215" s="3">
        <f t="shared" si="3"/>
        <v>286</v>
      </c>
    </row>
    <row r="216" spans="1:9" ht="36" x14ac:dyDescent="0.3">
      <c r="A216" s="2" t="s">
        <v>1031</v>
      </c>
      <c r="B216" s="2" t="s">
        <v>7099</v>
      </c>
      <c r="C216" s="2"/>
      <c r="D216" s="2" t="s">
        <v>7100</v>
      </c>
      <c r="E216" s="2" t="s">
        <v>39</v>
      </c>
      <c r="F216" s="2"/>
      <c r="G216" s="2"/>
      <c r="H216" s="2" t="s">
        <v>194</v>
      </c>
      <c r="I216" s="3">
        <f t="shared" si="3"/>
        <v>287</v>
      </c>
    </row>
    <row r="217" spans="1:9" ht="36" x14ac:dyDescent="0.3">
      <c r="A217" s="2" t="s">
        <v>1031</v>
      </c>
      <c r="B217" s="2" t="s">
        <v>7111</v>
      </c>
      <c r="C217" s="2" t="s">
        <v>389</v>
      </c>
      <c r="D217" s="2" t="s">
        <v>9497</v>
      </c>
      <c r="E217" s="2" t="s">
        <v>39</v>
      </c>
      <c r="F217" s="2" t="s">
        <v>1778</v>
      </c>
      <c r="G217" s="2" t="s">
        <v>1717</v>
      </c>
      <c r="H217" s="2"/>
      <c r="I217" s="3">
        <f t="shared" si="3"/>
        <v>287</v>
      </c>
    </row>
    <row r="218" spans="1:9" ht="36" x14ac:dyDescent="0.3">
      <c r="A218" s="2" t="s">
        <v>1031</v>
      </c>
      <c r="B218" s="2" t="s">
        <v>7123</v>
      </c>
      <c r="C218" s="2"/>
      <c r="D218" s="2" t="s">
        <v>7124</v>
      </c>
      <c r="E218" s="2" t="s">
        <v>39</v>
      </c>
      <c r="F218" s="2"/>
      <c r="G218" s="2"/>
      <c r="H218" s="2"/>
      <c r="I218" s="3">
        <f t="shared" si="3"/>
        <v>291</v>
      </c>
    </row>
    <row r="219" spans="1:9" ht="36" x14ac:dyDescent="0.3">
      <c r="A219" s="2" t="s">
        <v>1031</v>
      </c>
      <c r="B219" s="2" t="s">
        <v>7125</v>
      </c>
      <c r="C219" s="2"/>
      <c r="D219" s="2" t="s">
        <v>7126</v>
      </c>
      <c r="E219" s="2" t="s">
        <v>39</v>
      </c>
      <c r="F219" s="2"/>
      <c r="G219" s="2"/>
      <c r="H219" s="2" t="s">
        <v>646</v>
      </c>
      <c r="I219" s="3">
        <f t="shared" si="3"/>
        <v>291</v>
      </c>
    </row>
    <row r="220" spans="1:9" ht="36" x14ac:dyDescent="0.3">
      <c r="A220" s="2" t="s">
        <v>1031</v>
      </c>
      <c r="B220" s="2" t="s">
        <v>7127</v>
      </c>
      <c r="C220" s="2" t="s">
        <v>446</v>
      </c>
      <c r="D220" s="2" t="s">
        <v>7128</v>
      </c>
      <c r="E220" s="2" t="s">
        <v>39</v>
      </c>
      <c r="F220" s="2"/>
      <c r="G220" s="2"/>
      <c r="H220" s="2"/>
      <c r="I220" s="3">
        <f t="shared" si="3"/>
        <v>291</v>
      </c>
    </row>
    <row r="221" spans="1:9" ht="36" x14ac:dyDescent="0.3">
      <c r="A221" s="2" t="s">
        <v>1031</v>
      </c>
      <c r="B221" s="2" t="s">
        <v>7142</v>
      </c>
      <c r="C221" s="2"/>
      <c r="D221" s="2" t="s">
        <v>7143</v>
      </c>
      <c r="E221" s="2" t="s">
        <v>39</v>
      </c>
      <c r="F221" s="2"/>
      <c r="G221" s="2"/>
      <c r="H221" s="2"/>
      <c r="I221" s="3">
        <f t="shared" si="3"/>
        <v>293</v>
      </c>
    </row>
    <row r="222" spans="1:9" ht="36" x14ac:dyDescent="0.3">
      <c r="A222" s="2" t="s">
        <v>1031</v>
      </c>
      <c r="B222" s="2" t="s">
        <v>7191</v>
      </c>
      <c r="C222" s="2"/>
      <c r="D222" s="2" t="s">
        <v>9498</v>
      </c>
      <c r="E222" s="2" t="s">
        <v>39</v>
      </c>
      <c r="F222" s="2" t="s">
        <v>3082</v>
      </c>
      <c r="G222" s="2" t="s">
        <v>1717</v>
      </c>
      <c r="H222" s="2"/>
      <c r="I222" s="3">
        <f t="shared" si="3"/>
        <v>299</v>
      </c>
    </row>
    <row r="223" spans="1:9" ht="36" x14ac:dyDescent="0.3">
      <c r="A223" s="2" t="s">
        <v>1031</v>
      </c>
      <c r="B223" s="2" t="s">
        <v>7192</v>
      </c>
      <c r="C223" s="2"/>
      <c r="D223" s="2" t="s">
        <v>7193</v>
      </c>
      <c r="E223" s="2" t="s">
        <v>39</v>
      </c>
      <c r="F223" s="2"/>
      <c r="G223" s="2"/>
      <c r="H223" s="2"/>
      <c r="I223" s="3">
        <f t="shared" si="3"/>
        <v>301</v>
      </c>
    </row>
    <row r="224" spans="1:9" ht="36" x14ac:dyDescent="0.3">
      <c r="A224" s="2" t="s">
        <v>1031</v>
      </c>
      <c r="B224" s="2" t="s">
        <v>7194</v>
      </c>
      <c r="C224" s="2" t="s">
        <v>2730</v>
      </c>
      <c r="D224" s="2" t="s">
        <v>9499</v>
      </c>
      <c r="E224" s="2" t="s">
        <v>5406</v>
      </c>
      <c r="F224" s="2" t="s">
        <v>4117</v>
      </c>
      <c r="G224" s="2" t="s">
        <v>350</v>
      </c>
      <c r="H224" s="2"/>
      <c r="I224" s="3">
        <f t="shared" si="3"/>
        <v>299</v>
      </c>
    </row>
    <row r="225" spans="1:9" ht="48" x14ac:dyDescent="0.3">
      <c r="A225" s="2" t="s">
        <v>1031</v>
      </c>
      <c r="B225" s="2" t="s">
        <v>7206</v>
      </c>
      <c r="C225" s="2" t="s">
        <v>535</v>
      </c>
      <c r="D225" s="2" t="s">
        <v>7207</v>
      </c>
      <c r="E225" s="2" t="s">
        <v>7208</v>
      </c>
      <c r="F225" s="2"/>
      <c r="G225" s="2"/>
      <c r="H225" s="2"/>
      <c r="I225" s="3">
        <f t="shared" si="3"/>
        <v>302</v>
      </c>
    </row>
    <row r="226" spans="1:9" ht="36" x14ac:dyDescent="0.3">
      <c r="A226" s="2" t="s">
        <v>1031</v>
      </c>
      <c r="B226" s="2" t="s">
        <v>7213</v>
      </c>
      <c r="C226" s="2" t="s">
        <v>1553</v>
      </c>
      <c r="D226" s="2" t="s">
        <v>7214</v>
      </c>
      <c r="E226" s="2" t="s">
        <v>7215</v>
      </c>
      <c r="F226" s="2"/>
      <c r="G226" s="2"/>
      <c r="H226" s="2"/>
      <c r="I226" s="3">
        <f t="shared" si="3"/>
        <v>303</v>
      </c>
    </row>
    <row r="227" spans="1:9" ht="36" x14ac:dyDescent="0.3">
      <c r="A227" s="2" t="s">
        <v>1031</v>
      </c>
      <c r="B227" s="2" t="s">
        <v>7257</v>
      </c>
      <c r="C227" s="2" t="s">
        <v>389</v>
      </c>
      <c r="D227" s="2" t="s">
        <v>7258</v>
      </c>
      <c r="E227" s="2" t="s">
        <v>39</v>
      </c>
      <c r="F227" s="2"/>
      <c r="G227" s="2"/>
      <c r="H227" s="2"/>
      <c r="I227" s="3">
        <f t="shared" si="3"/>
        <v>308</v>
      </c>
    </row>
    <row r="228" spans="1:9" ht="48" x14ac:dyDescent="0.3">
      <c r="A228" s="2" t="s">
        <v>1031</v>
      </c>
      <c r="B228" s="2" t="s">
        <v>7259</v>
      </c>
      <c r="C228" s="2"/>
      <c r="D228" s="2" t="s">
        <v>9500</v>
      </c>
      <c r="E228" s="2" t="s">
        <v>3545</v>
      </c>
      <c r="F228" s="2" t="s">
        <v>4117</v>
      </c>
      <c r="G228" s="2" t="s">
        <v>1717</v>
      </c>
      <c r="H228" s="2"/>
      <c r="I228" s="3">
        <f t="shared" si="3"/>
        <v>306</v>
      </c>
    </row>
    <row r="229" spans="1:9" ht="48" x14ac:dyDescent="0.3">
      <c r="A229" s="2" t="s">
        <v>1031</v>
      </c>
      <c r="B229" s="2" t="s">
        <v>7260</v>
      </c>
      <c r="C229" s="2" t="s">
        <v>1553</v>
      </c>
      <c r="D229" s="2" t="s">
        <v>9501</v>
      </c>
      <c r="E229" s="2" t="s">
        <v>7261</v>
      </c>
      <c r="F229" s="2" t="s">
        <v>4117</v>
      </c>
      <c r="G229" s="2" t="s">
        <v>1717</v>
      </c>
      <c r="H229" s="2" t="s">
        <v>1176</v>
      </c>
      <c r="I229" s="3">
        <f t="shared" si="3"/>
        <v>306</v>
      </c>
    </row>
    <row r="230" spans="1:9" ht="36" x14ac:dyDescent="0.3">
      <c r="A230" s="2" t="s">
        <v>1031</v>
      </c>
      <c r="B230" s="2" t="s">
        <v>6686</v>
      </c>
      <c r="C230" s="2" t="s">
        <v>1354</v>
      </c>
      <c r="D230" s="2" t="s">
        <v>7276</v>
      </c>
      <c r="E230" s="2" t="s">
        <v>39</v>
      </c>
      <c r="F230" s="2"/>
      <c r="G230" s="2"/>
      <c r="H230" s="2" t="s">
        <v>1176</v>
      </c>
      <c r="I230" s="3">
        <f t="shared" si="3"/>
        <v>310</v>
      </c>
    </row>
    <row r="231" spans="1:9" ht="48" x14ac:dyDescent="0.3">
      <c r="A231" s="2" t="s">
        <v>1031</v>
      </c>
      <c r="B231" s="2" t="s">
        <v>7292</v>
      </c>
      <c r="C231" s="2"/>
      <c r="D231" s="2" t="s">
        <v>7293</v>
      </c>
      <c r="E231" s="2" t="s">
        <v>39</v>
      </c>
      <c r="F231" s="2"/>
      <c r="G231" s="2"/>
      <c r="H231" s="2"/>
      <c r="I231" s="3">
        <f t="shared" si="3"/>
        <v>312</v>
      </c>
    </row>
    <row r="232" spans="1:9" ht="36" x14ac:dyDescent="0.3">
      <c r="A232" s="2" t="s">
        <v>1031</v>
      </c>
      <c r="B232" s="2" t="s">
        <v>7317</v>
      </c>
      <c r="C232" s="2" t="s">
        <v>50</v>
      </c>
      <c r="D232" s="2" t="s">
        <v>9502</v>
      </c>
      <c r="E232" s="2" t="s">
        <v>39</v>
      </c>
      <c r="F232" s="2" t="s">
        <v>2281</v>
      </c>
      <c r="G232" s="2" t="s">
        <v>1717</v>
      </c>
      <c r="H232" s="2"/>
      <c r="I232" s="3">
        <f t="shared" si="3"/>
        <v>312</v>
      </c>
    </row>
    <row r="233" spans="1:9" ht="36" x14ac:dyDescent="0.3">
      <c r="A233" s="2" t="s">
        <v>1031</v>
      </c>
      <c r="B233" s="2" t="s">
        <v>7318</v>
      </c>
      <c r="C233" s="2"/>
      <c r="D233" s="2" t="s">
        <v>7319</v>
      </c>
      <c r="E233" s="2" t="s">
        <v>39</v>
      </c>
      <c r="F233" s="2"/>
      <c r="G233" s="2"/>
      <c r="H233" s="2"/>
      <c r="I233" s="3">
        <f t="shared" si="3"/>
        <v>314</v>
      </c>
    </row>
    <row r="234" spans="1:9" ht="48" x14ac:dyDescent="0.3">
      <c r="A234" s="2" t="s">
        <v>1031</v>
      </c>
      <c r="B234" s="2" t="s">
        <v>7339</v>
      </c>
      <c r="C234" s="2" t="s">
        <v>590</v>
      </c>
      <c r="D234" s="2" t="s">
        <v>9503</v>
      </c>
      <c r="E234" s="2" t="s">
        <v>3773</v>
      </c>
      <c r="F234" s="2" t="s">
        <v>1778</v>
      </c>
      <c r="G234" s="2" t="s">
        <v>1717</v>
      </c>
      <c r="H234" s="2"/>
      <c r="I234" s="3">
        <f t="shared" si="3"/>
        <v>315</v>
      </c>
    </row>
    <row r="235" spans="1:9" ht="48" x14ac:dyDescent="0.3">
      <c r="A235" s="2" t="s">
        <v>1031</v>
      </c>
      <c r="B235" s="2" t="s">
        <v>7360</v>
      </c>
      <c r="C235" s="2"/>
      <c r="D235" s="2" t="s">
        <v>7361</v>
      </c>
      <c r="E235" s="2" t="s">
        <v>39</v>
      </c>
      <c r="F235" s="2"/>
      <c r="G235" s="2" t="s">
        <v>1717</v>
      </c>
      <c r="H235" s="2" t="s">
        <v>646</v>
      </c>
      <c r="I235" s="3">
        <f t="shared" si="3"/>
        <v>320</v>
      </c>
    </row>
    <row r="236" spans="1:9" ht="48" x14ac:dyDescent="0.3">
      <c r="A236" s="2" t="s">
        <v>1031</v>
      </c>
      <c r="B236" s="2" t="s">
        <v>7369</v>
      </c>
      <c r="C236" s="2" t="s">
        <v>116</v>
      </c>
      <c r="D236" s="2" t="s">
        <v>7370</v>
      </c>
      <c r="E236" s="2" t="s">
        <v>39</v>
      </c>
      <c r="F236" s="2"/>
      <c r="G236" s="2"/>
      <c r="H236" s="2" t="s">
        <v>1176</v>
      </c>
      <c r="I236" s="3">
        <f t="shared" si="3"/>
        <v>320</v>
      </c>
    </row>
    <row r="237" spans="1:9" ht="48" x14ac:dyDescent="0.3">
      <c r="A237" s="2" t="s">
        <v>1031</v>
      </c>
      <c r="B237" s="2" t="s">
        <v>7394</v>
      </c>
      <c r="C237" s="2"/>
      <c r="D237" s="2" t="s">
        <v>7395</v>
      </c>
      <c r="E237" s="2" t="s">
        <v>39</v>
      </c>
      <c r="F237" s="2"/>
      <c r="G237" s="2"/>
      <c r="H237" s="2"/>
      <c r="I237" s="3">
        <f t="shared" si="3"/>
        <v>324</v>
      </c>
    </row>
    <row r="238" spans="1:9" ht="48" x14ac:dyDescent="0.3">
      <c r="A238" s="2" t="s">
        <v>1031</v>
      </c>
      <c r="B238" s="2" t="s">
        <v>7400</v>
      </c>
      <c r="C238" s="2" t="s">
        <v>389</v>
      </c>
      <c r="D238" s="2" t="s">
        <v>7401</v>
      </c>
      <c r="E238" s="2" t="s">
        <v>39</v>
      </c>
      <c r="F238" s="2"/>
      <c r="G238" s="2"/>
      <c r="H238" s="2"/>
      <c r="I238" s="3">
        <f t="shared" si="3"/>
        <v>325</v>
      </c>
    </row>
    <row r="239" spans="1:9" ht="48" x14ac:dyDescent="0.3">
      <c r="A239" s="2" t="s">
        <v>1031</v>
      </c>
      <c r="B239" s="2" t="s">
        <v>7408</v>
      </c>
      <c r="C239" s="2" t="s">
        <v>7409</v>
      </c>
      <c r="D239" s="2" t="s">
        <v>7410</v>
      </c>
      <c r="E239" s="2" t="s">
        <v>39</v>
      </c>
      <c r="F239" s="2"/>
      <c r="G239" s="2"/>
      <c r="H239" s="2" t="s">
        <v>194</v>
      </c>
      <c r="I239" s="3">
        <f t="shared" si="3"/>
        <v>326</v>
      </c>
    </row>
    <row r="240" spans="1:9" ht="48" x14ac:dyDescent="0.3">
      <c r="A240" s="2" t="s">
        <v>1031</v>
      </c>
      <c r="B240" s="2" t="s">
        <v>7466</v>
      </c>
      <c r="C240" s="2" t="s">
        <v>2730</v>
      </c>
      <c r="D240" s="2" t="s">
        <v>9504</v>
      </c>
      <c r="E240" s="2" t="s">
        <v>5406</v>
      </c>
      <c r="F240" s="2" t="s">
        <v>350</v>
      </c>
      <c r="G240" s="2" t="s">
        <v>350</v>
      </c>
      <c r="H240" s="2"/>
      <c r="I240" s="3">
        <f t="shared" si="3"/>
        <v>333</v>
      </c>
    </row>
    <row r="241" spans="1:9" ht="48" x14ac:dyDescent="0.3">
      <c r="A241" s="2" t="s">
        <v>1031</v>
      </c>
      <c r="B241" s="2" t="s">
        <v>7467</v>
      </c>
      <c r="C241" s="2" t="s">
        <v>116</v>
      </c>
      <c r="D241" s="2" t="s">
        <v>7468</v>
      </c>
      <c r="E241" s="2" t="s">
        <v>39</v>
      </c>
      <c r="F241" s="2"/>
      <c r="G241" s="2"/>
      <c r="H241" s="2" t="s">
        <v>646</v>
      </c>
      <c r="I241" s="3">
        <f t="shared" si="3"/>
        <v>335</v>
      </c>
    </row>
    <row r="242" spans="1:9" ht="48" x14ac:dyDescent="0.3">
      <c r="A242" s="2" t="s">
        <v>1031</v>
      </c>
      <c r="B242" s="2" t="s">
        <v>7471</v>
      </c>
      <c r="C242" s="2" t="s">
        <v>181</v>
      </c>
      <c r="D242" s="2" t="s">
        <v>9505</v>
      </c>
      <c r="E242" s="2" t="s">
        <v>39</v>
      </c>
      <c r="F242" s="2" t="s">
        <v>2281</v>
      </c>
      <c r="G242" s="2" t="s">
        <v>1717</v>
      </c>
      <c r="H242" s="2" t="s">
        <v>646</v>
      </c>
      <c r="I242" s="3">
        <f t="shared" si="3"/>
        <v>334</v>
      </c>
    </row>
    <row r="243" spans="1:9" ht="48" x14ac:dyDescent="0.3">
      <c r="A243" s="2" t="s">
        <v>1031</v>
      </c>
      <c r="B243" s="2" t="s">
        <v>7472</v>
      </c>
      <c r="C243" s="2"/>
      <c r="D243" s="2" t="s">
        <v>7473</v>
      </c>
      <c r="E243" s="2" t="s">
        <v>1510</v>
      </c>
      <c r="F243" s="2"/>
      <c r="G243" s="2"/>
      <c r="H243" s="2"/>
      <c r="I243" s="3">
        <f t="shared" si="3"/>
        <v>336</v>
      </c>
    </row>
    <row r="244" spans="1:9" ht="48" x14ac:dyDescent="0.3">
      <c r="A244" s="2" t="s">
        <v>1031</v>
      </c>
      <c r="B244" s="2" t="s">
        <v>7481</v>
      </c>
      <c r="C244" s="2" t="s">
        <v>1255</v>
      </c>
      <c r="D244" s="2" t="s">
        <v>7482</v>
      </c>
      <c r="E244" s="2" t="s">
        <v>39</v>
      </c>
      <c r="F244" s="2"/>
      <c r="G244" s="2"/>
      <c r="H244" s="2"/>
      <c r="I244" s="3">
        <f t="shared" si="3"/>
        <v>338</v>
      </c>
    </row>
    <row r="245" spans="1:9" ht="48" x14ac:dyDescent="0.3">
      <c r="A245" s="2" t="s">
        <v>1031</v>
      </c>
      <c r="B245" s="2" t="s">
        <v>7512</v>
      </c>
      <c r="C245" s="2" t="s">
        <v>1255</v>
      </c>
      <c r="D245" s="2" t="s">
        <v>9506</v>
      </c>
      <c r="E245" s="2" t="s">
        <v>39</v>
      </c>
      <c r="F245" s="2" t="s">
        <v>4117</v>
      </c>
      <c r="G245" s="2" t="s">
        <v>1717</v>
      </c>
      <c r="H245" s="2"/>
      <c r="I245" s="3">
        <f t="shared" si="3"/>
        <v>342</v>
      </c>
    </row>
    <row r="246" spans="1:9" ht="48" x14ac:dyDescent="0.3">
      <c r="A246" s="2" t="s">
        <v>1031</v>
      </c>
      <c r="B246" s="2" t="s">
        <v>7534</v>
      </c>
      <c r="C246" s="2"/>
      <c r="D246" s="2" t="s">
        <v>9507</v>
      </c>
      <c r="E246" s="2" t="s">
        <v>39</v>
      </c>
      <c r="F246" s="2" t="s">
        <v>1778</v>
      </c>
      <c r="G246" s="2" t="s">
        <v>1717</v>
      </c>
      <c r="H246" s="2"/>
      <c r="I246" s="3">
        <f t="shared" si="3"/>
        <v>345</v>
      </c>
    </row>
    <row r="247" spans="1:9" ht="48" x14ac:dyDescent="0.3">
      <c r="A247" s="2" t="s">
        <v>1031</v>
      </c>
      <c r="B247" s="2" t="s">
        <v>7571</v>
      </c>
      <c r="C247" s="2" t="s">
        <v>7572</v>
      </c>
      <c r="D247" s="2" t="s">
        <v>7573</v>
      </c>
      <c r="E247" s="2" t="s">
        <v>3643</v>
      </c>
      <c r="F247" s="2"/>
      <c r="G247" s="2" t="s">
        <v>1717</v>
      </c>
      <c r="H247" s="2"/>
      <c r="I247" s="3">
        <f t="shared" si="3"/>
        <v>354</v>
      </c>
    </row>
    <row r="248" spans="1:9" ht="48" x14ac:dyDescent="0.3">
      <c r="A248" s="2" t="s">
        <v>1031</v>
      </c>
      <c r="B248" s="2" t="s">
        <v>7582</v>
      </c>
      <c r="C248" s="2" t="s">
        <v>7572</v>
      </c>
      <c r="D248" s="2" t="s">
        <v>7583</v>
      </c>
      <c r="E248" s="2" t="s">
        <v>39</v>
      </c>
      <c r="F248" s="2"/>
      <c r="G248" s="2"/>
      <c r="H248" s="2"/>
      <c r="I248" s="3">
        <f t="shared" si="3"/>
        <v>355</v>
      </c>
    </row>
    <row r="249" spans="1:9" ht="48" x14ac:dyDescent="0.3">
      <c r="A249" s="2" t="s">
        <v>1031</v>
      </c>
      <c r="B249" s="2" t="s">
        <v>7625</v>
      </c>
      <c r="C249" s="2" t="s">
        <v>389</v>
      </c>
      <c r="D249" s="2" t="s">
        <v>9508</v>
      </c>
      <c r="E249" s="2" t="s">
        <v>1188</v>
      </c>
      <c r="F249" s="2" t="s">
        <v>4117</v>
      </c>
      <c r="G249" s="2" t="s">
        <v>1717</v>
      </c>
      <c r="H249" s="2"/>
      <c r="I249" s="3">
        <f t="shared" si="3"/>
        <v>359</v>
      </c>
    </row>
    <row r="250" spans="1:9" ht="48" x14ac:dyDescent="0.3">
      <c r="A250" s="2" t="s">
        <v>1031</v>
      </c>
      <c r="B250" s="2" t="s">
        <v>7631</v>
      </c>
      <c r="C250" s="2"/>
      <c r="D250" s="2" t="s">
        <v>7632</v>
      </c>
      <c r="E250" s="2" t="s">
        <v>39</v>
      </c>
      <c r="F250" s="2"/>
      <c r="G250" s="2"/>
      <c r="H250" s="2"/>
      <c r="I250" s="3">
        <f t="shared" si="3"/>
        <v>362</v>
      </c>
    </row>
    <row r="251" spans="1:9" ht="48" x14ac:dyDescent="0.3">
      <c r="A251" s="2" t="s">
        <v>1031</v>
      </c>
      <c r="B251" s="2" t="s">
        <v>7638</v>
      </c>
      <c r="C251" s="2" t="s">
        <v>253</v>
      </c>
      <c r="D251" s="2" t="s">
        <v>7639</v>
      </c>
      <c r="E251" s="2" t="s">
        <v>39</v>
      </c>
      <c r="F251" s="2"/>
      <c r="G251" s="2"/>
      <c r="H251" s="2"/>
      <c r="I251" s="3">
        <f t="shared" si="3"/>
        <v>364</v>
      </c>
    </row>
    <row r="252" spans="1:9" ht="48" x14ac:dyDescent="0.3">
      <c r="A252" s="2" t="s">
        <v>1031</v>
      </c>
      <c r="B252" s="2" t="s">
        <v>7640</v>
      </c>
      <c r="C252" s="2"/>
      <c r="D252" s="2" t="s">
        <v>7641</v>
      </c>
      <c r="E252" s="2" t="s">
        <v>39</v>
      </c>
      <c r="F252" s="2"/>
      <c r="G252" s="2"/>
      <c r="H252" s="2"/>
      <c r="I252" s="3">
        <f t="shared" si="3"/>
        <v>364</v>
      </c>
    </row>
    <row r="253" spans="1:9" ht="48" x14ac:dyDescent="0.3">
      <c r="A253" s="2" t="s">
        <v>1031</v>
      </c>
      <c r="B253" s="2" t="s">
        <v>7685</v>
      </c>
      <c r="C253" s="2"/>
      <c r="D253" s="2" t="s">
        <v>7686</v>
      </c>
      <c r="E253" s="2" t="s">
        <v>39</v>
      </c>
      <c r="F253" s="2"/>
      <c r="G253" s="2"/>
      <c r="H253" s="2"/>
      <c r="I253" s="3">
        <f t="shared" si="3"/>
        <v>372</v>
      </c>
    </row>
    <row r="254" spans="1:9" ht="48" x14ac:dyDescent="0.3">
      <c r="A254" s="2" t="s">
        <v>1031</v>
      </c>
      <c r="B254" s="2" t="s">
        <v>7699</v>
      </c>
      <c r="C254" s="2"/>
      <c r="D254" s="2" t="s">
        <v>7700</v>
      </c>
      <c r="E254" s="2" t="s">
        <v>39</v>
      </c>
      <c r="F254" s="2"/>
      <c r="G254" s="2"/>
      <c r="H254" s="2"/>
      <c r="I254" s="3">
        <f t="shared" si="3"/>
        <v>376</v>
      </c>
    </row>
    <row r="255" spans="1:9" ht="48" x14ac:dyDescent="0.3">
      <c r="A255" s="2" t="s">
        <v>1031</v>
      </c>
      <c r="B255" s="2" t="s">
        <v>6304</v>
      </c>
      <c r="C255" s="2" t="s">
        <v>389</v>
      </c>
      <c r="D255" s="2" t="s">
        <v>9509</v>
      </c>
      <c r="E255" s="2" t="s">
        <v>616</v>
      </c>
      <c r="F255" s="2" t="s">
        <v>2281</v>
      </c>
      <c r="G255" s="2" t="s">
        <v>1717</v>
      </c>
      <c r="H255" s="2"/>
      <c r="I255" s="3">
        <f t="shared" si="3"/>
        <v>375</v>
      </c>
    </row>
    <row r="256" spans="1:9" ht="48" x14ac:dyDescent="0.3">
      <c r="A256" s="2" t="s">
        <v>1031</v>
      </c>
      <c r="B256" s="2" t="s">
        <v>7741</v>
      </c>
      <c r="C256" s="2" t="s">
        <v>116</v>
      </c>
      <c r="D256" s="2" t="s">
        <v>7742</v>
      </c>
      <c r="E256" s="2" t="s">
        <v>39</v>
      </c>
      <c r="F256" s="2"/>
      <c r="G256" s="2"/>
      <c r="H256" s="2"/>
      <c r="I256" s="3">
        <f t="shared" si="3"/>
        <v>384</v>
      </c>
    </row>
    <row r="257" spans="1:9" ht="48" x14ac:dyDescent="0.3">
      <c r="A257" s="2" t="s">
        <v>1031</v>
      </c>
      <c r="B257" s="2" t="s">
        <v>7745</v>
      </c>
      <c r="C257" s="2" t="s">
        <v>7746</v>
      </c>
      <c r="D257" s="2" t="s">
        <v>9510</v>
      </c>
      <c r="E257" s="2" t="s">
        <v>39</v>
      </c>
      <c r="F257" s="2" t="s">
        <v>2281</v>
      </c>
      <c r="G257" s="2" t="s">
        <v>1717</v>
      </c>
      <c r="H257" s="2" t="s">
        <v>646</v>
      </c>
      <c r="I257" s="3">
        <f t="shared" si="3"/>
        <v>383</v>
      </c>
    </row>
    <row r="258" spans="1:9" ht="48" x14ac:dyDescent="0.3">
      <c r="A258" s="2" t="s">
        <v>1031</v>
      </c>
      <c r="B258" s="2" t="s">
        <v>7772</v>
      </c>
      <c r="C258" s="2" t="s">
        <v>7773</v>
      </c>
      <c r="D258" s="2" t="s">
        <v>7774</v>
      </c>
      <c r="E258" s="2" t="s">
        <v>39</v>
      </c>
      <c r="F258" s="2"/>
      <c r="G258" s="2"/>
      <c r="H258" s="2" t="s">
        <v>646</v>
      </c>
      <c r="I258" s="3">
        <f t="shared" ref="I258:I282" si="4">LEN(D258)</f>
        <v>391</v>
      </c>
    </row>
    <row r="259" spans="1:9" ht="48" x14ac:dyDescent="0.3">
      <c r="A259" s="2" t="s">
        <v>1031</v>
      </c>
      <c r="B259" s="2" t="s">
        <v>7777</v>
      </c>
      <c r="C259" s="2" t="s">
        <v>544</v>
      </c>
      <c r="D259" s="2" t="s">
        <v>7778</v>
      </c>
      <c r="E259" s="2" t="s">
        <v>7779</v>
      </c>
      <c r="F259" s="2"/>
      <c r="G259" s="2"/>
      <c r="H259" s="2"/>
      <c r="I259" s="3">
        <f t="shared" si="4"/>
        <v>392</v>
      </c>
    </row>
    <row r="260" spans="1:9" ht="60" x14ac:dyDescent="0.3">
      <c r="A260" s="2" t="s">
        <v>1031</v>
      </c>
      <c r="B260" s="2" t="s">
        <v>7796</v>
      </c>
      <c r="C260" s="2" t="s">
        <v>7475</v>
      </c>
      <c r="D260" s="2" t="s">
        <v>8729</v>
      </c>
      <c r="E260" s="2" t="s">
        <v>7797</v>
      </c>
      <c r="F260" s="2"/>
      <c r="G260" s="2" t="s">
        <v>350</v>
      </c>
      <c r="H260" s="2" t="s">
        <v>898</v>
      </c>
      <c r="I260" s="3">
        <f t="shared" si="4"/>
        <v>396</v>
      </c>
    </row>
    <row r="261" spans="1:9" ht="48" x14ac:dyDescent="0.3">
      <c r="A261" s="2" t="s">
        <v>1031</v>
      </c>
      <c r="B261" s="2" t="s">
        <v>7798</v>
      </c>
      <c r="C261" s="2"/>
      <c r="D261" s="2" t="s">
        <v>7799</v>
      </c>
      <c r="E261" s="2" t="s">
        <v>39</v>
      </c>
      <c r="F261" s="2"/>
      <c r="G261" s="2"/>
      <c r="H261" s="2" t="s">
        <v>646</v>
      </c>
      <c r="I261" s="3">
        <f t="shared" si="4"/>
        <v>396</v>
      </c>
    </row>
    <row r="262" spans="1:9" ht="60" x14ac:dyDescent="0.3">
      <c r="A262" s="2" t="s">
        <v>1031</v>
      </c>
      <c r="B262" s="2" t="s">
        <v>7802</v>
      </c>
      <c r="C262" s="2" t="s">
        <v>57</v>
      </c>
      <c r="D262" s="2" t="s">
        <v>9511</v>
      </c>
      <c r="E262" s="2" t="s">
        <v>2693</v>
      </c>
      <c r="F262" s="2" t="s">
        <v>1778</v>
      </c>
      <c r="G262" s="2" t="s">
        <v>1717</v>
      </c>
      <c r="H262" s="2" t="s">
        <v>194</v>
      </c>
      <c r="I262" s="3">
        <f t="shared" si="4"/>
        <v>395</v>
      </c>
    </row>
    <row r="263" spans="1:9" ht="48" x14ac:dyDescent="0.3">
      <c r="A263" s="2" t="s">
        <v>1031</v>
      </c>
      <c r="B263" s="2" t="s">
        <v>7811</v>
      </c>
      <c r="C263" s="2" t="s">
        <v>291</v>
      </c>
      <c r="D263" s="2" t="s">
        <v>7812</v>
      </c>
      <c r="E263" s="2" t="s">
        <v>211</v>
      </c>
      <c r="F263" s="2"/>
      <c r="G263" s="2"/>
      <c r="H263" s="2"/>
      <c r="I263" s="3">
        <f t="shared" si="4"/>
        <v>399</v>
      </c>
    </row>
    <row r="264" spans="1:9" ht="60" x14ac:dyDescent="0.3">
      <c r="A264" s="2" t="s">
        <v>1031</v>
      </c>
      <c r="B264" s="2" t="s">
        <v>6784</v>
      </c>
      <c r="C264" s="2" t="s">
        <v>92</v>
      </c>
      <c r="D264" s="2" t="s">
        <v>9512</v>
      </c>
      <c r="E264" s="2" t="s">
        <v>2218</v>
      </c>
      <c r="F264" s="2" t="s">
        <v>2281</v>
      </c>
      <c r="G264" s="2" t="s">
        <v>1717</v>
      </c>
      <c r="H264" s="2"/>
      <c r="I264" s="3">
        <f t="shared" si="4"/>
        <v>401</v>
      </c>
    </row>
    <row r="265" spans="1:9" ht="48" x14ac:dyDescent="0.3">
      <c r="A265" s="2" t="s">
        <v>1031</v>
      </c>
      <c r="B265" s="2" t="s">
        <v>7821</v>
      </c>
      <c r="C265" s="2" t="s">
        <v>348</v>
      </c>
      <c r="D265" s="2" t="s">
        <v>9513</v>
      </c>
      <c r="E265" s="2" t="s">
        <v>39</v>
      </c>
      <c r="F265" s="2" t="s">
        <v>4117</v>
      </c>
      <c r="G265" s="2" t="s">
        <v>1717</v>
      </c>
      <c r="H265" s="2" t="s">
        <v>194</v>
      </c>
      <c r="I265" s="3">
        <f t="shared" si="4"/>
        <v>402</v>
      </c>
    </row>
    <row r="266" spans="1:9" ht="60" x14ac:dyDescent="0.3">
      <c r="A266" s="2" t="s">
        <v>1031</v>
      </c>
      <c r="B266" s="2" t="s">
        <v>7824</v>
      </c>
      <c r="C266" s="2" t="s">
        <v>535</v>
      </c>
      <c r="D266" s="2" t="s">
        <v>7825</v>
      </c>
      <c r="E266" s="2" t="s">
        <v>39</v>
      </c>
      <c r="F266" s="2"/>
      <c r="G266" s="2"/>
      <c r="H266" s="2"/>
      <c r="I266" s="3">
        <f t="shared" si="4"/>
        <v>405</v>
      </c>
    </row>
    <row r="267" spans="1:9" ht="60" x14ac:dyDescent="0.3">
      <c r="A267" s="2" t="s">
        <v>1031</v>
      </c>
      <c r="B267" s="2" t="s">
        <v>7884</v>
      </c>
      <c r="C267" s="2"/>
      <c r="D267" s="2" t="s">
        <v>9514</v>
      </c>
      <c r="E267" s="2" t="s">
        <v>3209</v>
      </c>
      <c r="F267" s="2" t="s">
        <v>4117</v>
      </c>
      <c r="G267" s="2" t="s">
        <v>1717</v>
      </c>
      <c r="H267" s="2"/>
      <c r="I267" s="3">
        <f t="shared" si="4"/>
        <v>419</v>
      </c>
    </row>
    <row r="268" spans="1:9" ht="60" x14ac:dyDescent="0.3">
      <c r="A268" s="2" t="s">
        <v>1031</v>
      </c>
      <c r="B268" s="2" t="s">
        <v>7899</v>
      </c>
      <c r="C268" s="2"/>
      <c r="D268" s="2" t="s">
        <v>7900</v>
      </c>
      <c r="E268" s="2" t="s">
        <v>39</v>
      </c>
      <c r="F268" s="2"/>
      <c r="G268" s="2"/>
      <c r="H268" s="2"/>
      <c r="I268" s="3">
        <f t="shared" si="4"/>
        <v>423</v>
      </c>
    </row>
    <row r="269" spans="1:9" ht="60" x14ac:dyDescent="0.3">
      <c r="A269" s="2" t="s">
        <v>1031</v>
      </c>
      <c r="B269" s="2" t="s">
        <v>8063</v>
      </c>
      <c r="C269" s="2" t="s">
        <v>500</v>
      </c>
      <c r="D269" s="2" t="s">
        <v>8064</v>
      </c>
      <c r="E269" s="2" t="s">
        <v>3226</v>
      </c>
      <c r="F269" s="2"/>
      <c r="G269" s="2"/>
      <c r="H269" s="2" t="s">
        <v>402</v>
      </c>
      <c r="I269" s="3">
        <f t="shared" si="4"/>
        <v>468</v>
      </c>
    </row>
    <row r="270" spans="1:9" ht="60" x14ac:dyDescent="0.3">
      <c r="A270" s="2" t="s">
        <v>1031</v>
      </c>
      <c r="B270" s="2" t="s">
        <v>8118</v>
      </c>
      <c r="C270" s="2" t="s">
        <v>7565</v>
      </c>
      <c r="D270" s="2" t="s">
        <v>9515</v>
      </c>
      <c r="E270" s="2" t="s">
        <v>39</v>
      </c>
      <c r="F270" s="2" t="s">
        <v>350</v>
      </c>
      <c r="G270" s="2" t="s">
        <v>350</v>
      </c>
      <c r="H270" s="2"/>
      <c r="I270" s="3">
        <f t="shared" si="4"/>
        <v>481</v>
      </c>
    </row>
    <row r="271" spans="1:9" ht="60" x14ac:dyDescent="0.3">
      <c r="A271" s="2" t="s">
        <v>1031</v>
      </c>
      <c r="B271" s="2" t="s">
        <v>8194</v>
      </c>
      <c r="C271" s="2" t="s">
        <v>2879</v>
      </c>
      <c r="D271" s="2" t="s">
        <v>9516</v>
      </c>
      <c r="E271" s="2" t="s">
        <v>39</v>
      </c>
      <c r="F271" s="2" t="s">
        <v>2281</v>
      </c>
      <c r="G271" s="2" t="s">
        <v>1717</v>
      </c>
      <c r="H271" s="2"/>
      <c r="I271" s="3">
        <f t="shared" si="4"/>
        <v>522</v>
      </c>
    </row>
    <row r="272" spans="1:9" ht="72" x14ac:dyDescent="0.3">
      <c r="A272" s="2" t="s">
        <v>1031</v>
      </c>
      <c r="B272" s="2" t="s">
        <v>8228</v>
      </c>
      <c r="C272" s="2" t="s">
        <v>332</v>
      </c>
      <c r="D272" s="2" t="s">
        <v>9517</v>
      </c>
      <c r="E272" s="2" t="s">
        <v>2693</v>
      </c>
      <c r="F272" s="2" t="s">
        <v>1778</v>
      </c>
      <c r="G272" s="2" t="s">
        <v>1717</v>
      </c>
      <c r="H272" s="2"/>
      <c r="I272" s="3">
        <f t="shared" si="4"/>
        <v>534</v>
      </c>
    </row>
    <row r="273" spans="1:9" ht="72" x14ac:dyDescent="0.3">
      <c r="A273" s="2" t="s">
        <v>1031</v>
      </c>
      <c r="B273" s="2" t="s">
        <v>8262</v>
      </c>
      <c r="C273" s="2" t="s">
        <v>389</v>
      </c>
      <c r="D273" s="2" t="s">
        <v>9518</v>
      </c>
      <c r="E273" s="2" t="s">
        <v>39</v>
      </c>
      <c r="F273" s="2" t="s">
        <v>1778</v>
      </c>
      <c r="G273" s="2" t="s">
        <v>1717</v>
      </c>
      <c r="H273" s="2"/>
      <c r="I273" s="3">
        <f t="shared" si="4"/>
        <v>546</v>
      </c>
    </row>
    <row r="274" spans="1:9" ht="72" x14ac:dyDescent="0.3">
      <c r="A274" s="2" t="s">
        <v>1031</v>
      </c>
      <c r="B274" s="2" t="s">
        <v>8275</v>
      </c>
      <c r="C274" s="2" t="s">
        <v>8276</v>
      </c>
      <c r="D274" s="2" t="s">
        <v>9519</v>
      </c>
      <c r="E274" s="2" t="s">
        <v>278</v>
      </c>
      <c r="F274" s="2" t="s">
        <v>4117</v>
      </c>
      <c r="G274" s="2" t="s">
        <v>1717</v>
      </c>
      <c r="H274" s="2" t="s">
        <v>194</v>
      </c>
      <c r="I274" s="3">
        <f t="shared" si="4"/>
        <v>553</v>
      </c>
    </row>
    <row r="275" spans="1:9" ht="72" x14ac:dyDescent="0.3">
      <c r="A275" s="2" t="s">
        <v>1031</v>
      </c>
      <c r="B275" s="2" t="s">
        <v>8280</v>
      </c>
      <c r="C275" s="2" t="s">
        <v>8281</v>
      </c>
      <c r="D275" s="2" t="s">
        <v>9520</v>
      </c>
      <c r="E275" s="2" t="s">
        <v>39</v>
      </c>
      <c r="F275" s="2" t="s">
        <v>1778</v>
      </c>
      <c r="G275" s="2" t="s">
        <v>1717</v>
      </c>
      <c r="H275" s="2" t="s">
        <v>8234</v>
      </c>
      <c r="I275" s="3">
        <f t="shared" si="4"/>
        <v>555</v>
      </c>
    </row>
    <row r="276" spans="1:9" ht="72" x14ac:dyDescent="0.3">
      <c r="A276" s="2" t="s">
        <v>1031</v>
      </c>
      <c r="B276" s="2" t="s">
        <v>8289</v>
      </c>
      <c r="C276" s="2" t="s">
        <v>8290</v>
      </c>
      <c r="D276" s="2" t="s">
        <v>8730</v>
      </c>
      <c r="E276" s="2" t="s">
        <v>3643</v>
      </c>
      <c r="F276" s="2"/>
      <c r="G276" s="2"/>
      <c r="H276" s="2"/>
      <c r="I276" s="3">
        <f t="shared" si="4"/>
        <v>561</v>
      </c>
    </row>
    <row r="277" spans="1:9" ht="72" x14ac:dyDescent="0.3">
      <c r="A277" s="2" t="s">
        <v>1031</v>
      </c>
      <c r="B277" s="2" t="s">
        <v>8323</v>
      </c>
      <c r="C277" s="2" t="s">
        <v>57</v>
      </c>
      <c r="D277" s="2" t="s">
        <v>9521</v>
      </c>
      <c r="E277" s="2" t="s">
        <v>3980</v>
      </c>
      <c r="F277" s="2" t="s">
        <v>1778</v>
      </c>
      <c r="G277" s="2" t="s">
        <v>1717</v>
      </c>
      <c r="H277" s="2"/>
      <c r="I277" s="3">
        <f t="shared" si="4"/>
        <v>573</v>
      </c>
    </row>
    <row r="278" spans="1:9" ht="84" x14ac:dyDescent="0.3">
      <c r="A278" s="2" t="s">
        <v>1031</v>
      </c>
      <c r="B278" s="2" t="s">
        <v>8377</v>
      </c>
      <c r="C278" s="2" t="s">
        <v>8378</v>
      </c>
      <c r="D278" s="2" t="s">
        <v>9522</v>
      </c>
      <c r="E278" s="2" t="s">
        <v>2524</v>
      </c>
      <c r="F278" s="2" t="s">
        <v>1778</v>
      </c>
      <c r="G278" s="2" t="s">
        <v>8379</v>
      </c>
      <c r="H278" s="2" t="s">
        <v>194</v>
      </c>
      <c r="I278" s="3">
        <f t="shared" si="4"/>
        <v>610</v>
      </c>
    </row>
    <row r="279" spans="1:9" ht="84" x14ac:dyDescent="0.3">
      <c r="A279" s="2" t="s">
        <v>1031</v>
      </c>
      <c r="B279" s="2" t="s">
        <v>8448</v>
      </c>
      <c r="C279" s="2" t="s">
        <v>201</v>
      </c>
      <c r="D279" s="2" t="s">
        <v>9523</v>
      </c>
      <c r="E279" s="2" t="s">
        <v>3936</v>
      </c>
      <c r="F279" s="2" t="s">
        <v>1778</v>
      </c>
      <c r="G279" s="2" t="s">
        <v>1717</v>
      </c>
      <c r="H279" s="2"/>
      <c r="I279" s="3">
        <f t="shared" si="4"/>
        <v>673</v>
      </c>
    </row>
    <row r="280" spans="1:9" ht="84" x14ac:dyDescent="0.3">
      <c r="A280" s="2" t="s">
        <v>1031</v>
      </c>
      <c r="B280" s="2" t="s">
        <v>8470</v>
      </c>
      <c r="C280" s="2" t="s">
        <v>181</v>
      </c>
      <c r="D280" s="2" t="s">
        <v>9524</v>
      </c>
      <c r="E280" s="2" t="s">
        <v>39</v>
      </c>
      <c r="F280" s="2" t="s">
        <v>2281</v>
      </c>
      <c r="G280" s="2" t="s">
        <v>1717</v>
      </c>
      <c r="H280" s="2" t="s">
        <v>1176</v>
      </c>
      <c r="I280" s="3">
        <f t="shared" si="4"/>
        <v>704</v>
      </c>
    </row>
    <row r="281" spans="1:9" ht="96" x14ac:dyDescent="0.3">
      <c r="A281" s="2" t="s">
        <v>1031</v>
      </c>
      <c r="B281" s="2" t="s">
        <v>8526</v>
      </c>
      <c r="C281" s="2" t="s">
        <v>8527</v>
      </c>
      <c r="D281" s="2" t="s">
        <v>8528</v>
      </c>
      <c r="E281" s="2" t="s">
        <v>39</v>
      </c>
      <c r="F281" s="2"/>
      <c r="G281" s="2" t="s">
        <v>350</v>
      </c>
      <c r="H281" s="2" t="s">
        <v>1176</v>
      </c>
      <c r="I281" s="3">
        <f t="shared" si="4"/>
        <v>798</v>
      </c>
    </row>
    <row r="282" spans="1:9" ht="132" x14ac:dyDescent="0.3">
      <c r="A282" s="2" t="s">
        <v>1031</v>
      </c>
      <c r="B282" s="2" t="s">
        <v>8606</v>
      </c>
      <c r="C282" s="2" t="s">
        <v>8607</v>
      </c>
      <c r="D282" s="2" t="s">
        <v>9560</v>
      </c>
      <c r="E282" s="2" t="s">
        <v>39</v>
      </c>
      <c r="F282" s="2" t="s">
        <v>350</v>
      </c>
      <c r="G282" s="2" t="s">
        <v>350</v>
      </c>
      <c r="H282" s="2" t="s">
        <v>1176</v>
      </c>
      <c r="I282" s="3">
        <f t="shared" si="4"/>
        <v>1049</v>
      </c>
    </row>
  </sheetData>
  <autoFilter ref="A1:I282" xr:uid="{00000000-0009-0000-0000-000000000000}">
    <sortState xmlns:xlrd2="http://schemas.microsoft.com/office/spreadsheetml/2017/richdata2" ref="A2:I282">
      <sortCondition ref="A1:A282"/>
    </sortState>
  </autoFilter>
  <conditionalFormatting sqref="H1:H284">
    <cfRule type="notContainsBlanks" dxfId="4" priority="1">
      <formula>LEN(TRIM(H1))&gt;0</formula>
    </cfRule>
  </conditionalFormatting>
  <dataValidations count="2">
    <dataValidation type="list" allowBlank="1" sqref="H2:H282" xr:uid="{4FC67D59-0A60-4BFB-B152-3E33856558CF}">
      <formula1>#REF!</formula1>
    </dataValidation>
    <dataValidation type="list" allowBlank="1" showErrorMessage="1" sqref="C2:C282" xr:uid="{9646089D-0324-45F6-BD45-38B5AA8E2872}">
      <formula1>#REF!</formula1>
    </dataValidation>
  </dataValidation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opLeftCell="B1" workbookViewId="0">
      <pane ySplit="1" topLeftCell="A2" activePane="bottomLeft" state="frozen"/>
      <selection pane="bottomLeft" activeCell="B2" sqref="B2"/>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150</v>
      </c>
      <c r="B2" s="2" t="s">
        <v>151</v>
      </c>
      <c r="C2" s="2"/>
      <c r="D2" s="2" t="s">
        <v>152</v>
      </c>
      <c r="E2" s="2"/>
      <c r="F2" s="2"/>
      <c r="G2" s="2"/>
      <c r="H2" s="2"/>
      <c r="I2" s="3">
        <f t="shared" ref="I2:I33" si="0">LEN(D2)</f>
        <v>21</v>
      </c>
    </row>
    <row r="3" spans="1:9" x14ac:dyDescent="0.3">
      <c r="A3" s="2" t="s">
        <v>150</v>
      </c>
      <c r="B3" s="2" t="s">
        <v>155</v>
      </c>
      <c r="C3" s="2"/>
      <c r="D3" s="2" t="s">
        <v>156</v>
      </c>
      <c r="E3" s="2"/>
      <c r="F3" s="2"/>
      <c r="G3" s="2"/>
      <c r="H3" s="2"/>
      <c r="I3" s="3">
        <f t="shared" si="0"/>
        <v>22</v>
      </c>
    </row>
    <row r="4" spans="1:9" x14ac:dyDescent="0.3">
      <c r="A4" s="2" t="s">
        <v>150</v>
      </c>
      <c r="B4" s="2" t="s">
        <v>143</v>
      </c>
      <c r="C4" s="2" t="s">
        <v>144</v>
      </c>
      <c r="D4" s="2" t="s">
        <v>261</v>
      </c>
      <c r="E4" s="2"/>
      <c r="F4" s="2"/>
      <c r="G4" s="2"/>
      <c r="H4" s="2"/>
      <c r="I4" s="3">
        <f t="shared" si="0"/>
        <v>29</v>
      </c>
    </row>
    <row r="5" spans="1:9" x14ac:dyDescent="0.3">
      <c r="A5" s="2" t="s">
        <v>150</v>
      </c>
      <c r="B5" s="2" t="s">
        <v>205</v>
      </c>
      <c r="C5" s="2" t="s">
        <v>206</v>
      </c>
      <c r="D5" s="2" t="s">
        <v>279</v>
      </c>
      <c r="E5" s="2"/>
      <c r="F5" s="2"/>
      <c r="G5" s="2"/>
      <c r="H5" s="2"/>
      <c r="I5" s="3">
        <f t="shared" si="0"/>
        <v>30</v>
      </c>
    </row>
    <row r="6" spans="1:9" x14ac:dyDescent="0.3">
      <c r="A6" s="2" t="s">
        <v>150</v>
      </c>
      <c r="B6" s="2" t="s">
        <v>323</v>
      </c>
      <c r="C6" s="2" t="s">
        <v>324</v>
      </c>
      <c r="D6" s="2" t="s">
        <v>325</v>
      </c>
      <c r="E6" s="2"/>
      <c r="F6" s="2"/>
      <c r="G6" s="2"/>
      <c r="H6" s="2"/>
      <c r="I6" s="3">
        <f t="shared" si="0"/>
        <v>33</v>
      </c>
    </row>
    <row r="7" spans="1:9" x14ac:dyDescent="0.3">
      <c r="A7" s="2" t="s">
        <v>150</v>
      </c>
      <c r="B7" s="2" t="s">
        <v>334</v>
      </c>
      <c r="C7" s="2" t="s">
        <v>253</v>
      </c>
      <c r="D7" s="2" t="s">
        <v>335</v>
      </c>
      <c r="E7" s="2"/>
      <c r="F7" s="2"/>
      <c r="G7" s="2"/>
      <c r="H7" s="2"/>
      <c r="I7" s="3">
        <f t="shared" si="0"/>
        <v>33</v>
      </c>
    </row>
    <row r="8" spans="1:9" x14ac:dyDescent="0.3">
      <c r="A8" s="2" t="s">
        <v>150</v>
      </c>
      <c r="B8" s="2" t="s">
        <v>407</v>
      </c>
      <c r="C8" s="2" t="s">
        <v>408</v>
      </c>
      <c r="D8" s="2" t="s">
        <v>409</v>
      </c>
      <c r="E8" s="2"/>
      <c r="F8" s="2"/>
      <c r="G8" s="2"/>
      <c r="H8" s="2"/>
      <c r="I8" s="3">
        <f t="shared" si="0"/>
        <v>37</v>
      </c>
    </row>
    <row r="9" spans="1:9" ht="24" x14ac:dyDescent="0.3">
      <c r="A9" s="2" t="s">
        <v>150</v>
      </c>
      <c r="B9" s="2" t="s">
        <v>429</v>
      </c>
      <c r="C9" s="2" t="s">
        <v>408</v>
      </c>
      <c r="D9" s="2" t="s">
        <v>430</v>
      </c>
      <c r="E9" s="2"/>
      <c r="F9" s="2"/>
      <c r="G9" s="2"/>
      <c r="H9" s="2"/>
      <c r="I9" s="3">
        <f t="shared" si="0"/>
        <v>38</v>
      </c>
    </row>
    <row r="10" spans="1:9" x14ac:dyDescent="0.3">
      <c r="A10" s="2" t="s">
        <v>150</v>
      </c>
      <c r="B10" s="2" t="s">
        <v>226</v>
      </c>
      <c r="C10" s="2" t="s">
        <v>226</v>
      </c>
      <c r="D10" s="2" t="s">
        <v>450</v>
      </c>
      <c r="E10" s="2"/>
      <c r="F10" s="2"/>
      <c r="G10" s="2"/>
      <c r="H10" s="2"/>
      <c r="I10" s="3">
        <f t="shared" si="0"/>
        <v>38</v>
      </c>
    </row>
    <row r="11" spans="1:9" x14ac:dyDescent="0.3">
      <c r="A11" s="2" t="s">
        <v>150</v>
      </c>
      <c r="B11" s="2" t="s">
        <v>504</v>
      </c>
      <c r="C11" s="2" t="s">
        <v>160</v>
      </c>
      <c r="D11" s="2" t="s">
        <v>505</v>
      </c>
      <c r="E11" s="2"/>
      <c r="F11" s="2"/>
      <c r="G11" s="2"/>
      <c r="H11" s="2"/>
      <c r="I11" s="3">
        <f t="shared" si="0"/>
        <v>40</v>
      </c>
    </row>
    <row r="12" spans="1:9" x14ac:dyDescent="0.3">
      <c r="A12" s="2" t="s">
        <v>150</v>
      </c>
      <c r="B12" s="2" t="s">
        <v>298</v>
      </c>
      <c r="C12" s="2" t="s">
        <v>144</v>
      </c>
      <c r="D12" s="2" t="s">
        <v>506</v>
      </c>
      <c r="E12" s="2"/>
      <c r="F12" s="2"/>
      <c r="G12" s="2"/>
      <c r="H12" s="2"/>
      <c r="I12" s="3">
        <f t="shared" si="0"/>
        <v>40</v>
      </c>
    </row>
    <row r="13" spans="1:9" ht="24" x14ac:dyDescent="0.3">
      <c r="A13" s="2" t="s">
        <v>150</v>
      </c>
      <c r="B13" s="2" t="s">
        <v>574</v>
      </c>
      <c r="C13" s="2" t="s">
        <v>408</v>
      </c>
      <c r="D13" s="2" t="s">
        <v>575</v>
      </c>
      <c r="E13" s="2"/>
      <c r="F13" s="2"/>
      <c r="G13" s="2"/>
      <c r="H13" s="2"/>
      <c r="I13" s="3">
        <f t="shared" si="0"/>
        <v>43</v>
      </c>
    </row>
    <row r="14" spans="1:9" ht="24" x14ac:dyDescent="0.3">
      <c r="A14" s="2" t="s">
        <v>150</v>
      </c>
      <c r="B14" s="2" t="s">
        <v>632</v>
      </c>
      <c r="C14" s="2" t="s">
        <v>408</v>
      </c>
      <c r="D14" s="2" t="s">
        <v>633</v>
      </c>
      <c r="E14" s="2" t="s">
        <v>39</v>
      </c>
      <c r="F14" s="2"/>
      <c r="G14" s="2"/>
      <c r="H14" s="2"/>
      <c r="I14" s="3">
        <f t="shared" si="0"/>
        <v>45</v>
      </c>
    </row>
    <row r="15" spans="1:9" x14ac:dyDescent="0.3">
      <c r="A15" s="2" t="s">
        <v>150</v>
      </c>
      <c r="B15" s="2" t="s">
        <v>655</v>
      </c>
      <c r="C15" s="2"/>
      <c r="D15" s="2" t="s">
        <v>656</v>
      </c>
      <c r="E15" s="2"/>
      <c r="F15" s="2"/>
      <c r="G15" s="2"/>
      <c r="H15" s="2"/>
      <c r="I15" s="3">
        <f t="shared" si="0"/>
        <v>45</v>
      </c>
    </row>
    <row r="16" spans="1:9" x14ac:dyDescent="0.3">
      <c r="A16" s="2" t="s">
        <v>150</v>
      </c>
      <c r="B16" s="2" t="s">
        <v>724</v>
      </c>
      <c r="C16" s="2"/>
      <c r="D16" s="2" t="s">
        <v>725</v>
      </c>
      <c r="E16" s="2"/>
      <c r="F16" s="2"/>
      <c r="G16" s="2"/>
      <c r="H16" s="2" t="s">
        <v>646</v>
      </c>
      <c r="I16" s="3">
        <f t="shared" si="0"/>
        <v>48</v>
      </c>
    </row>
    <row r="17" spans="1:9" x14ac:dyDescent="0.3">
      <c r="A17" s="2" t="s">
        <v>150</v>
      </c>
      <c r="B17" s="2" t="s">
        <v>728</v>
      </c>
      <c r="C17" s="2" t="s">
        <v>729</v>
      </c>
      <c r="D17" s="2" t="s">
        <v>730</v>
      </c>
      <c r="E17" s="2" t="s">
        <v>731</v>
      </c>
      <c r="F17" s="2"/>
      <c r="G17" s="2"/>
      <c r="H17" s="2"/>
      <c r="I17" s="3">
        <f t="shared" si="0"/>
        <v>48</v>
      </c>
    </row>
    <row r="18" spans="1:9" x14ac:dyDescent="0.3">
      <c r="A18" s="2" t="s">
        <v>150</v>
      </c>
      <c r="B18" s="2" t="s">
        <v>732</v>
      </c>
      <c r="C18" s="2" t="s">
        <v>729</v>
      </c>
      <c r="D18" s="2" t="s">
        <v>733</v>
      </c>
      <c r="E18" s="2" t="s">
        <v>734</v>
      </c>
      <c r="F18" s="2"/>
      <c r="G18" s="2"/>
      <c r="H18" s="2"/>
      <c r="I18" s="3">
        <f t="shared" si="0"/>
        <v>48</v>
      </c>
    </row>
    <row r="19" spans="1:9" ht="24" x14ac:dyDescent="0.3">
      <c r="A19" s="2" t="s">
        <v>150</v>
      </c>
      <c r="B19" s="2" t="s">
        <v>753</v>
      </c>
      <c r="C19" s="2" t="s">
        <v>408</v>
      </c>
      <c r="D19" s="2" t="s">
        <v>754</v>
      </c>
      <c r="E19" s="2"/>
      <c r="F19" s="2"/>
      <c r="G19" s="2"/>
      <c r="H19" s="2"/>
      <c r="I19" s="3">
        <f t="shared" si="0"/>
        <v>49</v>
      </c>
    </row>
    <row r="20" spans="1:9" x14ac:dyDescent="0.3">
      <c r="A20" s="2" t="s">
        <v>150</v>
      </c>
      <c r="B20" s="2" t="s">
        <v>868</v>
      </c>
      <c r="C20" s="2" t="s">
        <v>84</v>
      </c>
      <c r="D20" s="2" t="s">
        <v>869</v>
      </c>
      <c r="E20" s="2" t="s">
        <v>39</v>
      </c>
      <c r="F20" s="2"/>
      <c r="G20" s="2"/>
      <c r="H20" s="2"/>
      <c r="I20" s="3">
        <f t="shared" si="0"/>
        <v>52</v>
      </c>
    </row>
    <row r="21" spans="1:9" x14ac:dyDescent="0.3">
      <c r="A21" s="2" t="s">
        <v>150</v>
      </c>
      <c r="B21" s="2" t="s">
        <v>883</v>
      </c>
      <c r="C21" s="2" t="s">
        <v>729</v>
      </c>
      <c r="D21" s="2" t="s">
        <v>884</v>
      </c>
      <c r="E21" s="2" t="s">
        <v>885</v>
      </c>
      <c r="F21" s="2"/>
      <c r="G21" s="2"/>
      <c r="H21" s="2"/>
      <c r="I21" s="3">
        <f t="shared" si="0"/>
        <v>52</v>
      </c>
    </row>
    <row r="22" spans="1:9" x14ac:dyDescent="0.3">
      <c r="A22" s="2" t="s">
        <v>150</v>
      </c>
      <c r="B22" s="2" t="s">
        <v>1060</v>
      </c>
      <c r="C22" s="2" t="s">
        <v>116</v>
      </c>
      <c r="D22" s="2" t="s">
        <v>1061</v>
      </c>
      <c r="E22" s="2"/>
      <c r="F22" s="2"/>
      <c r="G22" s="2"/>
      <c r="H22" s="2"/>
      <c r="I22" s="3">
        <f t="shared" si="0"/>
        <v>56</v>
      </c>
    </row>
    <row r="23" spans="1:9" ht="24" x14ac:dyDescent="0.3">
      <c r="A23" s="2" t="s">
        <v>150</v>
      </c>
      <c r="B23" s="2" t="s">
        <v>1189</v>
      </c>
      <c r="C23" s="2" t="s">
        <v>408</v>
      </c>
      <c r="D23" s="2" t="s">
        <v>1190</v>
      </c>
      <c r="E23" s="2"/>
      <c r="F23" s="2"/>
      <c r="G23" s="2"/>
      <c r="H23" s="2"/>
      <c r="I23" s="3">
        <f t="shared" si="0"/>
        <v>59</v>
      </c>
    </row>
    <row r="24" spans="1:9" x14ac:dyDescent="0.3">
      <c r="A24" s="2" t="s">
        <v>150</v>
      </c>
      <c r="B24" s="2" t="s">
        <v>1215</v>
      </c>
      <c r="C24" s="2"/>
      <c r="D24" s="2" t="s">
        <v>1216</v>
      </c>
      <c r="E24" s="2"/>
      <c r="F24" s="2"/>
      <c r="G24" s="2"/>
      <c r="H24" s="2"/>
      <c r="I24" s="3">
        <f t="shared" si="0"/>
        <v>59</v>
      </c>
    </row>
    <row r="25" spans="1:9" ht="24" x14ac:dyDescent="0.3">
      <c r="A25" s="2" t="s">
        <v>150</v>
      </c>
      <c r="B25" s="2" t="s">
        <v>1227</v>
      </c>
      <c r="C25" s="2" t="s">
        <v>408</v>
      </c>
      <c r="D25" s="2" t="s">
        <v>1228</v>
      </c>
      <c r="E25" s="2"/>
      <c r="F25" s="2"/>
      <c r="G25" s="2"/>
      <c r="H25" s="2"/>
      <c r="I25" s="3">
        <f t="shared" si="0"/>
        <v>59</v>
      </c>
    </row>
    <row r="26" spans="1:9" ht="24" x14ac:dyDescent="0.3">
      <c r="A26" s="2" t="s">
        <v>150</v>
      </c>
      <c r="B26" s="2" t="s">
        <v>1229</v>
      </c>
      <c r="C26" s="2"/>
      <c r="D26" s="2" t="s">
        <v>1230</v>
      </c>
      <c r="E26" s="2"/>
      <c r="F26" s="2"/>
      <c r="G26" s="2"/>
      <c r="H26" s="2"/>
      <c r="I26" s="3">
        <f t="shared" si="0"/>
        <v>59</v>
      </c>
    </row>
    <row r="27" spans="1:9" ht="24" x14ac:dyDescent="0.3">
      <c r="A27" s="2" t="s">
        <v>150</v>
      </c>
      <c r="B27" s="2" t="s">
        <v>1259</v>
      </c>
      <c r="C27" s="2" t="s">
        <v>408</v>
      </c>
      <c r="D27" s="2" t="s">
        <v>1260</v>
      </c>
      <c r="E27" s="2"/>
      <c r="F27" s="2"/>
      <c r="G27" s="2"/>
      <c r="H27" s="2"/>
      <c r="I27" s="3">
        <f t="shared" si="0"/>
        <v>60</v>
      </c>
    </row>
    <row r="28" spans="1:9" ht="24" x14ac:dyDescent="0.3">
      <c r="A28" s="2" t="s">
        <v>150</v>
      </c>
      <c r="B28" s="2" t="s">
        <v>1296</v>
      </c>
      <c r="C28" s="2" t="s">
        <v>408</v>
      </c>
      <c r="D28" s="2" t="s">
        <v>1297</v>
      </c>
      <c r="E28" s="2" t="s">
        <v>39</v>
      </c>
      <c r="F28" s="2"/>
      <c r="G28" s="2"/>
      <c r="H28" s="2"/>
      <c r="I28" s="3">
        <f t="shared" si="0"/>
        <v>61</v>
      </c>
    </row>
    <row r="29" spans="1:9" x14ac:dyDescent="0.3">
      <c r="A29" s="2" t="s">
        <v>150</v>
      </c>
      <c r="B29" s="2" t="s">
        <v>1377</v>
      </c>
      <c r="C29" s="2" t="s">
        <v>422</v>
      </c>
      <c r="D29" s="2" t="s">
        <v>1378</v>
      </c>
      <c r="E29" s="2"/>
      <c r="F29" s="2"/>
      <c r="G29" s="2"/>
      <c r="H29" s="2"/>
      <c r="I29" s="3">
        <f t="shared" si="0"/>
        <v>62</v>
      </c>
    </row>
    <row r="30" spans="1:9" x14ac:dyDescent="0.3">
      <c r="A30" s="2" t="s">
        <v>150</v>
      </c>
      <c r="B30" s="2" t="s">
        <v>1383</v>
      </c>
      <c r="C30" s="2" t="s">
        <v>1384</v>
      </c>
      <c r="D30" s="2" t="s">
        <v>1385</v>
      </c>
      <c r="E30" s="2" t="s">
        <v>39</v>
      </c>
      <c r="F30" s="2"/>
      <c r="G30" s="2"/>
      <c r="H30" s="2"/>
      <c r="I30" s="3">
        <f t="shared" si="0"/>
        <v>62</v>
      </c>
    </row>
    <row r="31" spans="1:9" x14ac:dyDescent="0.3">
      <c r="A31" s="2" t="s">
        <v>150</v>
      </c>
      <c r="B31" s="2" t="s">
        <v>1497</v>
      </c>
      <c r="C31" s="2"/>
      <c r="D31" s="2" t="s">
        <v>1498</v>
      </c>
      <c r="E31" s="2"/>
      <c r="F31" s="2"/>
      <c r="G31" s="2"/>
      <c r="H31" s="2"/>
      <c r="I31" s="3">
        <f t="shared" si="0"/>
        <v>64</v>
      </c>
    </row>
    <row r="32" spans="1:9" x14ac:dyDescent="0.3">
      <c r="A32" s="2" t="s">
        <v>150</v>
      </c>
      <c r="B32" s="2" t="s">
        <v>1549</v>
      </c>
      <c r="C32" s="2" t="s">
        <v>116</v>
      </c>
      <c r="D32" s="2" t="s">
        <v>1550</v>
      </c>
      <c r="E32" s="2"/>
      <c r="F32" s="2"/>
      <c r="G32" s="2"/>
      <c r="H32" s="2"/>
      <c r="I32" s="3">
        <f t="shared" si="0"/>
        <v>65</v>
      </c>
    </row>
    <row r="33" spans="1:9" x14ac:dyDescent="0.3">
      <c r="A33" s="2" t="s">
        <v>150</v>
      </c>
      <c r="B33" s="2" t="s">
        <v>1673</v>
      </c>
      <c r="C33" s="2" t="s">
        <v>160</v>
      </c>
      <c r="D33" s="2" t="s">
        <v>1674</v>
      </c>
      <c r="E33" s="2"/>
      <c r="F33" s="2"/>
      <c r="G33" s="2"/>
      <c r="H33" s="2"/>
      <c r="I33" s="3">
        <f t="shared" si="0"/>
        <v>67</v>
      </c>
    </row>
    <row r="34" spans="1:9" x14ac:dyDescent="0.3">
      <c r="A34" s="2" t="s">
        <v>150</v>
      </c>
      <c r="B34" s="2" t="s">
        <v>1707</v>
      </c>
      <c r="C34" s="2" t="s">
        <v>408</v>
      </c>
      <c r="D34" s="2" t="s">
        <v>1708</v>
      </c>
      <c r="E34" s="2" t="s">
        <v>39</v>
      </c>
      <c r="F34" s="2"/>
      <c r="G34" s="2"/>
      <c r="H34" s="2"/>
      <c r="I34" s="3">
        <f t="shared" ref="I34:I65" si="1">LEN(D34)</f>
        <v>68</v>
      </c>
    </row>
    <row r="35" spans="1:9" x14ac:dyDescent="0.3">
      <c r="A35" s="2" t="s">
        <v>150</v>
      </c>
      <c r="B35" s="2" t="s">
        <v>1195</v>
      </c>
      <c r="C35" s="2"/>
      <c r="D35" s="2" t="s">
        <v>1822</v>
      </c>
      <c r="E35" s="2"/>
      <c r="F35" s="2"/>
      <c r="G35" s="2"/>
      <c r="H35" s="2" t="s">
        <v>194</v>
      </c>
      <c r="I35" s="3">
        <f t="shared" si="1"/>
        <v>70</v>
      </c>
    </row>
    <row r="36" spans="1:9" x14ac:dyDescent="0.3">
      <c r="A36" s="2" t="s">
        <v>150</v>
      </c>
      <c r="B36" s="2" t="s">
        <v>415</v>
      </c>
      <c r="C36" s="2" t="s">
        <v>160</v>
      </c>
      <c r="D36" s="2" t="s">
        <v>1859</v>
      </c>
      <c r="E36" s="2" t="s">
        <v>39</v>
      </c>
      <c r="F36" s="2"/>
      <c r="G36" s="2"/>
      <c r="H36" s="2"/>
      <c r="I36" s="3">
        <f t="shared" si="1"/>
        <v>70</v>
      </c>
    </row>
    <row r="37" spans="1:9" x14ac:dyDescent="0.3">
      <c r="A37" s="2" t="s">
        <v>150</v>
      </c>
      <c r="B37" s="2" t="s">
        <v>1898</v>
      </c>
      <c r="C37" s="2" t="s">
        <v>329</v>
      </c>
      <c r="D37" s="2" t="s">
        <v>1899</v>
      </c>
      <c r="E37" s="2" t="s">
        <v>39</v>
      </c>
      <c r="F37" s="2"/>
      <c r="G37" s="2"/>
      <c r="H37" s="2"/>
      <c r="I37" s="3">
        <f t="shared" si="1"/>
        <v>71</v>
      </c>
    </row>
    <row r="38" spans="1:9" ht="24" x14ac:dyDescent="0.3">
      <c r="A38" s="2" t="s">
        <v>150</v>
      </c>
      <c r="B38" s="2" t="s">
        <v>1989</v>
      </c>
      <c r="C38" s="2" t="s">
        <v>408</v>
      </c>
      <c r="D38" s="2" t="s">
        <v>1990</v>
      </c>
      <c r="E38" s="2"/>
      <c r="F38" s="2"/>
      <c r="G38" s="2"/>
      <c r="H38" s="2"/>
      <c r="I38" s="3">
        <f t="shared" si="1"/>
        <v>73</v>
      </c>
    </row>
    <row r="39" spans="1:9" ht="24" x14ac:dyDescent="0.3">
      <c r="A39" s="2" t="s">
        <v>150</v>
      </c>
      <c r="B39" s="2" t="s">
        <v>2169</v>
      </c>
      <c r="C39" s="2" t="s">
        <v>144</v>
      </c>
      <c r="D39" s="2" t="s">
        <v>2170</v>
      </c>
      <c r="E39" s="2"/>
      <c r="F39" s="2"/>
      <c r="G39" s="2"/>
      <c r="H39" s="2"/>
      <c r="I39" s="3">
        <f t="shared" si="1"/>
        <v>75</v>
      </c>
    </row>
    <row r="40" spans="1:9" x14ac:dyDescent="0.3">
      <c r="A40" s="2" t="s">
        <v>150</v>
      </c>
      <c r="B40" s="2" t="s">
        <v>729</v>
      </c>
      <c r="C40" s="2" t="s">
        <v>729</v>
      </c>
      <c r="D40" s="2" t="s">
        <v>2186</v>
      </c>
      <c r="E40" s="2" t="s">
        <v>242</v>
      </c>
      <c r="F40" s="2"/>
      <c r="G40" s="2"/>
      <c r="H40" s="2"/>
      <c r="I40" s="3">
        <f t="shared" si="1"/>
        <v>76</v>
      </c>
    </row>
    <row r="41" spans="1:9" x14ac:dyDescent="0.3">
      <c r="A41" s="2" t="s">
        <v>150</v>
      </c>
      <c r="B41" s="2" t="s">
        <v>2251</v>
      </c>
      <c r="C41" s="2" t="s">
        <v>2063</v>
      </c>
      <c r="D41" s="2" t="s">
        <v>2252</v>
      </c>
      <c r="E41" s="2"/>
      <c r="F41" s="2"/>
      <c r="G41" s="2"/>
      <c r="H41" s="2"/>
      <c r="I41" s="3">
        <f t="shared" si="1"/>
        <v>77</v>
      </c>
    </row>
    <row r="42" spans="1:9" ht="24" x14ac:dyDescent="0.3">
      <c r="A42" s="2" t="s">
        <v>150</v>
      </c>
      <c r="B42" s="2" t="s">
        <v>2272</v>
      </c>
      <c r="C42" s="2" t="s">
        <v>408</v>
      </c>
      <c r="D42" s="2" t="s">
        <v>2273</v>
      </c>
      <c r="E42" s="2" t="s">
        <v>39</v>
      </c>
      <c r="F42" s="2"/>
      <c r="G42" s="2"/>
      <c r="H42" s="2"/>
      <c r="I42" s="3">
        <f t="shared" si="1"/>
        <v>78</v>
      </c>
    </row>
    <row r="43" spans="1:9" x14ac:dyDescent="0.3">
      <c r="A43" s="2" t="s">
        <v>150</v>
      </c>
      <c r="B43" s="2" t="s">
        <v>2311</v>
      </c>
      <c r="C43" s="2"/>
      <c r="D43" s="2" t="s">
        <v>2312</v>
      </c>
      <c r="E43" s="2"/>
      <c r="F43" s="2"/>
      <c r="G43" s="2"/>
      <c r="H43" s="2"/>
      <c r="I43" s="3">
        <f t="shared" si="1"/>
        <v>79</v>
      </c>
    </row>
    <row r="44" spans="1:9" x14ac:dyDescent="0.3">
      <c r="A44" s="2" t="s">
        <v>150</v>
      </c>
      <c r="B44" s="2" t="s">
        <v>2251</v>
      </c>
      <c r="C44" s="2" t="s">
        <v>2063</v>
      </c>
      <c r="D44" s="2" t="s">
        <v>2564</v>
      </c>
      <c r="E44" s="2"/>
      <c r="F44" s="2"/>
      <c r="G44" s="2"/>
      <c r="H44" s="2"/>
      <c r="I44" s="3">
        <f t="shared" si="1"/>
        <v>83</v>
      </c>
    </row>
    <row r="45" spans="1:9" x14ac:dyDescent="0.3">
      <c r="A45" s="2" t="s">
        <v>150</v>
      </c>
      <c r="B45" s="2" t="s">
        <v>2758</v>
      </c>
      <c r="C45" s="2" t="s">
        <v>535</v>
      </c>
      <c r="D45" s="2" t="s">
        <v>2759</v>
      </c>
      <c r="E45" s="2"/>
      <c r="F45" s="2"/>
      <c r="G45" s="2"/>
      <c r="H45" s="2" t="s">
        <v>537</v>
      </c>
      <c r="I45" s="3">
        <f t="shared" si="1"/>
        <v>87</v>
      </c>
    </row>
    <row r="46" spans="1:9" x14ac:dyDescent="0.3">
      <c r="A46" s="2" t="s">
        <v>150</v>
      </c>
      <c r="B46" s="2" t="s">
        <v>2251</v>
      </c>
      <c r="C46" s="2" t="s">
        <v>2063</v>
      </c>
      <c r="D46" s="2" t="s">
        <v>2858</v>
      </c>
      <c r="E46" s="2" t="s">
        <v>1510</v>
      </c>
      <c r="F46" s="2"/>
      <c r="G46" s="2"/>
      <c r="H46" s="2"/>
      <c r="I46" s="3">
        <f t="shared" si="1"/>
        <v>88</v>
      </c>
    </row>
    <row r="47" spans="1:9" x14ac:dyDescent="0.3">
      <c r="A47" s="2" t="s">
        <v>150</v>
      </c>
      <c r="B47" s="2" t="s">
        <v>2057</v>
      </c>
      <c r="C47" s="2" t="s">
        <v>2057</v>
      </c>
      <c r="D47" s="2" t="s">
        <v>2881</v>
      </c>
      <c r="E47" s="2"/>
      <c r="F47" s="2"/>
      <c r="G47" s="2"/>
      <c r="H47" s="2"/>
      <c r="I47" s="3">
        <f t="shared" si="1"/>
        <v>89</v>
      </c>
    </row>
    <row r="48" spans="1:9" x14ac:dyDescent="0.3">
      <c r="A48" s="2" t="s">
        <v>150</v>
      </c>
      <c r="B48" s="2" t="s">
        <v>3039</v>
      </c>
      <c r="C48" s="2"/>
      <c r="D48" s="2" t="s">
        <v>3040</v>
      </c>
      <c r="E48" s="2" t="s">
        <v>39</v>
      </c>
      <c r="F48" s="2"/>
      <c r="G48" s="2"/>
      <c r="H48" s="2"/>
      <c r="I48" s="3">
        <f t="shared" si="1"/>
        <v>92</v>
      </c>
    </row>
    <row r="49" spans="1:9" x14ac:dyDescent="0.3">
      <c r="A49" s="2" t="s">
        <v>150</v>
      </c>
      <c r="B49" s="2" t="s">
        <v>3175</v>
      </c>
      <c r="C49" s="2" t="s">
        <v>422</v>
      </c>
      <c r="D49" s="2" t="s">
        <v>3176</v>
      </c>
      <c r="E49" s="2"/>
      <c r="F49" s="2"/>
      <c r="G49" s="2"/>
      <c r="H49" s="2"/>
      <c r="I49" s="3">
        <f t="shared" si="1"/>
        <v>95</v>
      </c>
    </row>
    <row r="50" spans="1:9" x14ac:dyDescent="0.3">
      <c r="A50" s="2" t="s">
        <v>150</v>
      </c>
      <c r="B50" s="2" t="s">
        <v>3215</v>
      </c>
      <c r="C50" s="2" t="s">
        <v>500</v>
      </c>
      <c r="D50" s="2" t="s">
        <v>3223</v>
      </c>
      <c r="E50" s="2"/>
      <c r="F50" s="2"/>
      <c r="G50" s="2"/>
      <c r="H50" s="2"/>
      <c r="I50" s="3">
        <f t="shared" si="1"/>
        <v>96</v>
      </c>
    </row>
    <row r="51" spans="1:9" x14ac:dyDescent="0.3">
      <c r="A51" s="2" t="s">
        <v>150</v>
      </c>
      <c r="B51" s="2" t="s">
        <v>3317</v>
      </c>
      <c r="C51" s="2" t="s">
        <v>240</v>
      </c>
      <c r="D51" s="2" t="s">
        <v>3318</v>
      </c>
      <c r="E51" s="2" t="s">
        <v>3209</v>
      </c>
      <c r="F51" s="2"/>
      <c r="G51" s="2"/>
      <c r="H51" s="2"/>
      <c r="I51" s="3">
        <f t="shared" si="1"/>
        <v>98</v>
      </c>
    </row>
    <row r="52" spans="1:9" x14ac:dyDescent="0.3">
      <c r="A52" s="2" t="s">
        <v>150</v>
      </c>
      <c r="B52" s="2" t="s">
        <v>3371</v>
      </c>
      <c r="C52" s="2" t="s">
        <v>491</v>
      </c>
      <c r="D52" s="2" t="s">
        <v>3372</v>
      </c>
      <c r="E52" s="2"/>
      <c r="F52" s="2"/>
      <c r="G52" s="2"/>
      <c r="H52" s="2" t="s">
        <v>646</v>
      </c>
      <c r="I52" s="3">
        <f t="shared" si="1"/>
        <v>99</v>
      </c>
    </row>
    <row r="53" spans="1:9" x14ac:dyDescent="0.3">
      <c r="A53" s="2" t="s">
        <v>150</v>
      </c>
      <c r="B53" s="2" t="s">
        <v>728</v>
      </c>
      <c r="C53" s="2" t="s">
        <v>729</v>
      </c>
      <c r="D53" s="2" t="s">
        <v>3373</v>
      </c>
      <c r="E53" s="2" t="s">
        <v>731</v>
      </c>
      <c r="F53" s="2"/>
      <c r="G53" s="2"/>
      <c r="H53" s="2" t="s">
        <v>646</v>
      </c>
      <c r="I53" s="3">
        <f t="shared" si="1"/>
        <v>99</v>
      </c>
    </row>
    <row r="54" spans="1:9" x14ac:dyDescent="0.3">
      <c r="A54" s="2" t="s">
        <v>150</v>
      </c>
      <c r="B54" s="2" t="s">
        <v>732</v>
      </c>
      <c r="C54" s="2" t="s">
        <v>729</v>
      </c>
      <c r="D54" s="2" t="s">
        <v>3374</v>
      </c>
      <c r="E54" s="2" t="s">
        <v>734</v>
      </c>
      <c r="F54" s="2"/>
      <c r="G54" s="2"/>
      <c r="H54" s="2" t="s">
        <v>646</v>
      </c>
      <c r="I54" s="3">
        <f t="shared" si="1"/>
        <v>99</v>
      </c>
    </row>
    <row r="55" spans="1:9" ht="24" x14ac:dyDescent="0.3">
      <c r="A55" s="2" t="s">
        <v>150</v>
      </c>
      <c r="B55" s="2" t="s">
        <v>3464</v>
      </c>
      <c r="C55" s="2" t="s">
        <v>491</v>
      </c>
      <c r="D55" s="2" t="s">
        <v>3465</v>
      </c>
      <c r="E55" s="2" t="s">
        <v>39</v>
      </c>
      <c r="F55" s="2"/>
      <c r="G55" s="2"/>
      <c r="H55" s="2"/>
      <c r="I55" s="3">
        <f t="shared" si="1"/>
        <v>101</v>
      </c>
    </row>
    <row r="56" spans="1:9" ht="24" x14ac:dyDescent="0.3">
      <c r="A56" s="2" t="s">
        <v>150</v>
      </c>
      <c r="B56" s="2" t="s">
        <v>3503</v>
      </c>
      <c r="C56" s="2" t="s">
        <v>3504</v>
      </c>
      <c r="D56" s="2" t="s">
        <v>3505</v>
      </c>
      <c r="E56" s="2" t="s">
        <v>211</v>
      </c>
      <c r="F56" s="2"/>
      <c r="G56" s="2"/>
      <c r="H56" s="2" t="s">
        <v>646</v>
      </c>
      <c r="I56" s="3">
        <f t="shared" si="1"/>
        <v>102</v>
      </c>
    </row>
    <row r="57" spans="1:9" ht="24" x14ac:dyDescent="0.3">
      <c r="A57" s="2" t="s">
        <v>150</v>
      </c>
      <c r="B57" s="2" t="s">
        <v>1101</v>
      </c>
      <c r="C57" s="2" t="s">
        <v>3910</v>
      </c>
      <c r="D57" s="2" t="s">
        <v>3911</v>
      </c>
      <c r="E57" s="2"/>
      <c r="F57" s="2"/>
      <c r="G57" s="2"/>
      <c r="H57" s="2" t="s">
        <v>194</v>
      </c>
      <c r="I57" s="3">
        <f t="shared" si="1"/>
        <v>112</v>
      </c>
    </row>
    <row r="58" spans="1:9" ht="24" x14ac:dyDescent="0.3">
      <c r="A58" s="2" t="s">
        <v>150</v>
      </c>
      <c r="B58" s="2" t="s">
        <v>4193</v>
      </c>
      <c r="C58" s="3" t="s">
        <v>408</v>
      </c>
      <c r="D58" s="2" t="s">
        <v>9408</v>
      </c>
      <c r="E58" s="2"/>
      <c r="F58" s="2" t="s">
        <v>4117</v>
      </c>
      <c r="G58" s="2" t="s">
        <v>1717</v>
      </c>
      <c r="H58" s="2"/>
      <c r="I58" s="3">
        <f t="shared" si="1"/>
        <v>118</v>
      </c>
    </row>
    <row r="59" spans="1:9" ht="24" x14ac:dyDescent="0.3">
      <c r="A59" s="2" t="s">
        <v>150</v>
      </c>
      <c r="B59" s="2" t="s">
        <v>4221</v>
      </c>
      <c r="C59" s="2" t="s">
        <v>1255</v>
      </c>
      <c r="D59" s="2" t="s">
        <v>4222</v>
      </c>
      <c r="E59" s="2" t="s">
        <v>39</v>
      </c>
      <c r="F59" s="2"/>
      <c r="G59" s="2"/>
      <c r="H59" s="2"/>
      <c r="I59" s="3">
        <f t="shared" si="1"/>
        <v>120</v>
      </c>
    </row>
    <row r="60" spans="1:9" ht="24" x14ac:dyDescent="0.3">
      <c r="A60" s="2" t="s">
        <v>150</v>
      </c>
      <c r="B60" s="2" t="s">
        <v>1321</v>
      </c>
      <c r="C60" s="2" t="s">
        <v>2057</v>
      </c>
      <c r="D60" s="2" t="s">
        <v>4428</v>
      </c>
      <c r="E60" s="2"/>
      <c r="F60" s="2"/>
      <c r="G60" s="2"/>
      <c r="H60" s="2"/>
      <c r="I60" s="3">
        <f t="shared" si="1"/>
        <v>126</v>
      </c>
    </row>
    <row r="61" spans="1:9" ht="24" x14ac:dyDescent="0.3">
      <c r="A61" s="2" t="s">
        <v>150</v>
      </c>
      <c r="B61" s="2" t="s">
        <v>4451</v>
      </c>
      <c r="C61" s="2" t="s">
        <v>4452</v>
      </c>
      <c r="D61" s="2" t="s">
        <v>9409</v>
      </c>
      <c r="E61" s="2" t="s">
        <v>734</v>
      </c>
      <c r="F61" s="2" t="s">
        <v>1778</v>
      </c>
      <c r="G61" s="2" t="s">
        <v>1717</v>
      </c>
      <c r="H61" s="2" t="s">
        <v>646</v>
      </c>
      <c r="I61" s="3">
        <f t="shared" si="1"/>
        <v>125</v>
      </c>
    </row>
    <row r="62" spans="1:9" ht="24" x14ac:dyDescent="0.3">
      <c r="A62" s="2" t="s">
        <v>150</v>
      </c>
      <c r="B62" s="2" t="s">
        <v>3648</v>
      </c>
      <c r="C62" s="2" t="s">
        <v>389</v>
      </c>
      <c r="D62" s="2" t="s">
        <v>4490</v>
      </c>
      <c r="E62" s="2"/>
      <c r="F62" s="2"/>
      <c r="G62" s="2"/>
      <c r="H62" s="2" t="s">
        <v>646</v>
      </c>
      <c r="I62" s="3">
        <f t="shared" si="1"/>
        <v>129</v>
      </c>
    </row>
    <row r="63" spans="1:9" ht="24" x14ac:dyDescent="0.3">
      <c r="A63" s="2" t="s">
        <v>150</v>
      </c>
      <c r="B63" s="2" t="s">
        <v>4616</v>
      </c>
      <c r="C63" s="2" t="s">
        <v>3504</v>
      </c>
      <c r="D63" s="2" t="s">
        <v>4617</v>
      </c>
      <c r="E63" s="2"/>
      <c r="F63" s="2"/>
      <c r="G63" s="2"/>
      <c r="H63" s="2" t="s">
        <v>646</v>
      </c>
      <c r="I63" s="3">
        <f t="shared" si="1"/>
        <v>132</v>
      </c>
    </row>
    <row r="64" spans="1:9" ht="24" x14ac:dyDescent="0.3">
      <c r="A64" s="2" t="s">
        <v>150</v>
      </c>
      <c r="B64" s="2" t="s">
        <v>2062</v>
      </c>
      <c r="C64" s="2" t="s">
        <v>2063</v>
      </c>
      <c r="D64" s="2" t="s">
        <v>4752</v>
      </c>
      <c r="E64" s="2"/>
      <c r="F64" s="2"/>
      <c r="G64" s="2"/>
      <c r="H64" s="2" t="s">
        <v>646</v>
      </c>
      <c r="I64" s="3">
        <f t="shared" si="1"/>
        <v>137</v>
      </c>
    </row>
    <row r="65" spans="1:9" ht="24" x14ac:dyDescent="0.3">
      <c r="A65" s="2" t="s">
        <v>150</v>
      </c>
      <c r="B65" s="2" t="s">
        <v>4616</v>
      </c>
      <c r="C65" s="2" t="s">
        <v>3504</v>
      </c>
      <c r="D65" s="2" t="s">
        <v>4976</v>
      </c>
      <c r="E65" s="2" t="s">
        <v>1510</v>
      </c>
      <c r="F65" s="2"/>
      <c r="G65" s="2"/>
      <c r="H65" s="2"/>
      <c r="I65" s="3">
        <f t="shared" si="1"/>
        <v>143</v>
      </c>
    </row>
    <row r="66" spans="1:9" ht="24" x14ac:dyDescent="0.3">
      <c r="A66" s="2" t="s">
        <v>150</v>
      </c>
      <c r="B66" s="2" t="s">
        <v>4193</v>
      </c>
      <c r="C66" s="3" t="s">
        <v>408</v>
      </c>
      <c r="D66" s="2" t="s">
        <v>9410</v>
      </c>
      <c r="E66" s="2"/>
      <c r="F66" s="2" t="s">
        <v>4117</v>
      </c>
      <c r="G66" s="2" t="s">
        <v>1717</v>
      </c>
      <c r="H66" s="2"/>
      <c r="I66" s="3">
        <f t="shared" ref="I66:I85" si="2">LEN(D66)</f>
        <v>146</v>
      </c>
    </row>
    <row r="67" spans="1:9" ht="24" x14ac:dyDescent="0.3">
      <c r="A67" s="2" t="s">
        <v>150</v>
      </c>
      <c r="B67" s="2" t="s">
        <v>2062</v>
      </c>
      <c r="C67" s="2" t="s">
        <v>3504</v>
      </c>
      <c r="D67" s="2" t="s">
        <v>5121</v>
      </c>
      <c r="E67" s="2" t="s">
        <v>1510</v>
      </c>
      <c r="F67" s="2"/>
      <c r="G67" s="2"/>
      <c r="H67" s="2"/>
      <c r="I67" s="3">
        <f t="shared" si="2"/>
        <v>148</v>
      </c>
    </row>
    <row r="68" spans="1:9" ht="24" x14ac:dyDescent="0.3">
      <c r="A68" s="2" t="s">
        <v>150</v>
      </c>
      <c r="B68" s="2" t="s">
        <v>5281</v>
      </c>
      <c r="C68" s="2"/>
      <c r="D68" s="2" t="s">
        <v>5282</v>
      </c>
      <c r="E68" s="2"/>
      <c r="F68" s="2"/>
      <c r="G68" s="2"/>
      <c r="H68" s="2"/>
      <c r="I68" s="3">
        <f t="shared" si="2"/>
        <v>154</v>
      </c>
    </row>
    <row r="69" spans="1:9" ht="24" x14ac:dyDescent="0.3">
      <c r="A69" s="2" t="s">
        <v>150</v>
      </c>
      <c r="B69" s="2" t="s">
        <v>5379</v>
      </c>
      <c r="C69" s="2"/>
      <c r="D69" s="2" t="s">
        <v>5380</v>
      </c>
      <c r="E69" s="2"/>
      <c r="F69" s="2"/>
      <c r="G69" s="2"/>
      <c r="H69" s="2" t="s">
        <v>194</v>
      </c>
      <c r="I69" s="3">
        <f t="shared" si="2"/>
        <v>158</v>
      </c>
    </row>
    <row r="70" spans="1:9" ht="24" x14ac:dyDescent="0.3">
      <c r="A70" s="2" t="s">
        <v>150</v>
      </c>
      <c r="B70" s="2" t="s">
        <v>732</v>
      </c>
      <c r="C70" s="2" t="s">
        <v>729</v>
      </c>
      <c r="D70" s="2" t="s">
        <v>5515</v>
      </c>
      <c r="E70" s="2" t="s">
        <v>5516</v>
      </c>
      <c r="F70" s="2"/>
      <c r="G70" s="2"/>
      <c r="H70" s="2" t="s">
        <v>646</v>
      </c>
      <c r="I70" s="3">
        <f t="shared" si="2"/>
        <v>165</v>
      </c>
    </row>
    <row r="71" spans="1:9" ht="24" x14ac:dyDescent="0.3">
      <c r="A71" s="2" t="s">
        <v>150</v>
      </c>
      <c r="B71" s="2" t="s">
        <v>5520</v>
      </c>
      <c r="C71" s="2"/>
      <c r="D71" s="2" t="s">
        <v>5521</v>
      </c>
      <c r="E71" s="2" t="s">
        <v>39</v>
      </c>
      <c r="F71" s="2"/>
      <c r="G71" s="2"/>
      <c r="H71" s="2"/>
      <c r="I71" s="3">
        <f t="shared" si="2"/>
        <v>166</v>
      </c>
    </row>
    <row r="72" spans="1:9" ht="24" x14ac:dyDescent="0.3">
      <c r="A72" s="2" t="s">
        <v>150</v>
      </c>
      <c r="B72" s="2" t="s">
        <v>5550</v>
      </c>
      <c r="C72" s="2" t="s">
        <v>2057</v>
      </c>
      <c r="D72" s="2" t="s">
        <v>5551</v>
      </c>
      <c r="E72" s="2"/>
      <c r="F72" s="2"/>
      <c r="G72" s="2"/>
      <c r="H72" s="2"/>
      <c r="I72" s="3">
        <f t="shared" si="2"/>
        <v>166</v>
      </c>
    </row>
    <row r="73" spans="1:9" ht="24" x14ac:dyDescent="0.3">
      <c r="A73" s="2" t="s">
        <v>150</v>
      </c>
      <c r="B73" s="2" t="s">
        <v>5722</v>
      </c>
      <c r="C73" s="2" t="s">
        <v>2057</v>
      </c>
      <c r="D73" s="2" t="s">
        <v>5723</v>
      </c>
      <c r="E73" s="2"/>
      <c r="F73" s="2"/>
      <c r="G73" s="2"/>
      <c r="H73" s="2"/>
      <c r="I73" s="3">
        <f t="shared" si="2"/>
        <v>176</v>
      </c>
    </row>
    <row r="74" spans="1:9" ht="24" x14ac:dyDescent="0.3">
      <c r="A74" s="2" t="s">
        <v>150</v>
      </c>
      <c r="B74" s="2" t="s">
        <v>5861</v>
      </c>
      <c r="C74" s="2" t="s">
        <v>5862</v>
      </c>
      <c r="D74" s="2" t="s">
        <v>5863</v>
      </c>
      <c r="E74" s="2"/>
      <c r="F74" s="2"/>
      <c r="G74" s="2"/>
      <c r="H74" s="2" t="s">
        <v>646</v>
      </c>
      <c r="I74" s="3">
        <f t="shared" si="2"/>
        <v>182</v>
      </c>
    </row>
    <row r="75" spans="1:9" ht="24" x14ac:dyDescent="0.3">
      <c r="A75" s="2" t="s">
        <v>150</v>
      </c>
      <c r="B75" s="2" t="s">
        <v>5722</v>
      </c>
      <c r="C75" s="2" t="s">
        <v>2057</v>
      </c>
      <c r="D75" s="2" t="s">
        <v>5865</v>
      </c>
      <c r="E75" s="2"/>
      <c r="F75" s="2"/>
      <c r="G75" s="2"/>
      <c r="H75" s="2"/>
      <c r="I75" s="3">
        <f t="shared" si="2"/>
        <v>182</v>
      </c>
    </row>
    <row r="76" spans="1:9" ht="36" x14ac:dyDescent="0.3">
      <c r="A76" s="2" t="s">
        <v>150</v>
      </c>
      <c r="B76" s="2" t="s">
        <v>2057</v>
      </c>
      <c r="C76" s="2" t="s">
        <v>2057</v>
      </c>
      <c r="D76" s="2" t="s">
        <v>6507</v>
      </c>
      <c r="E76" s="2"/>
      <c r="F76" s="2"/>
      <c r="G76" s="2"/>
      <c r="H76" s="2"/>
      <c r="I76" s="3">
        <f t="shared" si="2"/>
        <v>227</v>
      </c>
    </row>
    <row r="77" spans="1:9" ht="36" x14ac:dyDescent="0.3">
      <c r="A77" s="2" t="s">
        <v>150</v>
      </c>
      <c r="B77" s="2" t="s">
        <v>6705</v>
      </c>
      <c r="C77" s="2"/>
      <c r="D77" s="2" t="s">
        <v>6706</v>
      </c>
      <c r="E77" s="2"/>
      <c r="F77" s="2"/>
      <c r="G77" s="2"/>
      <c r="H77" s="2" t="s">
        <v>646</v>
      </c>
      <c r="I77" s="3">
        <f t="shared" si="2"/>
        <v>247</v>
      </c>
    </row>
    <row r="78" spans="1:9" ht="48" x14ac:dyDescent="0.3">
      <c r="A78" s="2" t="s">
        <v>150</v>
      </c>
      <c r="B78" s="2" t="s">
        <v>7483</v>
      </c>
      <c r="C78" s="2" t="s">
        <v>7484</v>
      </c>
      <c r="D78" s="2" t="s">
        <v>7485</v>
      </c>
      <c r="E78" s="2" t="s">
        <v>3700</v>
      </c>
      <c r="F78" s="2"/>
      <c r="G78" s="2" t="s">
        <v>1717</v>
      </c>
      <c r="H78" s="2" t="s">
        <v>646</v>
      </c>
      <c r="I78" s="3">
        <f t="shared" si="2"/>
        <v>338</v>
      </c>
    </row>
    <row r="79" spans="1:9" ht="48" x14ac:dyDescent="0.3">
      <c r="A79" s="2" t="s">
        <v>150</v>
      </c>
      <c r="B79" s="2" t="s">
        <v>7657</v>
      </c>
      <c r="C79" s="2" t="s">
        <v>7658</v>
      </c>
      <c r="D79" s="2" t="s">
        <v>9411</v>
      </c>
      <c r="E79" s="2" t="s">
        <v>39</v>
      </c>
      <c r="F79" s="2" t="s">
        <v>3082</v>
      </c>
      <c r="G79" s="2" t="s">
        <v>1717</v>
      </c>
      <c r="H79" s="2"/>
      <c r="I79" s="3">
        <f t="shared" si="2"/>
        <v>367</v>
      </c>
    </row>
    <row r="80" spans="1:9" ht="48" x14ac:dyDescent="0.3">
      <c r="A80" s="2" t="s">
        <v>150</v>
      </c>
      <c r="B80" s="2" t="s">
        <v>1321</v>
      </c>
      <c r="C80" s="2" t="s">
        <v>2057</v>
      </c>
      <c r="D80" s="2" t="s">
        <v>7667</v>
      </c>
      <c r="E80" s="2" t="s">
        <v>2524</v>
      </c>
      <c r="F80" s="2"/>
      <c r="G80" s="2"/>
      <c r="H80" s="2"/>
      <c r="I80" s="3">
        <f t="shared" si="2"/>
        <v>370</v>
      </c>
    </row>
    <row r="81" spans="1:9" ht="48" x14ac:dyDescent="0.3">
      <c r="A81" s="2" t="s">
        <v>150</v>
      </c>
      <c r="B81" s="2" t="s">
        <v>7781</v>
      </c>
      <c r="C81" s="2" t="s">
        <v>5900</v>
      </c>
      <c r="D81" s="2" t="s">
        <v>7782</v>
      </c>
      <c r="E81" s="2" t="s">
        <v>39</v>
      </c>
      <c r="F81" s="2"/>
      <c r="G81" s="2"/>
      <c r="H81" s="2" t="s">
        <v>646</v>
      </c>
      <c r="I81" s="3">
        <f t="shared" si="2"/>
        <v>392</v>
      </c>
    </row>
    <row r="82" spans="1:9" ht="60" x14ac:dyDescent="0.3">
      <c r="A82" s="2" t="s">
        <v>150</v>
      </c>
      <c r="B82" s="2" t="s">
        <v>7950</v>
      </c>
      <c r="C82" s="2" t="s">
        <v>7951</v>
      </c>
      <c r="D82" s="2" t="s">
        <v>9412</v>
      </c>
      <c r="E82" s="2" t="s">
        <v>3251</v>
      </c>
      <c r="F82" s="2" t="s">
        <v>1778</v>
      </c>
      <c r="G82" s="2" t="s">
        <v>1717</v>
      </c>
      <c r="H82" s="2" t="s">
        <v>1644</v>
      </c>
      <c r="I82" s="3">
        <f t="shared" si="2"/>
        <v>435</v>
      </c>
    </row>
    <row r="83" spans="1:9" ht="72" x14ac:dyDescent="0.3">
      <c r="A83" s="2" t="s">
        <v>150</v>
      </c>
      <c r="B83" s="2" t="s">
        <v>8229</v>
      </c>
      <c r="C83" s="2"/>
      <c r="D83" s="2" t="s">
        <v>8230</v>
      </c>
      <c r="E83" s="2"/>
      <c r="F83" s="2"/>
      <c r="G83" s="2"/>
      <c r="H83" s="2"/>
      <c r="I83" s="3">
        <f t="shared" si="2"/>
        <v>536</v>
      </c>
    </row>
    <row r="84" spans="1:9" ht="72" x14ac:dyDescent="0.3">
      <c r="A84" s="2" t="s">
        <v>150</v>
      </c>
      <c r="B84" s="2" t="s">
        <v>8366</v>
      </c>
      <c r="C84" s="2" t="s">
        <v>8367</v>
      </c>
      <c r="D84" s="2" t="s">
        <v>9413</v>
      </c>
      <c r="E84" s="2" t="s">
        <v>8368</v>
      </c>
      <c r="F84" s="2" t="s">
        <v>1778</v>
      </c>
      <c r="G84" s="2" t="s">
        <v>1717</v>
      </c>
      <c r="H84" s="2" t="s">
        <v>1176</v>
      </c>
      <c r="I84" s="3">
        <f t="shared" si="2"/>
        <v>605</v>
      </c>
    </row>
    <row r="85" spans="1:9" ht="84" x14ac:dyDescent="0.3">
      <c r="A85" s="2" t="s">
        <v>150</v>
      </c>
      <c r="B85" s="2" t="s">
        <v>8386</v>
      </c>
      <c r="C85" s="2" t="s">
        <v>8387</v>
      </c>
      <c r="D85" s="2" t="s">
        <v>8724</v>
      </c>
      <c r="E85" s="2" t="s">
        <v>211</v>
      </c>
      <c r="F85" s="2"/>
      <c r="G85" s="2" t="s">
        <v>1717</v>
      </c>
      <c r="H85" s="2" t="s">
        <v>3494</v>
      </c>
      <c r="I85" s="3">
        <f t="shared" si="2"/>
        <v>618</v>
      </c>
    </row>
  </sheetData>
  <autoFilter ref="A1:I85" xr:uid="{00000000-0009-0000-0000-000000000000}">
    <sortState xmlns:xlrd2="http://schemas.microsoft.com/office/spreadsheetml/2017/richdata2" ref="A2:I85">
      <sortCondition ref="A1:A85"/>
    </sortState>
  </autoFilter>
  <conditionalFormatting sqref="H1:H87">
    <cfRule type="notContainsBlanks" dxfId="3" priority="1">
      <formula>LEN(TRIM(H1))&gt;0</formula>
    </cfRule>
  </conditionalFormatting>
  <dataValidations count="2">
    <dataValidation type="list" allowBlank="1" showErrorMessage="1" sqref="C2:C85" xr:uid="{00000000-0002-0000-0000-000000000000}">
      <formula1>#REF!</formula1>
    </dataValidation>
    <dataValidation type="list" allowBlank="1" sqref="H2:H85" xr:uid="{00000000-0002-0000-0000-000001000000}">
      <formula1>#REF!</formula1>
    </dataValidation>
  </dataValidations>
  <pageMargins left="0.7" right="0.7" top="0.75" bottom="0.75" header="0" footer="0"/>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EAADE-91E1-461E-A634-D28F5BA62AFD}">
  <dimension ref="A1:I407"/>
  <sheetViews>
    <sheetView workbookViewId="0">
      <pane ySplit="1" topLeftCell="A2" activePane="bottomLeft" state="frozen"/>
      <selection pane="bottomLeft" activeCell="A2" sqref="A2"/>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12</v>
      </c>
      <c r="B2" s="2" t="s">
        <v>319</v>
      </c>
      <c r="C2" s="2"/>
      <c r="D2" s="2" t="s">
        <v>320</v>
      </c>
      <c r="E2" s="2" t="s">
        <v>39</v>
      </c>
      <c r="F2" s="2"/>
      <c r="G2" s="2"/>
      <c r="H2" s="2" t="s">
        <v>216</v>
      </c>
      <c r="I2" s="3">
        <f t="shared" ref="I2:I33" si="0">LEN(D2)</f>
        <v>33</v>
      </c>
    </row>
    <row r="3" spans="1:9" x14ac:dyDescent="0.3">
      <c r="A3" s="2" t="s">
        <v>12</v>
      </c>
      <c r="B3" s="2" t="s">
        <v>755</v>
      </c>
      <c r="C3" s="2"/>
      <c r="D3" s="2" t="s">
        <v>9564</v>
      </c>
      <c r="E3" s="2" t="s">
        <v>39</v>
      </c>
      <c r="F3" s="2"/>
      <c r="G3" s="2"/>
      <c r="H3" s="2" t="s">
        <v>216</v>
      </c>
      <c r="I3" s="3">
        <f t="shared" si="0"/>
        <v>48</v>
      </c>
    </row>
    <row r="4" spans="1:9" ht="36" x14ac:dyDescent="0.3">
      <c r="A4" s="2" t="s">
        <v>12</v>
      </c>
      <c r="B4" s="2" t="s">
        <v>6887</v>
      </c>
      <c r="C4" s="2" t="s">
        <v>519</v>
      </c>
      <c r="D4" s="2" t="s">
        <v>6888</v>
      </c>
      <c r="E4" s="2"/>
      <c r="F4" s="2"/>
      <c r="G4" s="2"/>
      <c r="H4" s="2" t="s">
        <v>216</v>
      </c>
      <c r="I4" s="3">
        <f t="shared" si="0"/>
        <v>262</v>
      </c>
    </row>
    <row r="5" spans="1:9" ht="24" x14ac:dyDescent="0.3">
      <c r="A5" s="2" t="s">
        <v>12</v>
      </c>
      <c r="B5" s="2" t="s">
        <v>5365</v>
      </c>
      <c r="C5" s="2" t="s">
        <v>5366</v>
      </c>
      <c r="D5" s="2" t="s">
        <v>5367</v>
      </c>
      <c r="E5" s="2"/>
      <c r="F5" s="2"/>
      <c r="G5" s="2"/>
      <c r="H5" s="2" t="s">
        <v>1176</v>
      </c>
      <c r="I5" s="3">
        <f t="shared" si="0"/>
        <v>157</v>
      </c>
    </row>
    <row r="6" spans="1:9" ht="48" x14ac:dyDescent="0.3">
      <c r="A6" s="2" t="s">
        <v>12</v>
      </c>
      <c r="B6" s="2" t="s">
        <v>7655</v>
      </c>
      <c r="C6" s="2" t="s">
        <v>2879</v>
      </c>
      <c r="D6" s="2" t="s">
        <v>7656</v>
      </c>
      <c r="E6" s="2" t="s">
        <v>39</v>
      </c>
      <c r="F6" s="2"/>
      <c r="G6" s="2"/>
      <c r="H6" s="2" t="s">
        <v>1176</v>
      </c>
      <c r="I6" s="3">
        <f t="shared" si="0"/>
        <v>368</v>
      </c>
    </row>
    <row r="7" spans="1:9" ht="132" x14ac:dyDescent="0.3">
      <c r="A7" s="2" t="s">
        <v>12</v>
      </c>
      <c r="B7" s="2" t="s">
        <v>8610</v>
      </c>
      <c r="C7" s="2" t="s">
        <v>8611</v>
      </c>
      <c r="D7" s="2" t="s">
        <v>9019</v>
      </c>
      <c r="E7" s="2" t="s">
        <v>918</v>
      </c>
      <c r="F7" s="2" t="s">
        <v>8612</v>
      </c>
      <c r="G7" s="2" t="s">
        <v>1717</v>
      </c>
      <c r="H7" s="2" t="s">
        <v>1176</v>
      </c>
      <c r="I7" s="3">
        <f t="shared" si="0"/>
        <v>1055</v>
      </c>
    </row>
    <row r="8" spans="1:9" x14ac:dyDescent="0.3">
      <c r="A8" s="2" t="s">
        <v>12</v>
      </c>
      <c r="B8" s="2" t="s">
        <v>896</v>
      </c>
      <c r="C8" s="2" t="s">
        <v>896</v>
      </c>
      <c r="D8" s="2" t="s">
        <v>1493</v>
      </c>
      <c r="E8" s="2" t="s">
        <v>1494</v>
      </c>
      <c r="F8" s="2"/>
      <c r="G8" s="2"/>
      <c r="H8" s="2" t="s">
        <v>898</v>
      </c>
      <c r="I8" s="3">
        <f t="shared" si="0"/>
        <v>64</v>
      </c>
    </row>
    <row r="9" spans="1:9" x14ac:dyDescent="0.3">
      <c r="A9" s="2" t="s">
        <v>12</v>
      </c>
      <c r="B9" s="2" t="s">
        <v>2395</v>
      </c>
      <c r="C9" s="2" t="s">
        <v>896</v>
      </c>
      <c r="D9" s="2" t="s">
        <v>2396</v>
      </c>
      <c r="E9" s="2" t="s">
        <v>1494</v>
      </c>
      <c r="F9" s="2"/>
      <c r="G9" s="2"/>
      <c r="H9" s="2" t="s">
        <v>898</v>
      </c>
      <c r="I9" s="3">
        <f t="shared" si="0"/>
        <v>81</v>
      </c>
    </row>
    <row r="10" spans="1:9" ht="24" x14ac:dyDescent="0.3">
      <c r="A10" s="2" t="s">
        <v>12</v>
      </c>
      <c r="B10" s="2" t="s">
        <v>2484</v>
      </c>
      <c r="C10" s="2" t="s">
        <v>896</v>
      </c>
      <c r="D10" s="2" t="s">
        <v>2485</v>
      </c>
      <c r="E10" s="2" t="s">
        <v>1188</v>
      </c>
      <c r="F10" s="2"/>
      <c r="G10" s="2"/>
      <c r="H10" s="2" t="s">
        <v>898</v>
      </c>
      <c r="I10" s="3">
        <f t="shared" si="0"/>
        <v>82</v>
      </c>
    </row>
    <row r="11" spans="1:9" ht="24" x14ac:dyDescent="0.3">
      <c r="A11" s="2" t="s">
        <v>12</v>
      </c>
      <c r="B11" s="2" t="s">
        <v>2601</v>
      </c>
      <c r="C11" s="2" t="s">
        <v>896</v>
      </c>
      <c r="D11" s="2" t="s">
        <v>2602</v>
      </c>
      <c r="E11" s="2" t="s">
        <v>1494</v>
      </c>
      <c r="F11" s="2"/>
      <c r="G11" s="2"/>
      <c r="H11" s="2" t="s">
        <v>898</v>
      </c>
      <c r="I11" s="3">
        <f t="shared" si="0"/>
        <v>84</v>
      </c>
    </row>
    <row r="12" spans="1:9" ht="24" x14ac:dyDescent="0.3">
      <c r="A12" s="2" t="s">
        <v>12</v>
      </c>
      <c r="B12" s="2" t="s">
        <v>3357</v>
      </c>
      <c r="C12" s="2" t="s">
        <v>3358</v>
      </c>
      <c r="D12" s="2" t="s">
        <v>3359</v>
      </c>
      <c r="E12" s="2" t="s">
        <v>3360</v>
      </c>
      <c r="F12" s="2"/>
      <c r="G12" s="2"/>
      <c r="H12" s="2" t="s">
        <v>898</v>
      </c>
      <c r="I12" s="3">
        <f t="shared" si="0"/>
        <v>99</v>
      </c>
    </row>
    <row r="13" spans="1:9" ht="24" x14ac:dyDescent="0.3">
      <c r="A13" s="2" t="s">
        <v>12</v>
      </c>
      <c r="B13" s="2" t="s">
        <v>3789</v>
      </c>
      <c r="C13" s="2" t="s">
        <v>896</v>
      </c>
      <c r="D13" s="2" t="s">
        <v>9563</v>
      </c>
      <c r="E13" s="2"/>
      <c r="F13" s="2"/>
      <c r="G13" s="2"/>
      <c r="H13" s="2" t="s">
        <v>898</v>
      </c>
      <c r="I13" s="3">
        <f t="shared" si="0"/>
        <v>108</v>
      </c>
    </row>
    <row r="14" spans="1:9" ht="24" x14ac:dyDescent="0.3">
      <c r="A14" s="2" t="s">
        <v>12</v>
      </c>
      <c r="B14" s="2" t="s">
        <v>4658</v>
      </c>
      <c r="C14" s="2" t="s">
        <v>896</v>
      </c>
      <c r="D14" s="2" t="s">
        <v>4659</v>
      </c>
      <c r="E14" s="2" t="s">
        <v>1494</v>
      </c>
      <c r="F14" s="2"/>
      <c r="G14" s="2"/>
      <c r="H14" s="2" t="s">
        <v>898</v>
      </c>
      <c r="I14" s="3">
        <f t="shared" si="0"/>
        <v>134</v>
      </c>
    </row>
    <row r="15" spans="1:9" ht="24" x14ac:dyDescent="0.3">
      <c r="A15" s="2" t="s">
        <v>12</v>
      </c>
      <c r="B15" s="2" t="s">
        <v>1138</v>
      </c>
      <c r="C15" s="2" t="s">
        <v>896</v>
      </c>
      <c r="D15" s="2" t="s">
        <v>4746</v>
      </c>
      <c r="E15" s="2" t="s">
        <v>3700</v>
      </c>
      <c r="F15" s="2"/>
      <c r="G15" s="2"/>
      <c r="H15" s="2" t="s">
        <v>898</v>
      </c>
      <c r="I15" s="3">
        <f t="shared" si="0"/>
        <v>137</v>
      </c>
    </row>
    <row r="16" spans="1:9" ht="24" x14ac:dyDescent="0.3">
      <c r="A16" s="2" t="s">
        <v>12</v>
      </c>
      <c r="B16" s="2" t="s">
        <v>4799</v>
      </c>
      <c r="C16" s="2" t="s">
        <v>896</v>
      </c>
      <c r="D16" s="2" t="s">
        <v>4800</v>
      </c>
      <c r="E16" s="2" t="s">
        <v>1188</v>
      </c>
      <c r="F16" s="2"/>
      <c r="G16" s="2"/>
      <c r="H16" s="2" t="s">
        <v>898</v>
      </c>
      <c r="I16" s="3">
        <f t="shared" si="0"/>
        <v>139</v>
      </c>
    </row>
    <row r="17" spans="1:9" ht="24" x14ac:dyDescent="0.3">
      <c r="A17" s="2" t="s">
        <v>12</v>
      </c>
      <c r="B17" s="2" t="s">
        <v>4958</v>
      </c>
      <c r="C17" s="2" t="s">
        <v>896</v>
      </c>
      <c r="D17" s="2" t="s">
        <v>4959</v>
      </c>
      <c r="E17" s="2" t="s">
        <v>1494</v>
      </c>
      <c r="F17" s="2"/>
      <c r="G17" s="2"/>
      <c r="H17" s="2" t="s">
        <v>898</v>
      </c>
      <c r="I17" s="3">
        <f t="shared" si="0"/>
        <v>143</v>
      </c>
    </row>
    <row r="18" spans="1:9" ht="24" x14ac:dyDescent="0.3">
      <c r="A18" s="2" t="s">
        <v>12</v>
      </c>
      <c r="B18" s="2" t="s">
        <v>5047</v>
      </c>
      <c r="C18" s="2" t="s">
        <v>5048</v>
      </c>
      <c r="D18" s="2" t="s">
        <v>5049</v>
      </c>
      <c r="E18" s="2" t="s">
        <v>5050</v>
      </c>
      <c r="F18" s="2"/>
      <c r="G18" s="2"/>
      <c r="H18" s="2" t="s">
        <v>898</v>
      </c>
      <c r="I18" s="3">
        <f t="shared" si="0"/>
        <v>146</v>
      </c>
    </row>
    <row r="19" spans="1:9" ht="24" x14ac:dyDescent="0.3">
      <c r="A19" s="2" t="s">
        <v>12</v>
      </c>
      <c r="B19" s="2" t="s">
        <v>4769</v>
      </c>
      <c r="C19" s="2" t="s">
        <v>896</v>
      </c>
      <c r="D19" s="2" t="s">
        <v>5256</v>
      </c>
      <c r="E19" s="2" t="s">
        <v>1188</v>
      </c>
      <c r="F19" s="2"/>
      <c r="G19" s="2"/>
      <c r="H19" s="2" t="s">
        <v>898</v>
      </c>
      <c r="I19" s="3">
        <f t="shared" si="0"/>
        <v>153</v>
      </c>
    </row>
    <row r="20" spans="1:9" ht="24" x14ac:dyDescent="0.3">
      <c r="A20" s="2" t="s">
        <v>12</v>
      </c>
      <c r="B20" s="2" t="s">
        <v>5276</v>
      </c>
      <c r="C20" s="2" t="s">
        <v>5277</v>
      </c>
      <c r="D20" s="2" t="s">
        <v>5278</v>
      </c>
      <c r="E20" s="2" t="s">
        <v>616</v>
      </c>
      <c r="F20" s="2"/>
      <c r="G20" s="2"/>
      <c r="H20" s="2" t="s">
        <v>898</v>
      </c>
      <c r="I20" s="3">
        <f t="shared" si="0"/>
        <v>154</v>
      </c>
    </row>
    <row r="21" spans="1:9" ht="24" x14ac:dyDescent="0.3">
      <c r="A21" s="2" t="s">
        <v>12</v>
      </c>
      <c r="B21" s="2" t="s">
        <v>5357</v>
      </c>
      <c r="C21" s="2" t="s">
        <v>896</v>
      </c>
      <c r="D21" s="2" t="s">
        <v>5358</v>
      </c>
      <c r="E21" s="2" t="s">
        <v>1188</v>
      </c>
      <c r="F21" s="2"/>
      <c r="G21" s="2"/>
      <c r="H21" s="2" t="s">
        <v>898</v>
      </c>
      <c r="I21" s="3">
        <f t="shared" si="0"/>
        <v>157</v>
      </c>
    </row>
    <row r="22" spans="1:9" ht="24" x14ac:dyDescent="0.3">
      <c r="A22" s="2" t="s">
        <v>12</v>
      </c>
      <c r="B22" s="2" t="s">
        <v>5467</v>
      </c>
      <c r="C22" s="2" t="s">
        <v>5048</v>
      </c>
      <c r="D22" s="2" t="s">
        <v>5468</v>
      </c>
      <c r="E22" s="2" t="s">
        <v>2524</v>
      </c>
      <c r="F22" s="2"/>
      <c r="G22" s="2"/>
      <c r="H22" s="2" t="s">
        <v>898</v>
      </c>
      <c r="I22" s="3">
        <f t="shared" si="0"/>
        <v>163</v>
      </c>
    </row>
    <row r="23" spans="1:9" ht="24" x14ac:dyDescent="0.3">
      <c r="A23" s="2" t="s">
        <v>12</v>
      </c>
      <c r="B23" s="2" t="s">
        <v>5788</v>
      </c>
      <c r="C23" s="2" t="s">
        <v>896</v>
      </c>
      <c r="D23" s="2" t="s">
        <v>5789</v>
      </c>
      <c r="E23" s="2" t="s">
        <v>5790</v>
      </c>
      <c r="F23" s="2"/>
      <c r="G23" s="2"/>
      <c r="H23" s="2" t="s">
        <v>898</v>
      </c>
      <c r="I23" s="3">
        <f t="shared" si="0"/>
        <v>179</v>
      </c>
    </row>
    <row r="24" spans="1:9" ht="24" x14ac:dyDescent="0.3">
      <c r="A24" s="2" t="s">
        <v>12</v>
      </c>
      <c r="B24" s="2" t="s">
        <v>5922</v>
      </c>
      <c r="C24" s="2" t="s">
        <v>896</v>
      </c>
      <c r="D24" s="2" t="s">
        <v>5923</v>
      </c>
      <c r="E24" s="2" t="s">
        <v>1188</v>
      </c>
      <c r="F24" s="2"/>
      <c r="G24" s="2"/>
      <c r="H24" s="2" t="s">
        <v>898</v>
      </c>
      <c r="I24" s="3">
        <f t="shared" si="0"/>
        <v>185</v>
      </c>
    </row>
    <row r="25" spans="1:9" ht="36" x14ac:dyDescent="0.3">
      <c r="A25" s="2" t="s">
        <v>12</v>
      </c>
      <c r="B25" s="2" t="s">
        <v>6325</v>
      </c>
      <c r="C25" s="2" t="s">
        <v>896</v>
      </c>
      <c r="D25" s="2" t="s">
        <v>6326</v>
      </c>
      <c r="E25" s="2"/>
      <c r="F25" s="2"/>
      <c r="G25" s="2"/>
      <c r="H25" s="2" t="s">
        <v>898</v>
      </c>
      <c r="I25" s="3">
        <f t="shared" si="0"/>
        <v>213</v>
      </c>
    </row>
    <row r="26" spans="1:9" ht="36" x14ac:dyDescent="0.3">
      <c r="A26" s="2" t="s">
        <v>12</v>
      </c>
      <c r="B26" s="2" t="s">
        <v>6743</v>
      </c>
      <c r="C26" s="2" t="s">
        <v>896</v>
      </c>
      <c r="D26" s="2" t="s">
        <v>6744</v>
      </c>
      <c r="E26" s="2" t="s">
        <v>383</v>
      </c>
      <c r="F26" s="2"/>
      <c r="G26" s="2" t="s">
        <v>1717</v>
      </c>
      <c r="H26" s="2" t="s">
        <v>898</v>
      </c>
      <c r="I26" s="3">
        <f t="shared" si="0"/>
        <v>251</v>
      </c>
    </row>
    <row r="27" spans="1:9" ht="36" x14ac:dyDescent="0.3">
      <c r="A27" s="2" t="s">
        <v>12</v>
      </c>
      <c r="B27" s="2" t="s">
        <v>1338</v>
      </c>
      <c r="C27" s="2" t="s">
        <v>896</v>
      </c>
      <c r="D27" s="2" t="s">
        <v>7014</v>
      </c>
      <c r="E27" s="2" t="s">
        <v>3578</v>
      </c>
      <c r="F27" s="2"/>
      <c r="G27" s="2" t="s">
        <v>1717</v>
      </c>
      <c r="H27" s="2" t="s">
        <v>898</v>
      </c>
      <c r="I27" s="3">
        <f t="shared" si="0"/>
        <v>274</v>
      </c>
    </row>
    <row r="28" spans="1:9" ht="36" x14ac:dyDescent="0.3">
      <c r="A28" s="2" t="s">
        <v>12</v>
      </c>
      <c r="B28" s="2" t="s">
        <v>7037</v>
      </c>
      <c r="C28" s="2" t="s">
        <v>896</v>
      </c>
      <c r="D28" s="2" t="s">
        <v>7038</v>
      </c>
      <c r="E28" s="2" t="s">
        <v>7039</v>
      </c>
      <c r="F28" s="2"/>
      <c r="G28" s="2" t="s">
        <v>1717</v>
      </c>
      <c r="H28" s="2" t="s">
        <v>898</v>
      </c>
      <c r="I28" s="3">
        <f t="shared" si="0"/>
        <v>284</v>
      </c>
    </row>
    <row r="29" spans="1:9" ht="36" x14ac:dyDescent="0.3">
      <c r="A29" s="2" t="s">
        <v>12</v>
      </c>
      <c r="B29" s="2" t="s">
        <v>7080</v>
      </c>
      <c r="C29" s="2" t="s">
        <v>896</v>
      </c>
      <c r="D29" s="2" t="s">
        <v>7081</v>
      </c>
      <c r="E29" s="2" t="s">
        <v>2693</v>
      </c>
      <c r="F29" s="2"/>
      <c r="G29" s="2" t="s">
        <v>1717</v>
      </c>
      <c r="H29" s="2" t="s">
        <v>898</v>
      </c>
      <c r="I29" s="3">
        <f t="shared" si="0"/>
        <v>284</v>
      </c>
    </row>
    <row r="30" spans="1:9" ht="36" x14ac:dyDescent="0.3">
      <c r="A30" s="2" t="s">
        <v>12</v>
      </c>
      <c r="B30" s="2" t="s">
        <v>7083</v>
      </c>
      <c r="C30" s="2" t="s">
        <v>896</v>
      </c>
      <c r="D30" s="2" t="s">
        <v>7084</v>
      </c>
      <c r="E30" s="2" t="s">
        <v>2824</v>
      </c>
      <c r="F30" s="2"/>
      <c r="G30" s="2"/>
      <c r="H30" s="2" t="s">
        <v>898</v>
      </c>
      <c r="I30" s="3">
        <f t="shared" si="0"/>
        <v>285</v>
      </c>
    </row>
    <row r="31" spans="1:9" ht="48" x14ac:dyDescent="0.3">
      <c r="A31" s="2" t="s">
        <v>12</v>
      </c>
      <c r="B31" s="2" t="s">
        <v>2770</v>
      </c>
      <c r="C31" s="2" t="s">
        <v>896</v>
      </c>
      <c r="D31" s="2" t="s">
        <v>7277</v>
      </c>
      <c r="E31" s="2" t="s">
        <v>3209</v>
      </c>
      <c r="F31" s="2"/>
      <c r="G31" s="2" t="s">
        <v>1717</v>
      </c>
      <c r="H31" s="2" t="s">
        <v>898</v>
      </c>
      <c r="I31" s="3">
        <f t="shared" si="0"/>
        <v>310</v>
      </c>
    </row>
    <row r="32" spans="1:9" ht="48" x14ac:dyDescent="0.3">
      <c r="A32" s="2" t="s">
        <v>12</v>
      </c>
      <c r="B32" s="2" t="s">
        <v>7294</v>
      </c>
      <c r="C32" s="2" t="s">
        <v>7295</v>
      </c>
      <c r="D32" s="2" t="s">
        <v>7296</v>
      </c>
      <c r="E32" s="2" t="s">
        <v>7297</v>
      </c>
      <c r="F32" s="2"/>
      <c r="G32" s="2"/>
      <c r="H32" s="2" t="s">
        <v>898</v>
      </c>
      <c r="I32" s="3">
        <f t="shared" si="0"/>
        <v>312</v>
      </c>
    </row>
    <row r="33" spans="1:9" ht="48" x14ac:dyDescent="0.3">
      <c r="A33" s="2" t="s">
        <v>12</v>
      </c>
      <c r="B33" s="2" t="s">
        <v>4769</v>
      </c>
      <c r="C33" s="2" t="s">
        <v>4126</v>
      </c>
      <c r="D33" s="2" t="s">
        <v>9020</v>
      </c>
      <c r="E33" s="2" t="s">
        <v>1188</v>
      </c>
      <c r="F33" s="2" t="s">
        <v>4117</v>
      </c>
      <c r="G33" s="2" t="s">
        <v>1717</v>
      </c>
      <c r="H33" s="2" t="s">
        <v>898</v>
      </c>
      <c r="I33" s="3">
        <f t="shared" si="0"/>
        <v>355</v>
      </c>
    </row>
    <row r="34" spans="1:9" ht="48" x14ac:dyDescent="0.3">
      <c r="A34" s="2" t="s">
        <v>12</v>
      </c>
      <c r="B34" s="2" t="s">
        <v>504</v>
      </c>
      <c r="C34" s="2" t="s">
        <v>896</v>
      </c>
      <c r="D34" s="2" t="s">
        <v>7642</v>
      </c>
      <c r="E34" s="2" t="s">
        <v>3643</v>
      </c>
      <c r="F34" s="2"/>
      <c r="G34" s="2" t="s">
        <v>1717</v>
      </c>
      <c r="H34" s="2" t="s">
        <v>898</v>
      </c>
      <c r="I34" s="3">
        <f t="shared" ref="I34:I64" si="1">LEN(D34)</f>
        <v>364</v>
      </c>
    </row>
    <row r="35" spans="1:9" ht="48" x14ac:dyDescent="0.3">
      <c r="A35" s="2" t="s">
        <v>12</v>
      </c>
      <c r="B35" s="2" t="s">
        <v>7729</v>
      </c>
      <c r="C35" s="2" t="s">
        <v>896</v>
      </c>
      <c r="D35" s="2" t="s">
        <v>9021</v>
      </c>
      <c r="E35" s="2" t="s">
        <v>242</v>
      </c>
      <c r="F35" s="2" t="s">
        <v>1778</v>
      </c>
      <c r="G35" s="2" t="s">
        <v>1717</v>
      </c>
      <c r="H35" s="2" t="s">
        <v>898</v>
      </c>
      <c r="I35" s="3">
        <f t="shared" si="1"/>
        <v>380</v>
      </c>
    </row>
    <row r="36" spans="1:9" ht="48" x14ac:dyDescent="0.3">
      <c r="A36" s="2" t="s">
        <v>12</v>
      </c>
      <c r="B36" s="2" t="s">
        <v>7786</v>
      </c>
      <c r="C36" s="2" t="s">
        <v>896</v>
      </c>
      <c r="D36" s="2" t="s">
        <v>9022</v>
      </c>
      <c r="E36" s="2" t="s">
        <v>2693</v>
      </c>
      <c r="F36" s="2" t="s">
        <v>1778</v>
      </c>
      <c r="G36" s="2" t="s">
        <v>1717</v>
      </c>
      <c r="H36" s="2" t="s">
        <v>898</v>
      </c>
      <c r="I36" s="3">
        <f t="shared" si="1"/>
        <v>391</v>
      </c>
    </row>
    <row r="37" spans="1:9" ht="48" x14ac:dyDescent="0.3">
      <c r="A37" s="2" t="s">
        <v>12</v>
      </c>
      <c r="B37" s="2" t="s">
        <v>2770</v>
      </c>
      <c r="C37" s="2" t="s">
        <v>896</v>
      </c>
      <c r="D37" s="2" t="s">
        <v>7817</v>
      </c>
      <c r="E37" s="2" t="s">
        <v>7818</v>
      </c>
      <c r="F37" s="2"/>
      <c r="G37" s="2" t="s">
        <v>1717</v>
      </c>
      <c r="H37" s="2" t="s">
        <v>898</v>
      </c>
      <c r="I37" s="3">
        <f t="shared" si="1"/>
        <v>403</v>
      </c>
    </row>
    <row r="38" spans="1:9" ht="60" x14ac:dyDescent="0.3">
      <c r="A38" s="2" t="s">
        <v>12</v>
      </c>
      <c r="B38" s="2" t="s">
        <v>7999</v>
      </c>
      <c r="C38" s="2" t="s">
        <v>8000</v>
      </c>
      <c r="D38" s="2" t="s">
        <v>8001</v>
      </c>
      <c r="E38" s="2" t="s">
        <v>3251</v>
      </c>
      <c r="F38" s="2"/>
      <c r="G38" s="2" t="s">
        <v>1717</v>
      </c>
      <c r="H38" s="2" t="s">
        <v>898</v>
      </c>
      <c r="I38" s="3">
        <f t="shared" si="1"/>
        <v>447</v>
      </c>
    </row>
    <row r="39" spans="1:9" ht="72" x14ac:dyDescent="0.3">
      <c r="A39" s="2" t="s">
        <v>12</v>
      </c>
      <c r="B39" s="2" t="s">
        <v>6392</v>
      </c>
      <c r="C39" s="2" t="s">
        <v>8351</v>
      </c>
      <c r="D39" s="2" t="s">
        <v>8352</v>
      </c>
      <c r="E39" s="2" t="s">
        <v>616</v>
      </c>
      <c r="F39" s="2"/>
      <c r="G39" s="2"/>
      <c r="H39" s="2" t="s">
        <v>898</v>
      </c>
      <c r="I39" s="3">
        <f t="shared" si="1"/>
        <v>598</v>
      </c>
    </row>
    <row r="40" spans="1:9" ht="84" x14ac:dyDescent="0.3">
      <c r="A40" s="2" t="s">
        <v>12</v>
      </c>
      <c r="B40" s="2" t="s">
        <v>8432</v>
      </c>
      <c r="C40" s="2" t="s">
        <v>8433</v>
      </c>
      <c r="D40" s="2" t="s">
        <v>8434</v>
      </c>
      <c r="E40" s="2" t="s">
        <v>2524</v>
      </c>
      <c r="F40" s="2"/>
      <c r="G40" s="2" t="s">
        <v>350</v>
      </c>
      <c r="H40" s="2" t="s">
        <v>898</v>
      </c>
      <c r="I40" s="3">
        <f t="shared" si="1"/>
        <v>662</v>
      </c>
    </row>
    <row r="41" spans="1:9" x14ac:dyDescent="0.3">
      <c r="A41" s="2" t="s">
        <v>12</v>
      </c>
      <c r="B41" s="2" t="s">
        <v>3522</v>
      </c>
      <c r="C41" s="2" t="s">
        <v>491</v>
      </c>
      <c r="D41" s="2" t="s">
        <v>8675</v>
      </c>
      <c r="E41" s="2" t="s">
        <v>39</v>
      </c>
      <c r="F41" s="2"/>
      <c r="G41" s="2"/>
      <c r="H41" s="2"/>
      <c r="I41" s="3">
        <f t="shared" si="1"/>
        <v>57</v>
      </c>
    </row>
    <row r="42" spans="1:9" x14ac:dyDescent="0.3">
      <c r="A42" s="2" t="s">
        <v>12</v>
      </c>
      <c r="B42" s="2" t="s">
        <v>4769</v>
      </c>
      <c r="C42" s="2" t="s">
        <v>896</v>
      </c>
      <c r="D42" s="2" t="s">
        <v>8676</v>
      </c>
      <c r="E42" s="2" t="s">
        <v>1188</v>
      </c>
      <c r="F42" s="2"/>
      <c r="G42" s="2"/>
      <c r="H42" s="2"/>
      <c r="I42" s="3">
        <f t="shared" si="1"/>
        <v>95</v>
      </c>
    </row>
    <row r="43" spans="1:9" ht="36" x14ac:dyDescent="0.3">
      <c r="A43" s="2" t="s">
        <v>12</v>
      </c>
      <c r="B43" s="2" t="s">
        <v>7172</v>
      </c>
      <c r="C43" s="2" t="s">
        <v>408</v>
      </c>
      <c r="D43" s="2" t="s">
        <v>8680</v>
      </c>
      <c r="E43" s="2"/>
      <c r="F43" s="2"/>
      <c r="G43" s="2"/>
      <c r="H43" s="2"/>
      <c r="I43" s="3">
        <f t="shared" si="1"/>
        <v>224</v>
      </c>
    </row>
    <row r="44" spans="1:9" x14ac:dyDescent="0.3">
      <c r="A44" s="2" t="s">
        <v>410</v>
      </c>
      <c r="B44" s="2" t="s">
        <v>8683</v>
      </c>
      <c r="C44" s="2" t="s">
        <v>8682</v>
      </c>
      <c r="D44" s="2" t="s">
        <v>8681</v>
      </c>
      <c r="E44" s="2"/>
      <c r="F44" s="2"/>
      <c r="G44" s="2"/>
      <c r="H44" s="2"/>
      <c r="I44" s="3">
        <f t="shared" si="1"/>
        <v>73</v>
      </c>
    </row>
    <row r="45" spans="1:9" ht="48" x14ac:dyDescent="0.3">
      <c r="A45" s="2" t="s">
        <v>12</v>
      </c>
      <c r="B45" s="2" t="s">
        <v>7870</v>
      </c>
      <c r="C45" s="2" t="s">
        <v>113</v>
      </c>
      <c r="D45" s="2" t="s">
        <v>9023</v>
      </c>
      <c r="E45" s="2" t="s">
        <v>39</v>
      </c>
      <c r="F45" s="2" t="s">
        <v>4117</v>
      </c>
      <c r="G45" s="2" t="s">
        <v>1717</v>
      </c>
      <c r="H45" s="2" t="s">
        <v>3494</v>
      </c>
      <c r="I45" s="3">
        <f t="shared" si="1"/>
        <v>412</v>
      </c>
    </row>
    <row r="46" spans="1:9" ht="48" x14ac:dyDescent="0.3">
      <c r="A46" s="2" t="s">
        <v>12</v>
      </c>
      <c r="B46" s="2" t="s">
        <v>7870</v>
      </c>
      <c r="C46" s="2" t="s">
        <v>113</v>
      </c>
      <c r="D46" s="2" t="s">
        <v>9023</v>
      </c>
      <c r="E46" s="2" t="s">
        <v>39</v>
      </c>
      <c r="F46" s="2" t="s">
        <v>4117</v>
      </c>
      <c r="G46" s="2" t="s">
        <v>1717</v>
      </c>
      <c r="H46" s="2" t="s">
        <v>3494</v>
      </c>
      <c r="I46" s="3">
        <f t="shared" si="1"/>
        <v>412</v>
      </c>
    </row>
    <row r="47" spans="1:9" ht="60" x14ac:dyDescent="0.3">
      <c r="A47" s="2" t="s">
        <v>12</v>
      </c>
      <c r="B47" s="2" t="s">
        <v>8024</v>
      </c>
      <c r="C47" s="2" t="s">
        <v>8025</v>
      </c>
      <c r="D47" s="2" t="s">
        <v>9024</v>
      </c>
      <c r="E47" s="2" t="s">
        <v>8026</v>
      </c>
      <c r="F47" s="2" t="s">
        <v>1778</v>
      </c>
      <c r="G47" s="2" t="s">
        <v>1717</v>
      </c>
      <c r="H47" s="2" t="s">
        <v>3494</v>
      </c>
      <c r="I47" s="3">
        <f t="shared" si="1"/>
        <v>455</v>
      </c>
    </row>
    <row r="48" spans="1:9" ht="60" x14ac:dyDescent="0.3">
      <c r="A48" s="2" t="s">
        <v>12</v>
      </c>
      <c r="B48" s="2" t="s">
        <v>8024</v>
      </c>
      <c r="C48" s="2" t="s">
        <v>8025</v>
      </c>
      <c r="D48" s="2" t="s">
        <v>9024</v>
      </c>
      <c r="E48" s="2" t="s">
        <v>8026</v>
      </c>
      <c r="F48" s="2" t="s">
        <v>1778</v>
      </c>
      <c r="G48" s="2" t="s">
        <v>1717</v>
      </c>
      <c r="H48" s="2" t="s">
        <v>3494</v>
      </c>
      <c r="I48" s="3">
        <f t="shared" si="1"/>
        <v>455</v>
      </c>
    </row>
    <row r="49" spans="1:9" ht="60" x14ac:dyDescent="0.3">
      <c r="A49" s="2" t="s">
        <v>12</v>
      </c>
      <c r="B49" s="2" t="s">
        <v>8065</v>
      </c>
      <c r="C49" s="2" t="s">
        <v>7951</v>
      </c>
      <c r="D49" s="2" t="s">
        <v>9025</v>
      </c>
      <c r="E49" s="2" t="s">
        <v>3571</v>
      </c>
      <c r="F49" s="2" t="s">
        <v>1778</v>
      </c>
      <c r="G49" s="2" t="s">
        <v>1717</v>
      </c>
      <c r="H49" s="2" t="s">
        <v>3494</v>
      </c>
      <c r="I49" s="3">
        <f t="shared" si="1"/>
        <v>466</v>
      </c>
    </row>
    <row r="50" spans="1:9" ht="60" x14ac:dyDescent="0.3">
      <c r="A50" s="2" t="s">
        <v>12</v>
      </c>
      <c r="B50" s="2" t="s">
        <v>8065</v>
      </c>
      <c r="C50" s="2" t="s">
        <v>7951</v>
      </c>
      <c r="D50" s="2" t="s">
        <v>9025</v>
      </c>
      <c r="E50" s="2" t="s">
        <v>3571</v>
      </c>
      <c r="F50" s="2" t="s">
        <v>1778</v>
      </c>
      <c r="G50" s="2" t="s">
        <v>1717</v>
      </c>
      <c r="H50" s="2" t="s">
        <v>3494</v>
      </c>
      <c r="I50" s="3">
        <f t="shared" si="1"/>
        <v>466</v>
      </c>
    </row>
    <row r="51" spans="1:9" ht="60" x14ac:dyDescent="0.3">
      <c r="A51" s="2" t="s">
        <v>12</v>
      </c>
      <c r="B51" s="2" t="s">
        <v>8099</v>
      </c>
      <c r="C51" s="2" t="s">
        <v>8100</v>
      </c>
      <c r="D51" s="2" t="s">
        <v>9026</v>
      </c>
      <c r="E51" s="2" t="s">
        <v>8101</v>
      </c>
      <c r="F51" s="2" t="s">
        <v>4117</v>
      </c>
      <c r="G51" s="2" t="s">
        <v>350</v>
      </c>
      <c r="H51" s="2" t="s">
        <v>3494</v>
      </c>
      <c r="I51" s="3">
        <f t="shared" si="1"/>
        <v>475</v>
      </c>
    </row>
    <row r="52" spans="1:9" ht="60" x14ac:dyDescent="0.3">
      <c r="A52" s="2" t="s">
        <v>12</v>
      </c>
      <c r="B52" s="2" t="s">
        <v>8099</v>
      </c>
      <c r="C52" s="2" t="s">
        <v>8100</v>
      </c>
      <c r="D52" s="2" t="s">
        <v>9026</v>
      </c>
      <c r="E52" s="2" t="s">
        <v>8101</v>
      </c>
      <c r="F52" s="2" t="s">
        <v>4117</v>
      </c>
      <c r="G52" s="2" t="s">
        <v>350</v>
      </c>
      <c r="H52" s="2" t="s">
        <v>3494</v>
      </c>
      <c r="I52" s="3">
        <f t="shared" si="1"/>
        <v>475</v>
      </c>
    </row>
    <row r="53" spans="1:9" ht="60" x14ac:dyDescent="0.3">
      <c r="A53" s="2" t="s">
        <v>12</v>
      </c>
      <c r="B53" s="2" t="s">
        <v>8155</v>
      </c>
      <c r="C53" s="2" t="s">
        <v>8000</v>
      </c>
      <c r="D53" s="2" t="s">
        <v>8691</v>
      </c>
      <c r="E53" s="2" t="s">
        <v>3545</v>
      </c>
      <c r="F53" s="2"/>
      <c r="G53" s="2" t="s">
        <v>1717</v>
      </c>
      <c r="H53" s="2" t="s">
        <v>3494</v>
      </c>
      <c r="I53" s="3">
        <f t="shared" si="1"/>
        <v>496</v>
      </c>
    </row>
    <row r="54" spans="1:9" ht="60" x14ac:dyDescent="0.3">
      <c r="A54" s="2" t="s">
        <v>12</v>
      </c>
      <c r="B54" s="2" t="s">
        <v>8155</v>
      </c>
      <c r="C54" s="2" t="s">
        <v>8000</v>
      </c>
      <c r="D54" s="2" t="s">
        <v>8691</v>
      </c>
      <c r="E54" s="2" t="s">
        <v>3545</v>
      </c>
      <c r="F54" s="2"/>
      <c r="G54" s="2" t="s">
        <v>1717</v>
      </c>
      <c r="H54" s="2" t="s">
        <v>3494</v>
      </c>
      <c r="I54" s="3">
        <f t="shared" si="1"/>
        <v>496</v>
      </c>
    </row>
    <row r="55" spans="1:9" ht="60" x14ac:dyDescent="0.3">
      <c r="A55" s="2" t="s">
        <v>12</v>
      </c>
      <c r="B55" s="2" t="s">
        <v>7715</v>
      </c>
      <c r="C55" s="2" t="s">
        <v>958</v>
      </c>
      <c r="D55" s="2" t="s">
        <v>8160</v>
      </c>
      <c r="E55" s="2" t="s">
        <v>2568</v>
      </c>
      <c r="F55" s="2"/>
      <c r="G55" s="2" t="s">
        <v>350</v>
      </c>
      <c r="H55" s="2" t="s">
        <v>3494</v>
      </c>
      <c r="I55" s="3">
        <f t="shared" si="1"/>
        <v>499</v>
      </c>
    </row>
    <row r="56" spans="1:9" ht="60" x14ac:dyDescent="0.3">
      <c r="A56" s="2" t="s">
        <v>12</v>
      </c>
      <c r="B56" s="2" t="s">
        <v>7715</v>
      </c>
      <c r="C56" s="2" t="s">
        <v>958</v>
      </c>
      <c r="D56" s="2" t="s">
        <v>8160</v>
      </c>
      <c r="E56" s="2" t="s">
        <v>2568</v>
      </c>
      <c r="F56" s="2"/>
      <c r="G56" s="2" t="s">
        <v>350</v>
      </c>
      <c r="H56" s="2" t="s">
        <v>3494</v>
      </c>
      <c r="I56" s="3">
        <f t="shared" si="1"/>
        <v>499</v>
      </c>
    </row>
    <row r="57" spans="1:9" ht="72" x14ac:dyDescent="0.3">
      <c r="A57" s="2" t="s">
        <v>12</v>
      </c>
      <c r="B57" s="2" t="s">
        <v>504</v>
      </c>
      <c r="C57" s="2" t="s">
        <v>45</v>
      </c>
      <c r="D57" s="2" t="s">
        <v>9027</v>
      </c>
      <c r="E57" s="2" t="s">
        <v>3545</v>
      </c>
      <c r="F57" s="2" t="s">
        <v>1778</v>
      </c>
      <c r="G57" s="2" t="s">
        <v>1717</v>
      </c>
      <c r="H57" s="2" t="s">
        <v>3494</v>
      </c>
      <c r="I57" s="3">
        <f t="shared" si="1"/>
        <v>504</v>
      </c>
    </row>
    <row r="58" spans="1:9" ht="72" x14ac:dyDescent="0.3">
      <c r="A58" s="2" t="s">
        <v>12</v>
      </c>
      <c r="B58" s="2" t="s">
        <v>504</v>
      </c>
      <c r="C58" s="2" t="s">
        <v>45</v>
      </c>
      <c r="D58" s="2" t="s">
        <v>9027</v>
      </c>
      <c r="E58" s="2" t="s">
        <v>3545</v>
      </c>
      <c r="F58" s="2" t="s">
        <v>1778</v>
      </c>
      <c r="G58" s="2" t="s">
        <v>1717</v>
      </c>
      <c r="H58" s="2" t="s">
        <v>3494</v>
      </c>
      <c r="I58" s="3">
        <f t="shared" si="1"/>
        <v>504</v>
      </c>
    </row>
    <row r="59" spans="1:9" ht="72" x14ac:dyDescent="0.3">
      <c r="A59" s="2" t="s">
        <v>12</v>
      </c>
      <c r="B59" s="2" t="s">
        <v>8196</v>
      </c>
      <c r="C59" s="2" t="s">
        <v>4778</v>
      </c>
      <c r="D59" s="2" t="s">
        <v>9028</v>
      </c>
      <c r="E59" s="2" t="s">
        <v>39</v>
      </c>
      <c r="F59" s="2" t="s">
        <v>3082</v>
      </c>
      <c r="G59" s="2" t="s">
        <v>1717</v>
      </c>
      <c r="H59" s="2" t="s">
        <v>3494</v>
      </c>
      <c r="I59" s="3">
        <f t="shared" si="1"/>
        <v>522</v>
      </c>
    </row>
    <row r="60" spans="1:9" ht="72" x14ac:dyDescent="0.3">
      <c r="A60" s="2" t="s">
        <v>12</v>
      </c>
      <c r="B60" s="2" t="s">
        <v>8196</v>
      </c>
      <c r="C60" s="2" t="s">
        <v>4778</v>
      </c>
      <c r="D60" s="2" t="s">
        <v>9028</v>
      </c>
      <c r="E60" s="2" t="s">
        <v>39</v>
      </c>
      <c r="F60" s="2" t="s">
        <v>3082</v>
      </c>
      <c r="G60" s="2" t="s">
        <v>1717</v>
      </c>
      <c r="H60" s="2" t="s">
        <v>3494</v>
      </c>
      <c r="I60" s="3">
        <f t="shared" si="1"/>
        <v>522</v>
      </c>
    </row>
    <row r="61" spans="1:9" ht="72" x14ac:dyDescent="0.3">
      <c r="A61" s="2" t="s">
        <v>12</v>
      </c>
      <c r="B61" s="2" t="s">
        <v>8203</v>
      </c>
      <c r="C61" s="2" t="s">
        <v>14</v>
      </c>
      <c r="D61" s="2" t="s">
        <v>9029</v>
      </c>
      <c r="E61" s="2" t="s">
        <v>6656</v>
      </c>
      <c r="F61" s="2" t="s">
        <v>1778</v>
      </c>
      <c r="G61" s="2" t="s">
        <v>1717</v>
      </c>
      <c r="H61" s="2" t="s">
        <v>3494</v>
      </c>
      <c r="I61" s="3">
        <f t="shared" si="1"/>
        <v>526</v>
      </c>
    </row>
    <row r="62" spans="1:9" ht="72" x14ac:dyDescent="0.3">
      <c r="A62" s="2" t="s">
        <v>12</v>
      </c>
      <c r="B62" s="2" t="s">
        <v>8203</v>
      </c>
      <c r="C62" s="2" t="s">
        <v>14</v>
      </c>
      <c r="D62" s="2" t="s">
        <v>9029</v>
      </c>
      <c r="E62" s="2" t="s">
        <v>6656</v>
      </c>
      <c r="F62" s="2" t="s">
        <v>1778</v>
      </c>
      <c r="G62" s="2" t="s">
        <v>1717</v>
      </c>
      <c r="H62" s="2" t="s">
        <v>3494</v>
      </c>
      <c r="I62" s="3">
        <f t="shared" si="1"/>
        <v>526</v>
      </c>
    </row>
    <row r="63" spans="1:9" ht="72" x14ac:dyDescent="0.3">
      <c r="A63" s="2" t="s">
        <v>12</v>
      </c>
      <c r="B63" s="2" t="s">
        <v>8204</v>
      </c>
      <c r="C63" s="2" t="s">
        <v>8205</v>
      </c>
      <c r="D63" s="2" t="s">
        <v>8206</v>
      </c>
      <c r="E63" s="2" t="s">
        <v>39</v>
      </c>
      <c r="F63" s="2"/>
      <c r="G63" s="2" t="s">
        <v>350</v>
      </c>
      <c r="H63" s="2" t="s">
        <v>3494</v>
      </c>
      <c r="I63" s="3">
        <f t="shared" si="1"/>
        <v>528</v>
      </c>
    </row>
    <row r="64" spans="1:9" ht="72" x14ac:dyDescent="0.3">
      <c r="A64" s="2" t="s">
        <v>12</v>
      </c>
      <c r="B64" s="2" t="s">
        <v>8204</v>
      </c>
      <c r="C64" s="2" t="s">
        <v>8205</v>
      </c>
      <c r="D64" s="2" t="s">
        <v>8206</v>
      </c>
      <c r="E64" s="2" t="s">
        <v>39</v>
      </c>
      <c r="F64" s="2"/>
      <c r="G64" s="2" t="s">
        <v>350</v>
      </c>
      <c r="H64" s="2" t="s">
        <v>3494</v>
      </c>
      <c r="I64" s="3">
        <f t="shared" si="1"/>
        <v>528</v>
      </c>
    </row>
    <row r="65" spans="1:9" ht="72" x14ac:dyDescent="0.3">
      <c r="A65" s="2" t="s">
        <v>12</v>
      </c>
      <c r="B65" s="2" t="s">
        <v>8286</v>
      </c>
      <c r="C65" s="2" t="s">
        <v>8287</v>
      </c>
      <c r="D65" s="2" t="s">
        <v>9030</v>
      </c>
      <c r="E65" s="2" t="s">
        <v>3773</v>
      </c>
      <c r="F65" s="2" t="s">
        <v>1778</v>
      </c>
      <c r="G65" s="2" t="s">
        <v>1717</v>
      </c>
      <c r="H65" s="2" t="s">
        <v>3494</v>
      </c>
      <c r="I65" s="3">
        <f t="shared" ref="I65:I128" si="2">LEN(D65)</f>
        <v>558</v>
      </c>
    </row>
    <row r="66" spans="1:9" ht="72" x14ac:dyDescent="0.3">
      <c r="A66" s="2" t="s">
        <v>12</v>
      </c>
      <c r="B66" s="2" t="s">
        <v>8286</v>
      </c>
      <c r="C66" s="2" t="s">
        <v>8287</v>
      </c>
      <c r="D66" s="2" t="s">
        <v>9030</v>
      </c>
      <c r="E66" s="2" t="s">
        <v>3773</v>
      </c>
      <c r="F66" s="2" t="s">
        <v>1778</v>
      </c>
      <c r="G66" s="2" t="s">
        <v>1717</v>
      </c>
      <c r="H66" s="2" t="s">
        <v>3494</v>
      </c>
      <c r="I66" s="3">
        <f t="shared" si="2"/>
        <v>558</v>
      </c>
    </row>
    <row r="67" spans="1:9" ht="84" x14ac:dyDescent="0.3">
      <c r="A67" s="2" t="s">
        <v>12</v>
      </c>
      <c r="B67" s="2" t="s">
        <v>8414</v>
      </c>
      <c r="C67" s="2" t="s">
        <v>181</v>
      </c>
      <c r="D67" s="2" t="s">
        <v>9031</v>
      </c>
      <c r="E67" s="2" t="s">
        <v>39</v>
      </c>
      <c r="F67" s="2" t="s">
        <v>2281</v>
      </c>
      <c r="G67" s="2" t="s">
        <v>1717</v>
      </c>
      <c r="H67" s="2" t="s">
        <v>3494</v>
      </c>
      <c r="I67" s="3">
        <f t="shared" si="2"/>
        <v>638</v>
      </c>
    </row>
    <row r="68" spans="1:9" ht="84" x14ac:dyDescent="0.3">
      <c r="A68" s="2" t="s">
        <v>12</v>
      </c>
      <c r="B68" s="2" t="s">
        <v>8414</v>
      </c>
      <c r="C68" s="2" t="s">
        <v>181</v>
      </c>
      <c r="D68" s="2" t="s">
        <v>9031</v>
      </c>
      <c r="E68" s="2" t="s">
        <v>39</v>
      </c>
      <c r="F68" s="2" t="s">
        <v>2281</v>
      </c>
      <c r="G68" s="2" t="s">
        <v>1717</v>
      </c>
      <c r="H68" s="2" t="s">
        <v>3494</v>
      </c>
      <c r="I68" s="3">
        <f t="shared" si="2"/>
        <v>638</v>
      </c>
    </row>
    <row r="69" spans="1:9" ht="96" x14ac:dyDescent="0.3">
      <c r="A69" s="2" t="s">
        <v>12</v>
      </c>
      <c r="B69" s="2" t="s">
        <v>8512</v>
      </c>
      <c r="C69" s="2" t="s">
        <v>8513</v>
      </c>
      <c r="D69" s="2" t="s">
        <v>9032</v>
      </c>
      <c r="E69" s="2" t="s">
        <v>39</v>
      </c>
      <c r="F69" s="2" t="s">
        <v>1778</v>
      </c>
      <c r="G69" s="2" t="s">
        <v>1717</v>
      </c>
      <c r="H69" s="2" t="s">
        <v>3494</v>
      </c>
      <c r="I69" s="3">
        <f t="shared" si="2"/>
        <v>760</v>
      </c>
    </row>
    <row r="70" spans="1:9" ht="96" x14ac:dyDescent="0.3">
      <c r="A70" s="2" t="s">
        <v>12</v>
      </c>
      <c r="B70" s="2" t="s">
        <v>8512</v>
      </c>
      <c r="C70" s="2" t="s">
        <v>8513</v>
      </c>
      <c r="D70" s="2" t="s">
        <v>9032</v>
      </c>
      <c r="E70" s="2" t="s">
        <v>39</v>
      </c>
      <c r="F70" s="2" t="s">
        <v>1778</v>
      </c>
      <c r="G70" s="2" t="s">
        <v>1717</v>
      </c>
      <c r="H70" s="2" t="s">
        <v>3494</v>
      </c>
      <c r="I70" s="3">
        <f t="shared" si="2"/>
        <v>760</v>
      </c>
    </row>
    <row r="71" spans="1:9" x14ac:dyDescent="0.3">
      <c r="A71" s="2" t="s">
        <v>12</v>
      </c>
      <c r="B71" s="2" t="s">
        <v>83</v>
      </c>
      <c r="C71" s="2" t="s">
        <v>84</v>
      </c>
      <c r="D71" s="2" t="s">
        <v>85</v>
      </c>
      <c r="E71" s="2"/>
      <c r="F71" s="2"/>
      <c r="G71" s="2"/>
      <c r="H71" s="2" t="s">
        <v>86</v>
      </c>
      <c r="I71" s="3">
        <f t="shared" si="2"/>
        <v>14</v>
      </c>
    </row>
    <row r="72" spans="1:9" x14ac:dyDescent="0.3">
      <c r="A72" s="2" t="s">
        <v>12</v>
      </c>
      <c r="B72" s="2" t="s">
        <v>119</v>
      </c>
      <c r="C72" s="2" t="s">
        <v>84</v>
      </c>
      <c r="D72" s="2" t="s">
        <v>120</v>
      </c>
      <c r="E72" s="2"/>
      <c r="F72" s="2"/>
      <c r="G72" s="2"/>
      <c r="H72" s="2" t="s">
        <v>86</v>
      </c>
      <c r="I72" s="3">
        <f t="shared" si="2"/>
        <v>19</v>
      </c>
    </row>
    <row r="73" spans="1:9" ht="36" x14ac:dyDescent="0.3">
      <c r="A73" s="2" t="s">
        <v>12</v>
      </c>
      <c r="B73" s="2" t="s">
        <v>6332</v>
      </c>
      <c r="C73" s="2" t="s">
        <v>84</v>
      </c>
      <c r="D73" s="2" t="s">
        <v>9033</v>
      </c>
      <c r="E73" s="2"/>
      <c r="F73" s="2" t="s">
        <v>1778</v>
      </c>
      <c r="G73" s="2" t="s">
        <v>1717</v>
      </c>
      <c r="H73" s="2" t="s">
        <v>86</v>
      </c>
      <c r="I73" s="3">
        <f t="shared" si="2"/>
        <v>212</v>
      </c>
    </row>
    <row r="74" spans="1:9" x14ac:dyDescent="0.3">
      <c r="A74" s="2" t="s">
        <v>12</v>
      </c>
      <c r="B74" s="2" t="s">
        <v>2471</v>
      </c>
      <c r="C74" s="2"/>
      <c r="D74" s="2" t="s">
        <v>2472</v>
      </c>
      <c r="E74" s="2" t="s">
        <v>39</v>
      </c>
      <c r="F74" s="2"/>
      <c r="G74" s="2"/>
      <c r="H74" s="2" t="s">
        <v>646</v>
      </c>
      <c r="I74" s="3">
        <f t="shared" si="2"/>
        <v>82</v>
      </c>
    </row>
    <row r="75" spans="1:9" x14ac:dyDescent="0.3">
      <c r="A75" s="2" t="s">
        <v>12</v>
      </c>
      <c r="B75" s="2" t="s">
        <v>2878</v>
      </c>
      <c r="C75" s="2" t="s">
        <v>2879</v>
      </c>
      <c r="D75" s="2" t="s">
        <v>2880</v>
      </c>
      <c r="E75" s="2"/>
      <c r="F75" s="2"/>
      <c r="G75" s="2"/>
      <c r="H75" s="2" t="s">
        <v>646</v>
      </c>
      <c r="I75" s="3">
        <f t="shared" si="2"/>
        <v>89</v>
      </c>
    </row>
    <row r="76" spans="1:9" x14ac:dyDescent="0.3">
      <c r="A76" s="2" t="s">
        <v>12</v>
      </c>
      <c r="B76" s="2" t="s">
        <v>491</v>
      </c>
      <c r="C76" s="2" t="s">
        <v>3264</v>
      </c>
      <c r="D76" s="2" t="s">
        <v>3265</v>
      </c>
      <c r="E76" s="2" t="s">
        <v>39</v>
      </c>
      <c r="F76" s="2"/>
      <c r="G76" s="2"/>
      <c r="H76" s="2" t="s">
        <v>646</v>
      </c>
      <c r="I76" s="3">
        <f t="shared" si="2"/>
        <v>97</v>
      </c>
    </row>
    <row r="77" spans="1:9" x14ac:dyDescent="0.3">
      <c r="A77" s="2" t="s">
        <v>12</v>
      </c>
      <c r="B77" s="2" t="s">
        <v>3397</v>
      </c>
      <c r="C77" s="2" t="s">
        <v>2879</v>
      </c>
      <c r="D77" s="2" t="s">
        <v>3398</v>
      </c>
      <c r="E77" s="2" t="s">
        <v>39</v>
      </c>
      <c r="F77" s="2"/>
      <c r="G77" s="2"/>
      <c r="H77" s="2" t="s">
        <v>646</v>
      </c>
      <c r="I77" s="3">
        <f t="shared" si="2"/>
        <v>100</v>
      </c>
    </row>
    <row r="78" spans="1:9" x14ac:dyDescent="0.3">
      <c r="A78" s="2" t="s">
        <v>12</v>
      </c>
      <c r="B78" s="2" t="s">
        <v>2878</v>
      </c>
      <c r="C78" s="2" t="s">
        <v>2879</v>
      </c>
      <c r="D78" s="2" t="s">
        <v>3447</v>
      </c>
      <c r="E78" s="2" t="s">
        <v>39</v>
      </c>
      <c r="F78" s="2"/>
      <c r="G78" s="2"/>
      <c r="H78" s="2" t="s">
        <v>646</v>
      </c>
      <c r="I78" s="3">
        <f t="shared" si="2"/>
        <v>101</v>
      </c>
    </row>
    <row r="79" spans="1:9" x14ac:dyDescent="0.3">
      <c r="A79" s="2" t="s">
        <v>12</v>
      </c>
      <c r="B79" s="2" t="s">
        <v>3486</v>
      </c>
      <c r="C79" s="2"/>
      <c r="D79" s="2" t="s">
        <v>3487</v>
      </c>
      <c r="E79" s="2"/>
      <c r="F79" s="2"/>
      <c r="G79" s="2"/>
      <c r="H79" s="2" t="s">
        <v>646</v>
      </c>
      <c r="I79" s="3">
        <f t="shared" si="2"/>
        <v>102</v>
      </c>
    </row>
    <row r="80" spans="1:9" ht="24" x14ac:dyDescent="0.3">
      <c r="A80" s="2" t="s">
        <v>12</v>
      </c>
      <c r="B80" s="2" t="s">
        <v>3712</v>
      </c>
      <c r="C80" s="2" t="s">
        <v>3713</v>
      </c>
      <c r="D80" s="2" t="s">
        <v>3714</v>
      </c>
      <c r="E80" s="2" t="s">
        <v>39</v>
      </c>
      <c r="F80" s="2"/>
      <c r="G80" s="2"/>
      <c r="H80" s="2" t="s">
        <v>646</v>
      </c>
      <c r="I80" s="3">
        <f t="shared" si="2"/>
        <v>107</v>
      </c>
    </row>
    <row r="81" spans="1:9" ht="24" x14ac:dyDescent="0.3">
      <c r="A81" s="2" t="s">
        <v>12</v>
      </c>
      <c r="B81" s="2" t="s">
        <v>4251</v>
      </c>
      <c r="C81" s="2" t="s">
        <v>4252</v>
      </c>
      <c r="D81" s="2" t="s">
        <v>4253</v>
      </c>
      <c r="E81" s="2"/>
      <c r="F81" s="2"/>
      <c r="G81" s="2"/>
      <c r="H81" s="2" t="s">
        <v>646</v>
      </c>
      <c r="I81" s="3">
        <f t="shared" si="2"/>
        <v>121</v>
      </c>
    </row>
    <row r="82" spans="1:9" ht="24" x14ac:dyDescent="0.3">
      <c r="A82" s="2" t="s">
        <v>12</v>
      </c>
      <c r="B82" s="2" t="s">
        <v>4372</v>
      </c>
      <c r="C82" s="2" t="s">
        <v>4373</v>
      </c>
      <c r="D82" s="2" t="s">
        <v>4374</v>
      </c>
      <c r="E82" s="2" t="s">
        <v>39</v>
      </c>
      <c r="F82" s="2"/>
      <c r="G82" s="2"/>
      <c r="H82" s="2" t="s">
        <v>646</v>
      </c>
      <c r="I82" s="3">
        <f t="shared" si="2"/>
        <v>125</v>
      </c>
    </row>
    <row r="83" spans="1:9" ht="24" x14ac:dyDescent="0.3">
      <c r="A83" s="2" t="s">
        <v>12</v>
      </c>
      <c r="B83" s="2" t="s">
        <v>1537</v>
      </c>
      <c r="C83" s="2" t="s">
        <v>4406</v>
      </c>
      <c r="D83" s="2" t="s">
        <v>4407</v>
      </c>
      <c r="E83" s="2" t="s">
        <v>39</v>
      </c>
      <c r="F83" s="2"/>
      <c r="G83" s="2"/>
      <c r="H83" s="2" t="s">
        <v>646</v>
      </c>
      <c r="I83" s="3">
        <f t="shared" si="2"/>
        <v>126</v>
      </c>
    </row>
    <row r="84" spans="1:9" ht="24" x14ac:dyDescent="0.3">
      <c r="A84" s="2" t="s">
        <v>12</v>
      </c>
      <c r="B84" s="2" t="s">
        <v>3380</v>
      </c>
      <c r="C84" s="2" t="s">
        <v>500</v>
      </c>
      <c r="D84" s="2" t="s">
        <v>4466</v>
      </c>
      <c r="E84" s="2" t="s">
        <v>39</v>
      </c>
      <c r="F84" s="2"/>
      <c r="G84" s="2"/>
      <c r="H84" s="2" t="s">
        <v>646</v>
      </c>
      <c r="I84" s="3">
        <f t="shared" si="2"/>
        <v>128</v>
      </c>
    </row>
    <row r="85" spans="1:9" ht="24" x14ac:dyDescent="0.3">
      <c r="A85" s="2" t="s">
        <v>12</v>
      </c>
      <c r="B85" s="2" t="s">
        <v>4574</v>
      </c>
      <c r="C85" s="2" t="s">
        <v>3656</v>
      </c>
      <c r="D85" s="2" t="s">
        <v>4575</v>
      </c>
      <c r="E85" s="2"/>
      <c r="F85" s="2"/>
      <c r="G85" s="2"/>
      <c r="H85" s="2" t="s">
        <v>646</v>
      </c>
      <c r="I85" s="3">
        <f t="shared" si="2"/>
        <v>131</v>
      </c>
    </row>
    <row r="86" spans="1:9" ht="24" x14ac:dyDescent="0.3">
      <c r="A86" s="2" t="s">
        <v>12</v>
      </c>
      <c r="B86" s="2" t="s">
        <v>4609</v>
      </c>
      <c r="C86" s="2" t="s">
        <v>4252</v>
      </c>
      <c r="D86" s="2" t="s">
        <v>4610</v>
      </c>
      <c r="E86" s="2"/>
      <c r="F86" s="2"/>
      <c r="G86" s="2"/>
      <c r="H86" s="2" t="s">
        <v>646</v>
      </c>
      <c r="I86" s="3">
        <f t="shared" si="2"/>
        <v>132</v>
      </c>
    </row>
    <row r="87" spans="1:9" ht="24" x14ac:dyDescent="0.3">
      <c r="A87" s="2" t="s">
        <v>12</v>
      </c>
      <c r="B87" s="2" t="s">
        <v>5308</v>
      </c>
      <c r="C87" s="2" t="s">
        <v>5309</v>
      </c>
      <c r="D87" s="2" t="s">
        <v>5310</v>
      </c>
      <c r="E87" s="2" t="s">
        <v>39</v>
      </c>
      <c r="F87" s="2"/>
      <c r="G87" s="2"/>
      <c r="H87" s="2" t="s">
        <v>646</v>
      </c>
      <c r="I87" s="3">
        <f t="shared" si="2"/>
        <v>155</v>
      </c>
    </row>
    <row r="88" spans="1:9" ht="24" x14ac:dyDescent="0.3">
      <c r="A88" s="2" t="s">
        <v>12</v>
      </c>
      <c r="B88" s="2" t="s">
        <v>5403</v>
      </c>
      <c r="C88" s="2" t="s">
        <v>2879</v>
      </c>
      <c r="D88" s="2" t="s">
        <v>5404</v>
      </c>
      <c r="E88" s="2" t="s">
        <v>39</v>
      </c>
      <c r="F88" s="2"/>
      <c r="G88" s="2"/>
      <c r="H88" s="2" t="s">
        <v>646</v>
      </c>
      <c r="I88" s="3">
        <f t="shared" si="2"/>
        <v>159</v>
      </c>
    </row>
    <row r="89" spans="1:9" ht="24" x14ac:dyDescent="0.3">
      <c r="A89" s="2" t="s">
        <v>12</v>
      </c>
      <c r="B89" s="2" t="s">
        <v>5422</v>
      </c>
      <c r="C89" s="2"/>
      <c r="D89" s="2" t="s">
        <v>5423</v>
      </c>
      <c r="E89" s="2" t="s">
        <v>1510</v>
      </c>
      <c r="F89" s="2"/>
      <c r="G89" s="2"/>
      <c r="H89" s="2" t="s">
        <v>646</v>
      </c>
      <c r="I89" s="3">
        <f t="shared" si="2"/>
        <v>160</v>
      </c>
    </row>
    <row r="90" spans="1:9" ht="24" x14ac:dyDescent="0.3">
      <c r="A90" s="2" t="s">
        <v>12</v>
      </c>
      <c r="B90" s="2" t="s">
        <v>5491</v>
      </c>
      <c r="C90" s="2" t="s">
        <v>4778</v>
      </c>
      <c r="D90" s="2" t="s">
        <v>5492</v>
      </c>
      <c r="E90" s="2" t="s">
        <v>39</v>
      </c>
      <c r="F90" s="2"/>
      <c r="G90" s="2"/>
      <c r="H90" s="2" t="s">
        <v>646</v>
      </c>
      <c r="I90" s="3">
        <f t="shared" si="2"/>
        <v>164</v>
      </c>
    </row>
    <row r="91" spans="1:9" ht="24" x14ac:dyDescent="0.3">
      <c r="A91" s="2" t="s">
        <v>12</v>
      </c>
      <c r="B91" s="2" t="s">
        <v>208</v>
      </c>
      <c r="C91" s="2" t="s">
        <v>5900</v>
      </c>
      <c r="D91" s="2" t="s">
        <v>5901</v>
      </c>
      <c r="E91" s="2" t="s">
        <v>39</v>
      </c>
      <c r="F91" s="2"/>
      <c r="G91" s="2"/>
      <c r="H91" s="2" t="s">
        <v>646</v>
      </c>
      <c r="I91" s="3">
        <f t="shared" si="2"/>
        <v>184</v>
      </c>
    </row>
    <row r="92" spans="1:9" ht="24" x14ac:dyDescent="0.3">
      <c r="A92" s="2" t="s">
        <v>12</v>
      </c>
      <c r="B92" s="2" t="s">
        <v>5919</v>
      </c>
      <c r="C92" s="2" t="s">
        <v>5920</v>
      </c>
      <c r="D92" s="2" t="s">
        <v>5921</v>
      </c>
      <c r="E92" s="2"/>
      <c r="F92" s="2"/>
      <c r="G92" s="2"/>
      <c r="H92" s="2" t="s">
        <v>646</v>
      </c>
      <c r="I92" s="3">
        <f t="shared" si="2"/>
        <v>185</v>
      </c>
    </row>
    <row r="93" spans="1:9" ht="24" x14ac:dyDescent="0.3">
      <c r="A93" s="2" t="s">
        <v>12</v>
      </c>
      <c r="B93" s="2" t="s">
        <v>5993</v>
      </c>
      <c r="C93" s="2" t="s">
        <v>2879</v>
      </c>
      <c r="D93" s="2" t="s">
        <v>5994</v>
      </c>
      <c r="E93" s="2"/>
      <c r="F93" s="2"/>
      <c r="G93" s="2"/>
      <c r="H93" s="2" t="s">
        <v>646</v>
      </c>
      <c r="I93" s="3">
        <f t="shared" si="2"/>
        <v>190</v>
      </c>
    </row>
    <row r="94" spans="1:9" ht="24" x14ac:dyDescent="0.3">
      <c r="A94" s="2" t="s">
        <v>12</v>
      </c>
      <c r="B94" s="2" t="s">
        <v>6076</v>
      </c>
      <c r="C94" s="2" t="s">
        <v>6077</v>
      </c>
      <c r="D94" s="2" t="s">
        <v>6078</v>
      </c>
      <c r="E94" s="2"/>
      <c r="F94" s="2"/>
      <c r="G94" s="2"/>
      <c r="H94" s="2" t="s">
        <v>646</v>
      </c>
      <c r="I94" s="3">
        <f t="shared" si="2"/>
        <v>196</v>
      </c>
    </row>
    <row r="95" spans="1:9" ht="24" x14ac:dyDescent="0.3">
      <c r="A95" s="2" t="s">
        <v>12</v>
      </c>
      <c r="B95" s="2" t="s">
        <v>6083</v>
      </c>
      <c r="C95" s="2" t="s">
        <v>5900</v>
      </c>
      <c r="D95" s="2" t="s">
        <v>6084</v>
      </c>
      <c r="E95" s="2"/>
      <c r="F95" s="2"/>
      <c r="G95" s="2"/>
      <c r="H95" s="2" t="s">
        <v>646</v>
      </c>
      <c r="I95" s="3">
        <f t="shared" si="2"/>
        <v>196</v>
      </c>
    </row>
    <row r="96" spans="1:9" ht="24" x14ac:dyDescent="0.3">
      <c r="A96" s="2" t="s">
        <v>12</v>
      </c>
      <c r="B96" s="2" t="s">
        <v>6124</v>
      </c>
      <c r="C96" s="2" t="s">
        <v>6125</v>
      </c>
      <c r="D96" s="2" t="s">
        <v>6126</v>
      </c>
      <c r="E96" s="2" t="s">
        <v>39</v>
      </c>
      <c r="F96" s="2"/>
      <c r="G96" s="2"/>
      <c r="H96" s="2" t="s">
        <v>646</v>
      </c>
      <c r="I96" s="3">
        <f t="shared" si="2"/>
        <v>199</v>
      </c>
    </row>
    <row r="97" spans="1:9" ht="24" x14ac:dyDescent="0.3">
      <c r="A97" s="2" t="s">
        <v>12</v>
      </c>
      <c r="B97" s="2" t="s">
        <v>6268</v>
      </c>
      <c r="C97" s="2" t="s">
        <v>5920</v>
      </c>
      <c r="D97" s="2" t="s">
        <v>6269</v>
      </c>
      <c r="E97" s="2" t="s">
        <v>39</v>
      </c>
      <c r="F97" s="2"/>
      <c r="G97" s="2"/>
      <c r="H97" s="2" t="s">
        <v>646</v>
      </c>
      <c r="I97" s="3">
        <f t="shared" si="2"/>
        <v>209</v>
      </c>
    </row>
    <row r="98" spans="1:9" ht="36" x14ac:dyDescent="0.3">
      <c r="A98" s="2" t="s">
        <v>12</v>
      </c>
      <c r="B98" s="2" t="s">
        <v>6302</v>
      </c>
      <c r="C98" s="2" t="s">
        <v>5920</v>
      </c>
      <c r="D98" s="2" t="s">
        <v>6303</v>
      </c>
      <c r="E98" s="2" t="s">
        <v>39</v>
      </c>
      <c r="F98" s="2"/>
      <c r="G98" s="2"/>
      <c r="H98" s="2" t="s">
        <v>646</v>
      </c>
      <c r="I98" s="3">
        <f t="shared" si="2"/>
        <v>211</v>
      </c>
    </row>
    <row r="99" spans="1:9" ht="36" x14ac:dyDescent="0.3">
      <c r="A99" s="2" t="s">
        <v>12</v>
      </c>
      <c r="B99" s="2" t="s">
        <v>6403</v>
      </c>
      <c r="C99" s="2" t="s">
        <v>6404</v>
      </c>
      <c r="D99" s="2" t="s">
        <v>6405</v>
      </c>
      <c r="E99" s="2"/>
      <c r="F99" s="2"/>
      <c r="G99" s="2"/>
      <c r="H99" s="2" t="s">
        <v>646</v>
      </c>
      <c r="I99" s="3">
        <f t="shared" si="2"/>
        <v>219</v>
      </c>
    </row>
    <row r="100" spans="1:9" ht="36" x14ac:dyDescent="0.3">
      <c r="A100" s="2" t="s">
        <v>12</v>
      </c>
      <c r="B100" s="2" t="s">
        <v>6521</v>
      </c>
      <c r="C100" s="2" t="s">
        <v>6522</v>
      </c>
      <c r="D100" s="2" t="s">
        <v>9034</v>
      </c>
      <c r="E100" s="2" t="s">
        <v>39</v>
      </c>
      <c r="F100" s="2" t="s">
        <v>350</v>
      </c>
      <c r="G100" s="2" t="s">
        <v>1717</v>
      </c>
      <c r="H100" s="2" t="s">
        <v>646</v>
      </c>
      <c r="I100" s="3">
        <f t="shared" si="2"/>
        <v>227</v>
      </c>
    </row>
    <row r="101" spans="1:9" ht="36" x14ac:dyDescent="0.3">
      <c r="A101" s="2" t="s">
        <v>12</v>
      </c>
      <c r="B101" s="2" t="s">
        <v>6772</v>
      </c>
      <c r="C101" s="2" t="s">
        <v>6773</v>
      </c>
      <c r="D101" s="2" t="s">
        <v>6774</v>
      </c>
      <c r="E101" s="2"/>
      <c r="F101" s="2"/>
      <c r="G101" s="2"/>
      <c r="H101" s="2" t="s">
        <v>646</v>
      </c>
      <c r="I101" s="3">
        <f t="shared" si="2"/>
        <v>253</v>
      </c>
    </row>
    <row r="102" spans="1:9" ht="36" x14ac:dyDescent="0.3">
      <c r="A102" s="2" t="s">
        <v>12</v>
      </c>
      <c r="B102" s="2" t="s">
        <v>6807</v>
      </c>
      <c r="C102" s="2" t="s">
        <v>6808</v>
      </c>
      <c r="D102" s="2" t="s">
        <v>6809</v>
      </c>
      <c r="E102" s="2" t="s">
        <v>39</v>
      </c>
      <c r="F102" s="2"/>
      <c r="G102" s="2"/>
      <c r="H102" s="2" t="s">
        <v>646</v>
      </c>
      <c r="I102" s="3">
        <f t="shared" si="2"/>
        <v>255</v>
      </c>
    </row>
    <row r="103" spans="1:9" ht="36" x14ac:dyDescent="0.3">
      <c r="A103" s="2" t="s">
        <v>12</v>
      </c>
      <c r="B103" s="2" t="s">
        <v>6991</v>
      </c>
      <c r="C103" s="2" t="s">
        <v>240</v>
      </c>
      <c r="D103" s="2" t="s">
        <v>6992</v>
      </c>
      <c r="E103" s="2" t="s">
        <v>2693</v>
      </c>
      <c r="F103" s="2"/>
      <c r="G103" s="2" t="s">
        <v>1717</v>
      </c>
      <c r="H103" s="2" t="s">
        <v>646</v>
      </c>
      <c r="I103" s="3">
        <f t="shared" si="2"/>
        <v>271</v>
      </c>
    </row>
    <row r="104" spans="1:9" ht="36" x14ac:dyDescent="0.3">
      <c r="A104" s="2" t="s">
        <v>12</v>
      </c>
      <c r="B104" s="2" t="s">
        <v>7107</v>
      </c>
      <c r="C104" s="2" t="s">
        <v>5920</v>
      </c>
      <c r="D104" s="2" t="s">
        <v>7108</v>
      </c>
      <c r="E104" s="2" t="s">
        <v>39</v>
      </c>
      <c r="F104" s="2"/>
      <c r="G104" s="2"/>
      <c r="H104" s="2" t="s">
        <v>646</v>
      </c>
      <c r="I104" s="3">
        <f t="shared" si="2"/>
        <v>288</v>
      </c>
    </row>
    <row r="105" spans="1:9" ht="36" x14ac:dyDescent="0.3">
      <c r="A105" s="2" t="s">
        <v>12</v>
      </c>
      <c r="B105" s="2" t="s">
        <v>7226</v>
      </c>
      <c r="C105" s="2" t="s">
        <v>5920</v>
      </c>
      <c r="D105" s="2" t="s">
        <v>9035</v>
      </c>
      <c r="E105" s="2" t="s">
        <v>2524</v>
      </c>
      <c r="F105" s="2" t="s">
        <v>1778</v>
      </c>
      <c r="G105" s="2" t="s">
        <v>1717</v>
      </c>
      <c r="H105" s="2" t="s">
        <v>646</v>
      </c>
      <c r="I105" s="3">
        <f t="shared" si="2"/>
        <v>302</v>
      </c>
    </row>
    <row r="106" spans="1:9" ht="48" x14ac:dyDescent="0.3">
      <c r="A106" s="2" t="s">
        <v>12</v>
      </c>
      <c r="B106" s="2" t="s">
        <v>5877</v>
      </c>
      <c r="C106" s="2" t="s">
        <v>2879</v>
      </c>
      <c r="D106" s="2" t="s">
        <v>7254</v>
      </c>
      <c r="E106" s="2"/>
      <c r="F106" s="2"/>
      <c r="G106" s="2"/>
      <c r="H106" s="2" t="s">
        <v>646</v>
      </c>
      <c r="I106" s="3">
        <f t="shared" si="2"/>
        <v>307</v>
      </c>
    </row>
    <row r="107" spans="1:9" ht="48" x14ac:dyDescent="0.3">
      <c r="A107" s="2" t="s">
        <v>12</v>
      </c>
      <c r="B107" s="2" t="s">
        <v>7112</v>
      </c>
      <c r="C107" s="2" t="s">
        <v>81</v>
      </c>
      <c r="D107" s="2" t="s">
        <v>7326</v>
      </c>
      <c r="E107" s="2" t="s">
        <v>39</v>
      </c>
      <c r="F107" s="2"/>
      <c r="G107" s="2" t="s">
        <v>1717</v>
      </c>
      <c r="H107" s="2" t="s">
        <v>646</v>
      </c>
      <c r="I107" s="3">
        <f t="shared" si="2"/>
        <v>315</v>
      </c>
    </row>
    <row r="108" spans="1:9" ht="48" x14ac:dyDescent="0.3">
      <c r="A108" s="2" t="s">
        <v>12</v>
      </c>
      <c r="B108" s="2" t="s">
        <v>7112</v>
      </c>
      <c r="C108" s="2" t="s">
        <v>81</v>
      </c>
      <c r="D108" s="2" t="s">
        <v>7346</v>
      </c>
      <c r="E108" s="2" t="s">
        <v>39</v>
      </c>
      <c r="F108" s="2"/>
      <c r="G108" s="2" t="s">
        <v>1717</v>
      </c>
      <c r="H108" s="2" t="s">
        <v>646</v>
      </c>
      <c r="I108" s="3">
        <f t="shared" si="2"/>
        <v>318</v>
      </c>
    </row>
    <row r="109" spans="1:9" ht="48" x14ac:dyDescent="0.3">
      <c r="A109" s="2" t="s">
        <v>12</v>
      </c>
      <c r="B109" s="2" t="s">
        <v>7375</v>
      </c>
      <c r="C109" s="2"/>
      <c r="D109" s="2" t="s">
        <v>9036</v>
      </c>
      <c r="E109" s="2" t="s">
        <v>5335</v>
      </c>
      <c r="F109" s="2" t="s">
        <v>1778</v>
      </c>
      <c r="G109" s="2" t="s">
        <v>1717</v>
      </c>
      <c r="H109" s="2" t="s">
        <v>646</v>
      </c>
      <c r="I109" s="3">
        <f t="shared" si="2"/>
        <v>319</v>
      </c>
    </row>
    <row r="110" spans="1:9" ht="48" x14ac:dyDescent="0.3">
      <c r="A110" s="2" t="s">
        <v>12</v>
      </c>
      <c r="B110" s="2" t="s">
        <v>7731</v>
      </c>
      <c r="C110" s="2" t="s">
        <v>5366</v>
      </c>
      <c r="D110" s="2" t="s">
        <v>7732</v>
      </c>
      <c r="E110" s="2"/>
      <c r="F110" s="2"/>
      <c r="G110" s="2" t="s">
        <v>350</v>
      </c>
      <c r="H110" s="2" t="s">
        <v>646</v>
      </c>
      <c r="I110" s="3">
        <f t="shared" si="2"/>
        <v>382</v>
      </c>
    </row>
    <row r="111" spans="1:9" ht="60" x14ac:dyDescent="0.3">
      <c r="A111" s="2" t="s">
        <v>12</v>
      </c>
      <c r="B111" s="2" t="s">
        <v>7905</v>
      </c>
      <c r="C111" s="2" t="s">
        <v>2879</v>
      </c>
      <c r="D111" s="2" t="s">
        <v>7906</v>
      </c>
      <c r="E111" s="2" t="s">
        <v>39</v>
      </c>
      <c r="F111" s="2"/>
      <c r="G111" s="2"/>
      <c r="H111" s="2" t="s">
        <v>646</v>
      </c>
      <c r="I111" s="3">
        <f t="shared" si="2"/>
        <v>425</v>
      </c>
    </row>
    <row r="112" spans="1:9" ht="60" x14ac:dyDescent="0.3">
      <c r="A112" s="2" t="s">
        <v>12</v>
      </c>
      <c r="B112" s="2" t="s">
        <v>7911</v>
      </c>
      <c r="C112" s="2"/>
      <c r="D112" s="2" t="s">
        <v>7912</v>
      </c>
      <c r="E112" s="2" t="s">
        <v>39</v>
      </c>
      <c r="F112" s="2"/>
      <c r="G112" s="2"/>
      <c r="H112" s="2" t="s">
        <v>646</v>
      </c>
      <c r="I112" s="3">
        <f t="shared" si="2"/>
        <v>428</v>
      </c>
    </row>
    <row r="113" spans="1:9" ht="60" x14ac:dyDescent="0.3">
      <c r="A113" s="2" t="s">
        <v>12</v>
      </c>
      <c r="B113" s="2" t="s">
        <v>7983</v>
      </c>
      <c r="C113" s="2" t="s">
        <v>7984</v>
      </c>
      <c r="D113" s="2" t="s">
        <v>9037</v>
      </c>
      <c r="E113" s="2"/>
      <c r="F113" s="2" t="s">
        <v>1778</v>
      </c>
      <c r="G113" s="2" t="s">
        <v>1717</v>
      </c>
      <c r="H113" s="2" t="s">
        <v>646</v>
      </c>
      <c r="I113" s="3">
        <f t="shared" si="2"/>
        <v>441</v>
      </c>
    </row>
    <row r="114" spans="1:9" ht="60" x14ac:dyDescent="0.3">
      <c r="A114" s="2" t="s">
        <v>12</v>
      </c>
      <c r="B114" s="2" t="s">
        <v>8072</v>
      </c>
      <c r="C114" s="2" t="s">
        <v>2879</v>
      </c>
      <c r="D114" s="2" t="s">
        <v>8073</v>
      </c>
      <c r="E114" s="2" t="s">
        <v>39</v>
      </c>
      <c r="F114" s="2"/>
      <c r="G114" s="2"/>
      <c r="H114" s="2" t="s">
        <v>646</v>
      </c>
      <c r="I114" s="3">
        <f t="shared" si="2"/>
        <v>469</v>
      </c>
    </row>
    <row r="115" spans="1:9" ht="84" x14ac:dyDescent="0.3">
      <c r="A115" s="2" t="s">
        <v>12</v>
      </c>
      <c r="B115" s="2" t="s">
        <v>4457</v>
      </c>
      <c r="C115" s="2" t="s">
        <v>8444</v>
      </c>
      <c r="D115" s="2" t="s">
        <v>8445</v>
      </c>
      <c r="E115" s="2"/>
      <c r="F115" s="2"/>
      <c r="G115" s="2"/>
      <c r="H115" s="2" t="s">
        <v>646</v>
      </c>
      <c r="I115" s="3">
        <f t="shared" si="2"/>
        <v>671</v>
      </c>
    </row>
    <row r="116" spans="1:9" ht="96" x14ac:dyDescent="0.3">
      <c r="A116" s="2" t="s">
        <v>12</v>
      </c>
      <c r="B116" s="2" t="s">
        <v>8503</v>
      </c>
      <c r="C116" s="2" t="s">
        <v>7705</v>
      </c>
      <c r="D116" s="2" t="s">
        <v>8504</v>
      </c>
      <c r="E116" s="2" t="s">
        <v>39</v>
      </c>
      <c r="F116" s="2"/>
      <c r="G116" s="2"/>
      <c r="H116" s="2" t="s">
        <v>646</v>
      </c>
      <c r="I116" s="3">
        <f t="shared" si="2"/>
        <v>752</v>
      </c>
    </row>
    <row r="117" spans="1:9" ht="120" x14ac:dyDescent="0.3">
      <c r="A117" s="2" t="s">
        <v>12</v>
      </c>
      <c r="B117" s="2" t="s">
        <v>8576</v>
      </c>
      <c r="C117" s="2" t="s">
        <v>8577</v>
      </c>
      <c r="D117" s="2" t="s">
        <v>9038</v>
      </c>
      <c r="E117" s="2" t="s">
        <v>39</v>
      </c>
      <c r="F117" s="2" t="s">
        <v>4117</v>
      </c>
      <c r="G117" s="2" t="s">
        <v>1717</v>
      </c>
      <c r="H117" s="2" t="s">
        <v>646</v>
      </c>
      <c r="I117" s="3">
        <f t="shared" si="2"/>
        <v>907</v>
      </c>
    </row>
    <row r="118" spans="1:9" ht="120" x14ac:dyDescent="0.3">
      <c r="A118" s="2" t="s">
        <v>12</v>
      </c>
      <c r="B118" s="2" t="s">
        <v>8590</v>
      </c>
      <c r="C118" s="2" t="s">
        <v>8591</v>
      </c>
      <c r="D118" s="2" t="s">
        <v>8592</v>
      </c>
      <c r="E118" s="2" t="s">
        <v>39</v>
      </c>
      <c r="F118" s="2"/>
      <c r="G118" s="2"/>
      <c r="H118" s="2" t="s">
        <v>646</v>
      </c>
      <c r="I118" s="3">
        <f t="shared" si="2"/>
        <v>952</v>
      </c>
    </row>
    <row r="119" spans="1:9" ht="168" x14ac:dyDescent="0.3">
      <c r="A119" s="2" t="s">
        <v>12</v>
      </c>
      <c r="B119" s="2" t="s">
        <v>8633</v>
      </c>
      <c r="C119" s="2" t="s">
        <v>8634</v>
      </c>
      <c r="D119" s="2" t="s">
        <v>9039</v>
      </c>
      <c r="E119" s="2" t="s">
        <v>39</v>
      </c>
      <c r="F119" s="2" t="s">
        <v>2281</v>
      </c>
      <c r="G119" s="2" t="s">
        <v>1717</v>
      </c>
      <c r="H119" s="2" t="s">
        <v>646</v>
      </c>
      <c r="I119" s="3">
        <f t="shared" si="2"/>
        <v>1334</v>
      </c>
    </row>
    <row r="120" spans="1:9" x14ac:dyDescent="0.3">
      <c r="A120" s="2" t="s">
        <v>12</v>
      </c>
      <c r="B120" s="2" t="s">
        <v>13</v>
      </c>
      <c r="C120" s="2" t="s">
        <v>14</v>
      </c>
      <c r="D120" s="2" t="s">
        <v>15</v>
      </c>
      <c r="E120" s="2"/>
      <c r="F120" s="2"/>
      <c r="G120" s="2"/>
      <c r="H120" s="2"/>
      <c r="I120" s="3">
        <f t="shared" si="2"/>
        <v>5</v>
      </c>
    </row>
    <row r="121" spans="1:9" x14ac:dyDescent="0.3">
      <c r="A121" s="2" t="s">
        <v>12</v>
      </c>
      <c r="B121" s="2" t="s">
        <v>34</v>
      </c>
      <c r="C121" s="2" t="s">
        <v>35</v>
      </c>
      <c r="D121" s="2" t="s">
        <v>36</v>
      </c>
      <c r="E121" s="2"/>
      <c r="F121" s="2"/>
      <c r="G121" s="2"/>
      <c r="H121" s="2"/>
      <c r="I121" s="3">
        <f t="shared" si="2"/>
        <v>10</v>
      </c>
    </row>
    <row r="122" spans="1:9" x14ac:dyDescent="0.3">
      <c r="A122" s="2" t="s">
        <v>12</v>
      </c>
      <c r="B122" s="2" t="s">
        <v>44</v>
      </c>
      <c r="C122" s="2" t="s">
        <v>45</v>
      </c>
      <c r="D122" s="2" t="s">
        <v>46</v>
      </c>
      <c r="E122" s="2"/>
      <c r="F122" s="2"/>
      <c r="G122" s="2"/>
      <c r="H122" s="2"/>
      <c r="I122" s="3">
        <f t="shared" si="2"/>
        <v>11</v>
      </c>
    </row>
    <row r="123" spans="1:9" x14ac:dyDescent="0.3">
      <c r="A123" s="2" t="s">
        <v>12</v>
      </c>
      <c r="B123" s="2" t="s">
        <v>49</v>
      </c>
      <c r="C123" s="2" t="s">
        <v>50</v>
      </c>
      <c r="D123" s="2" t="s">
        <v>51</v>
      </c>
      <c r="E123" s="2"/>
      <c r="F123" s="2"/>
      <c r="G123" s="2"/>
      <c r="H123" s="2"/>
      <c r="I123" s="3">
        <f t="shared" si="2"/>
        <v>11</v>
      </c>
    </row>
    <row r="124" spans="1:9" x14ac:dyDescent="0.3">
      <c r="A124" s="2" t="s">
        <v>12</v>
      </c>
      <c r="B124" s="2" t="s">
        <v>66</v>
      </c>
      <c r="C124" s="2" t="s">
        <v>50</v>
      </c>
      <c r="D124" s="2" t="s">
        <v>51</v>
      </c>
      <c r="E124" s="2"/>
      <c r="F124" s="2"/>
      <c r="G124" s="2"/>
      <c r="H124" s="2"/>
      <c r="I124" s="3">
        <f t="shared" si="2"/>
        <v>11</v>
      </c>
    </row>
    <row r="125" spans="1:9" x14ac:dyDescent="0.3">
      <c r="A125" s="2" t="s">
        <v>12</v>
      </c>
      <c r="B125" s="2" t="s">
        <v>63</v>
      </c>
      <c r="C125" s="2" t="s">
        <v>64</v>
      </c>
      <c r="D125" s="2" t="s">
        <v>65</v>
      </c>
      <c r="E125" s="2"/>
      <c r="F125" s="2"/>
      <c r="G125" s="2"/>
      <c r="H125" s="2"/>
      <c r="I125" s="3">
        <f t="shared" si="2"/>
        <v>12</v>
      </c>
    </row>
    <row r="126" spans="1:9" x14ac:dyDescent="0.3">
      <c r="A126" s="2" t="s">
        <v>12</v>
      </c>
      <c r="B126" s="2" t="s">
        <v>56</v>
      </c>
      <c r="C126" s="2" t="s">
        <v>57</v>
      </c>
      <c r="D126" s="2" t="s">
        <v>58</v>
      </c>
      <c r="E126" s="2"/>
      <c r="F126" s="2"/>
      <c r="G126" s="2"/>
      <c r="H126" s="2"/>
      <c r="I126" s="3">
        <f t="shared" si="2"/>
        <v>12</v>
      </c>
    </row>
    <row r="127" spans="1:9" x14ac:dyDescent="0.3">
      <c r="A127" s="2" t="s">
        <v>12</v>
      </c>
      <c r="B127" s="2" t="s">
        <v>69</v>
      </c>
      <c r="C127" s="2" t="s">
        <v>70</v>
      </c>
      <c r="D127" s="2" t="s">
        <v>71</v>
      </c>
      <c r="E127" s="2"/>
      <c r="F127" s="2"/>
      <c r="G127" s="2"/>
      <c r="H127" s="2"/>
      <c r="I127" s="3">
        <f t="shared" si="2"/>
        <v>13</v>
      </c>
    </row>
    <row r="128" spans="1:9" x14ac:dyDescent="0.3">
      <c r="A128" s="2" t="s">
        <v>12</v>
      </c>
      <c r="B128" s="2" t="s">
        <v>74</v>
      </c>
      <c r="C128" s="2" t="s">
        <v>75</v>
      </c>
      <c r="D128" s="2" t="s">
        <v>76</v>
      </c>
      <c r="E128" s="2"/>
      <c r="F128" s="2"/>
      <c r="G128" s="2"/>
      <c r="H128" s="2"/>
      <c r="I128" s="3">
        <f t="shared" si="2"/>
        <v>13</v>
      </c>
    </row>
    <row r="129" spans="1:9" x14ac:dyDescent="0.3">
      <c r="A129" s="2" t="s">
        <v>12</v>
      </c>
      <c r="B129" s="2" t="s">
        <v>77</v>
      </c>
      <c r="C129" s="2" t="s">
        <v>78</v>
      </c>
      <c r="D129" s="2" t="s">
        <v>79</v>
      </c>
      <c r="E129" s="2"/>
      <c r="F129" s="2"/>
      <c r="G129" s="2"/>
      <c r="H129" s="2"/>
      <c r="I129" s="3">
        <f t="shared" ref="I129:I192" si="3">LEN(D129)</f>
        <v>13</v>
      </c>
    </row>
    <row r="130" spans="1:9" x14ac:dyDescent="0.3">
      <c r="A130" s="2" t="s">
        <v>12</v>
      </c>
      <c r="B130" s="2" t="s">
        <v>91</v>
      </c>
      <c r="C130" s="2" t="s">
        <v>92</v>
      </c>
      <c r="D130" s="2" t="s">
        <v>93</v>
      </c>
      <c r="E130" s="2"/>
      <c r="F130" s="2"/>
      <c r="G130" s="2"/>
      <c r="H130" s="2"/>
      <c r="I130" s="3">
        <f t="shared" si="3"/>
        <v>14</v>
      </c>
    </row>
    <row r="131" spans="1:9" x14ac:dyDescent="0.3">
      <c r="A131" s="2" t="s">
        <v>12</v>
      </c>
      <c r="B131" s="2" t="s">
        <v>80</v>
      </c>
      <c r="C131" s="2" t="s">
        <v>81</v>
      </c>
      <c r="D131" s="2" t="s">
        <v>82</v>
      </c>
      <c r="E131" s="2"/>
      <c r="F131" s="2"/>
      <c r="G131" s="2"/>
      <c r="H131" s="2"/>
      <c r="I131" s="3">
        <f t="shared" si="3"/>
        <v>14</v>
      </c>
    </row>
    <row r="132" spans="1:9" x14ac:dyDescent="0.3">
      <c r="A132" s="2" t="s">
        <v>12</v>
      </c>
      <c r="B132" s="2" t="s">
        <v>97</v>
      </c>
      <c r="C132" s="2" t="s">
        <v>98</v>
      </c>
      <c r="D132" s="2" t="s">
        <v>99</v>
      </c>
      <c r="E132" s="2"/>
      <c r="F132" s="2"/>
      <c r="G132" s="2"/>
      <c r="H132" s="2"/>
      <c r="I132" s="3">
        <f t="shared" si="3"/>
        <v>15</v>
      </c>
    </row>
    <row r="133" spans="1:9" x14ac:dyDescent="0.3">
      <c r="A133" s="2" t="s">
        <v>12</v>
      </c>
      <c r="B133" s="2" t="s">
        <v>109</v>
      </c>
      <c r="C133" s="2" t="s">
        <v>110</v>
      </c>
      <c r="D133" s="2" t="s">
        <v>111</v>
      </c>
      <c r="E133" s="2"/>
      <c r="F133" s="2"/>
      <c r="G133" s="2"/>
      <c r="H133" s="2"/>
      <c r="I133" s="3">
        <f t="shared" si="3"/>
        <v>17</v>
      </c>
    </row>
    <row r="134" spans="1:9" x14ac:dyDescent="0.3">
      <c r="A134" s="2" t="s">
        <v>12</v>
      </c>
      <c r="B134" s="2" t="s">
        <v>13</v>
      </c>
      <c r="C134" s="2" t="s">
        <v>14</v>
      </c>
      <c r="D134" s="2" t="s">
        <v>108</v>
      </c>
      <c r="E134" s="2"/>
      <c r="F134" s="2"/>
      <c r="G134" s="2"/>
      <c r="H134" s="2"/>
      <c r="I134" s="3">
        <f t="shared" si="3"/>
        <v>17</v>
      </c>
    </row>
    <row r="135" spans="1:9" x14ac:dyDescent="0.3">
      <c r="A135" s="2" t="s">
        <v>12</v>
      </c>
      <c r="B135" s="2" t="s">
        <v>112</v>
      </c>
      <c r="C135" s="2" t="s">
        <v>113</v>
      </c>
      <c r="D135" s="2" t="s">
        <v>114</v>
      </c>
      <c r="E135" s="2"/>
      <c r="F135" s="2"/>
      <c r="G135" s="2"/>
      <c r="H135" s="2"/>
      <c r="I135" s="3">
        <f t="shared" si="3"/>
        <v>17</v>
      </c>
    </row>
    <row r="136" spans="1:9" x14ac:dyDescent="0.3">
      <c r="A136" s="2" t="s">
        <v>12</v>
      </c>
      <c r="B136" s="2" t="s">
        <v>70</v>
      </c>
      <c r="C136" s="2" t="s">
        <v>70</v>
      </c>
      <c r="D136" s="2" t="s">
        <v>118</v>
      </c>
      <c r="E136" s="2"/>
      <c r="F136" s="2"/>
      <c r="G136" s="2"/>
      <c r="H136" s="2"/>
      <c r="I136" s="3">
        <f t="shared" si="3"/>
        <v>18</v>
      </c>
    </row>
    <row r="137" spans="1:9" x14ac:dyDescent="0.3">
      <c r="A137" s="2" t="s">
        <v>12</v>
      </c>
      <c r="B137" s="2" t="s">
        <v>115</v>
      </c>
      <c r="C137" s="2" t="s">
        <v>116</v>
      </c>
      <c r="D137" s="2" t="s">
        <v>117</v>
      </c>
      <c r="E137" s="2"/>
      <c r="F137" s="2"/>
      <c r="G137" s="2"/>
      <c r="H137" s="2"/>
      <c r="I137" s="3">
        <f t="shared" si="3"/>
        <v>18</v>
      </c>
    </row>
    <row r="138" spans="1:9" x14ac:dyDescent="0.3">
      <c r="A138" s="2" t="s">
        <v>12</v>
      </c>
      <c r="B138" s="2" t="s">
        <v>121</v>
      </c>
      <c r="C138" s="2" t="s">
        <v>122</v>
      </c>
      <c r="D138" s="2" t="s">
        <v>123</v>
      </c>
      <c r="E138" s="2"/>
      <c r="F138" s="2"/>
      <c r="G138" s="2"/>
      <c r="H138" s="2"/>
      <c r="I138" s="3">
        <f t="shared" si="3"/>
        <v>19</v>
      </c>
    </row>
    <row r="139" spans="1:9" x14ac:dyDescent="0.3">
      <c r="A139" s="2" t="s">
        <v>12</v>
      </c>
      <c r="B139" s="2" t="s">
        <v>124</v>
      </c>
      <c r="C139" s="2" t="s">
        <v>125</v>
      </c>
      <c r="D139" s="2" t="s">
        <v>126</v>
      </c>
      <c r="E139" s="2"/>
      <c r="F139" s="2"/>
      <c r="G139" s="2"/>
      <c r="H139" s="2"/>
      <c r="I139" s="3">
        <f t="shared" si="3"/>
        <v>20</v>
      </c>
    </row>
    <row r="140" spans="1:9" x14ac:dyDescent="0.3">
      <c r="A140" s="2" t="s">
        <v>12</v>
      </c>
      <c r="B140" s="2" t="s">
        <v>129</v>
      </c>
      <c r="C140" s="2" t="s">
        <v>130</v>
      </c>
      <c r="D140" s="2" t="s">
        <v>131</v>
      </c>
      <c r="E140" s="2"/>
      <c r="F140" s="2"/>
      <c r="G140" s="2"/>
      <c r="H140" s="2"/>
      <c r="I140" s="3">
        <f t="shared" si="3"/>
        <v>20</v>
      </c>
    </row>
    <row r="141" spans="1:9" x14ac:dyDescent="0.3">
      <c r="A141" s="2" t="s">
        <v>12</v>
      </c>
      <c r="B141" s="2" t="s">
        <v>136</v>
      </c>
      <c r="C141" s="2" t="s">
        <v>116</v>
      </c>
      <c r="D141" s="2" t="s">
        <v>137</v>
      </c>
      <c r="E141" s="2"/>
      <c r="F141" s="2"/>
      <c r="G141" s="2"/>
      <c r="H141" s="2"/>
      <c r="I141" s="3">
        <f t="shared" si="3"/>
        <v>20</v>
      </c>
    </row>
    <row r="142" spans="1:9" x14ac:dyDescent="0.3">
      <c r="A142" s="2" t="s">
        <v>12</v>
      </c>
      <c r="B142" s="2" t="s">
        <v>127</v>
      </c>
      <c r="C142" s="2" t="s">
        <v>127</v>
      </c>
      <c r="D142" s="2" t="s">
        <v>128</v>
      </c>
      <c r="E142" s="2"/>
      <c r="F142" s="2"/>
      <c r="G142" s="2"/>
      <c r="H142" s="2"/>
      <c r="I142" s="3">
        <f t="shared" si="3"/>
        <v>20</v>
      </c>
    </row>
    <row r="143" spans="1:9" x14ac:dyDescent="0.3">
      <c r="A143" s="2" t="s">
        <v>12</v>
      </c>
      <c r="B143" s="2" t="s">
        <v>134</v>
      </c>
      <c r="C143" s="2" t="s">
        <v>78</v>
      </c>
      <c r="D143" s="2" t="s">
        <v>135</v>
      </c>
      <c r="E143" s="2"/>
      <c r="F143" s="2"/>
      <c r="G143" s="2"/>
      <c r="H143" s="2"/>
      <c r="I143" s="3">
        <f t="shared" si="3"/>
        <v>20</v>
      </c>
    </row>
    <row r="144" spans="1:9" x14ac:dyDescent="0.3">
      <c r="A144" s="2" t="s">
        <v>12</v>
      </c>
      <c r="B144" s="2" t="s">
        <v>140</v>
      </c>
      <c r="C144" s="2" t="s">
        <v>81</v>
      </c>
      <c r="D144" s="2" t="s">
        <v>141</v>
      </c>
      <c r="E144" s="2"/>
      <c r="F144" s="2"/>
      <c r="G144" s="2"/>
      <c r="H144" s="2"/>
      <c r="I144" s="3">
        <f t="shared" si="3"/>
        <v>21</v>
      </c>
    </row>
    <row r="145" spans="1:9" x14ac:dyDescent="0.3">
      <c r="A145" s="2" t="s">
        <v>12</v>
      </c>
      <c r="B145" s="2" t="s">
        <v>127</v>
      </c>
      <c r="C145" s="2" t="s">
        <v>127</v>
      </c>
      <c r="D145" s="2" t="s">
        <v>142</v>
      </c>
      <c r="E145" s="2"/>
      <c r="F145" s="2"/>
      <c r="G145" s="2"/>
      <c r="H145" s="2"/>
      <c r="I145" s="3">
        <f t="shared" si="3"/>
        <v>21</v>
      </c>
    </row>
    <row r="146" spans="1:9" x14ac:dyDescent="0.3">
      <c r="A146" s="2" t="s">
        <v>12</v>
      </c>
      <c r="B146" s="2" t="s">
        <v>143</v>
      </c>
      <c r="C146" s="2" t="s">
        <v>144</v>
      </c>
      <c r="D146" s="2" t="s">
        <v>145</v>
      </c>
      <c r="E146" s="2"/>
      <c r="F146" s="2"/>
      <c r="G146" s="2"/>
      <c r="H146" s="2"/>
      <c r="I146" s="3">
        <f t="shared" si="3"/>
        <v>21</v>
      </c>
    </row>
    <row r="147" spans="1:9" x14ac:dyDescent="0.3">
      <c r="A147" s="2" t="s">
        <v>12</v>
      </c>
      <c r="B147" s="2" t="s">
        <v>159</v>
      </c>
      <c r="C147" s="2" t="s">
        <v>160</v>
      </c>
      <c r="D147" s="2" t="s">
        <v>161</v>
      </c>
      <c r="E147" s="2" t="s">
        <v>39</v>
      </c>
      <c r="F147" s="2"/>
      <c r="G147" s="2"/>
      <c r="H147" s="2"/>
      <c r="I147" s="3">
        <f t="shared" si="3"/>
        <v>22</v>
      </c>
    </row>
    <row r="148" spans="1:9" x14ac:dyDescent="0.3">
      <c r="A148" s="2" t="s">
        <v>12</v>
      </c>
      <c r="B148" s="2" t="s">
        <v>157</v>
      </c>
      <c r="C148" s="2" t="s">
        <v>144</v>
      </c>
      <c r="D148" s="2" t="s">
        <v>158</v>
      </c>
      <c r="E148" s="2"/>
      <c r="F148" s="2"/>
      <c r="G148" s="2"/>
      <c r="H148" s="2"/>
      <c r="I148" s="3">
        <f t="shared" si="3"/>
        <v>22</v>
      </c>
    </row>
    <row r="149" spans="1:9" x14ac:dyDescent="0.3">
      <c r="A149" s="2" t="s">
        <v>12</v>
      </c>
      <c r="B149" s="2" t="s">
        <v>162</v>
      </c>
      <c r="C149" s="2" t="s">
        <v>50</v>
      </c>
      <c r="D149" s="2" t="s">
        <v>163</v>
      </c>
      <c r="E149" s="2"/>
      <c r="F149" s="2"/>
      <c r="G149" s="2"/>
      <c r="H149" s="2"/>
      <c r="I149" s="3">
        <f t="shared" si="3"/>
        <v>22</v>
      </c>
    </row>
    <row r="150" spans="1:9" x14ac:dyDescent="0.3">
      <c r="A150" s="2" t="s">
        <v>12</v>
      </c>
      <c r="B150" s="2" t="s">
        <v>166</v>
      </c>
      <c r="C150" s="2" t="s">
        <v>64</v>
      </c>
      <c r="D150" s="2" t="s">
        <v>167</v>
      </c>
      <c r="E150" s="2"/>
      <c r="F150" s="2"/>
      <c r="G150" s="2"/>
      <c r="H150" s="2"/>
      <c r="I150" s="3">
        <f t="shared" si="3"/>
        <v>23</v>
      </c>
    </row>
    <row r="151" spans="1:9" x14ac:dyDescent="0.3">
      <c r="A151" s="2" t="s">
        <v>12</v>
      </c>
      <c r="B151" s="2" t="s">
        <v>175</v>
      </c>
      <c r="C151" s="2" t="s">
        <v>98</v>
      </c>
      <c r="D151" s="2" t="s">
        <v>176</v>
      </c>
      <c r="E151" s="2"/>
      <c r="F151" s="2"/>
      <c r="G151" s="2"/>
      <c r="H151" s="2"/>
      <c r="I151" s="3">
        <f t="shared" si="3"/>
        <v>23</v>
      </c>
    </row>
    <row r="152" spans="1:9" x14ac:dyDescent="0.3">
      <c r="A152" s="2" t="s">
        <v>12</v>
      </c>
      <c r="B152" s="2" t="s">
        <v>168</v>
      </c>
      <c r="C152" s="2" t="s">
        <v>78</v>
      </c>
      <c r="D152" s="2" t="s">
        <v>169</v>
      </c>
      <c r="E152" s="2"/>
      <c r="F152" s="2"/>
      <c r="G152" s="2"/>
      <c r="H152" s="2"/>
      <c r="I152" s="3">
        <f t="shared" si="3"/>
        <v>23</v>
      </c>
    </row>
    <row r="153" spans="1:9" ht="24" x14ac:dyDescent="0.3">
      <c r="A153" s="2" t="s">
        <v>12</v>
      </c>
      <c r="B153" s="2" t="s">
        <v>170</v>
      </c>
      <c r="C153" s="2" t="s">
        <v>70</v>
      </c>
      <c r="D153" s="2" t="s">
        <v>171</v>
      </c>
      <c r="E153" s="2"/>
      <c r="F153" s="2"/>
      <c r="G153" s="2"/>
      <c r="H153" s="2"/>
      <c r="I153" s="3">
        <f t="shared" si="3"/>
        <v>23</v>
      </c>
    </row>
    <row r="154" spans="1:9" x14ac:dyDescent="0.3">
      <c r="A154" s="2" t="s">
        <v>12</v>
      </c>
      <c r="B154" s="2" t="s">
        <v>164</v>
      </c>
      <c r="C154" s="2" t="s">
        <v>57</v>
      </c>
      <c r="D154" s="2" t="s">
        <v>165</v>
      </c>
      <c r="E154" s="2"/>
      <c r="F154" s="2"/>
      <c r="G154" s="2"/>
      <c r="H154" s="2"/>
      <c r="I154" s="3">
        <f t="shared" si="3"/>
        <v>23</v>
      </c>
    </row>
    <row r="155" spans="1:9" x14ac:dyDescent="0.3">
      <c r="A155" s="2" t="s">
        <v>12</v>
      </c>
      <c r="B155" s="2" t="s">
        <v>9565</v>
      </c>
      <c r="C155" s="2" t="s">
        <v>181</v>
      </c>
      <c r="D155" s="2" t="s">
        <v>196</v>
      </c>
      <c r="E155" s="2"/>
      <c r="F155" s="2"/>
      <c r="G155" s="2"/>
      <c r="H155" s="2"/>
      <c r="I155" s="3">
        <f t="shared" si="3"/>
        <v>24</v>
      </c>
    </row>
    <row r="156" spans="1:9" x14ac:dyDescent="0.3">
      <c r="A156" s="2" t="s">
        <v>12</v>
      </c>
      <c r="B156" s="2" t="s">
        <v>197</v>
      </c>
      <c r="C156" s="2" t="s">
        <v>198</v>
      </c>
      <c r="D156" s="2" t="s">
        <v>199</v>
      </c>
      <c r="E156" s="2"/>
      <c r="F156" s="2"/>
      <c r="G156" s="2"/>
      <c r="H156" s="2"/>
      <c r="I156" s="3">
        <f t="shared" si="3"/>
        <v>24</v>
      </c>
    </row>
    <row r="157" spans="1:9" x14ac:dyDescent="0.3">
      <c r="A157" s="2" t="s">
        <v>12</v>
      </c>
      <c r="B157" s="2" t="s">
        <v>200</v>
      </c>
      <c r="C157" s="2" t="s">
        <v>201</v>
      </c>
      <c r="D157" s="2" t="s">
        <v>202</v>
      </c>
      <c r="E157" s="2"/>
      <c r="F157" s="2"/>
      <c r="G157" s="2"/>
      <c r="H157" s="2"/>
      <c r="I157" s="3">
        <f t="shared" si="3"/>
        <v>24</v>
      </c>
    </row>
    <row r="158" spans="1:9" x14ac:dyDescent="0.3">
      <c r="A158" s="2" t="s">
        <v>12</v>
      </c>
      <c r="B158" s="2" t="s">
        <v>190</v>
      </c>
      <c r="C158" s="2"/>
      <c r="D158" s="2" t="s">
        <v>191</v>
      </c>
      <c r="E158" s="2"/>
      <c r="F158" s="2"/>
      <c r="G158" s="2"/>
      <c r="H158" s="2"/>
      <c r="I158" s="3">
        <f t="shared" si="3"/>
        <v>24</v>
      </c>
    </row>
    <row r="159" spans="1:9" x14ac:dyDescent="0.3">
      <c r="A159" s="2" t="s">
        <v>12</v>
      </c>
      <c r="B159" s="2" t="s">
        <v>192</v>
      </c>
      <c r="C159" s="2" t="s">
        <v>192</v>
      </c>
      <c r="D159" s="2" t="s">
        <v>193</v>
      </c>
      <c r="E159" s="2"/>
      <c r="F159" s="2"/>
      <c r="G159" s="3"/>
      <c r="H159" s="2"/>
      <c r="I159" s="3">
        <f t="shared" si="3"/>
        <v>24</v>
      </c>
    </row>
    <row r="160" spans="1:9" x14ac:dyDescent="0.3">
      <c r="A160" s="2" t="s">
        <v>12</v>
      </c>
      <c r="B160" s="2" t="s">
        <v>205</v>
      </c>
      <c r="C160" s="2" t="s">
        <v>206</v>
      </c>
      <c r="D160" s="2" t="s">
        <v>207</v>
      </c>
      <c r="E160" s="2"/>
      <c r="F160" s="2"/>
      <c r="G160" s="2"/>
      <c r="H160" s="2"/>
      <c r="I160" s="3">
        <f t="shared" si="3"/>
        <v>25</v>
      </c>
    </row>
    <row r="161" spans="1:9" x14ac:dyDescent="0.3">
      <c r="A161" s="2" t="s">
        <v>12</v>
      </c>
      <c r="B161" s="2" t="s">
        <v>175</v>
      </c>
      <c r="C161" s="2" t="s">
        <v>98</v>
      </c>
      <c r="D161" s="2" t="s">
        <v>210</v>
      </c>
      <c r="E161" s="2" t="s">
        <v>211</v>
      </c>
      <c r="F161" s="2"/>
      <c r="G161" s="2"/>
      <c r="H161" s="2"/>
      <c r="I161" s="3">
        <f t="shared" si="3"/>
        <v>25</v>
      </c>
    </row>
    <row r="162" spans="1:9" x14ac:dyDescent="0.3">
      <c r="A162" s="2" t="s">
        <v>12</v>
      </c>
      <c r="B162" s="2" t="s">
        <v>208</v>
      </c>
      <c r="C162" s="2" t="s">
        <v>144</v>
      </c>
      <c r="D162" s="2" t="s">
        <v>209</v>
      </c>
      <c r="E162" s="2" t="s">
        <v>39</v>
      </c>
      <c r="F162" s="2"/>
      <c r="G162" s="2"/>
      <c r="H162" s="2"/>
      <c r="I162" s="3">
        <f t="shared" si="3"/>
        <v>25</v>
      </c>
    </row>
    <row r="163" spans="1:9" x14ac:dyDescent="0.3">
      <c r="A163" s="2" t="s">
        <v>12</v>
      </c>
      <c r="B163" s="2" t="s">
        <v>217</v>
      </c>
      <c r="C163" s="2"/>
      <c r="D163" s="2" t="s">
        <v>218</v>
      </c>
      <c r="E163" s="2"/>
      <c r="F163" s="2"/>
      <c r="G163" s="2"/>
      <c r="H163" s="2"/>
      <c r="I163" s="3">
        <f t="shared" si="3"/>
        <v>26</v>
      </c>
    </row>
    <row r="164" spans="1:9" x14ac:dyDescent="0.3">
      <c r="A164" s="2" t="s">
        <v>12</v>
      </c>
      <c r="B164" s="2" t="s">
        <v>228</v>
      </c>
      <c r="C164" s="2" t="s">
        <v>229</v>
      </c>
      <c r="D164" s="2" t="s">
        <v>230</v>
      </c>
      <c r="E164" s="2" t="s">
        <v>39</v>
      </c>
      <c r="F164" s="2"/>
      <c r="G164" s="2"/>
      <c r="H164" s="2"/>
      <c r="I164" s="3">
        <f t="shared" si="3"/>
        <v>27</v>
      </c>
    </row>
    <row r="165" spans="1:9" x14ac:dyDescent="0.3">
      <c r="A165" s="2" t="s">
        <v>12</v>
      </c>
      <c r="B165" s="2" t="s">
        <v>91</v>
      </c>
      <c r="C165" s="2" t="s">
        <v>92</v>
      </c>
      <c r="D165" s="2" t="s">
        <v>231</v>
      </c>
      <c r="E165" s="2" t="s">
        <v>39</v>
      </c>
      <c r="F165" s="2"/>
      <c r="G165" s="2"/>
      <c r="H165" s="2"/>
      <c r="I165" s="3">
        <f t="shared" si="3"/>
        <v>27</v>
      </c>
    </row>
    <row r="166" spans="1:9" x14ac:dyDescent="0.3">
      <c r="A166" s="2" t="s">
        <v>12</v>
      </c>
      <c r="B166" s="2" t="s">
        <v>226</v>
      </c>
      <c r="C166" s="2" t="s">
        <v>226</v>
      </c>
      <c r="D166" s="2" t="s">
        <v>227</v>
      </c>
      <c r="E166" s="2"/>
      <c r="F166" s="2"/>
      <c r="G166" s="2"/>
      <c r="H166" s="2"/>
      <c r="I166" s="3">
        <f t="shared" si="3"/>
        <v>27</v>
      </c>
    </row>
    <row r="167" spans="1:9" x14ac:dyDescent="0.3">
      <c r="A167" s="2" t="s">
        <v>12</v>
      </c>
      <c r="B167" s="2" t="s">
        <v>237</v>
      </c>
      <c r="C167" s="2"/>
      <c r="D167" s="2" t="s">
        <v>238</v>
      </c>
      <c r="E167" s="2" t="s">
        <v>239</v>
      </c>
      <c r="F167" s="2"/>
      <c r="G167" s="2"/>
      <c r="H167" s="2"/>
      <c r="I167" s="3">
        <f t="shared" si="3"/>
        <v>28</v>
      </c>
    </row>
    <row r="168" spans="1:9" x14ac:dyDescent="0.3">
      <c r="A168" s="2" t="s">
        <v>12</v>
      </c>
      <c r="B168" s="2" t="s">
        <v>240</v>
      </c>
      <c r="C168" s="2" t="s">
        <v>240</v>
      </c>
      <c r="D168" s="2" t="s">
        <v>241</v>
      </c>
      <c r="E168" s="2" t="s">
        <v>242</v>
      </c>
      <c r="F168" s="2"/>
      <c r="G168" s="2"/>
      <c r="H168" s="2"/>
      <c r="I168" s="3">
        <f t="shared" si="3"/>
        <v>28</v>
      </c>
    </row>
    <row r="169" spans="1:9" x14ac:dyDescent="0.3">
      <c r="A169" s="2" t="s">
        <v>12</v>
      </c>
      <c r="B169" s="2" t="s">
        <v>234</v>
      </c>
      <c r="C169" s="2" t="s">
        <v>110</v>
      </c>
      <c r="D169" s="2" t="s">
        <v>235</v>
      </c>
      <c r="E169" s="2"/>
      <c r="F169" s="2"/>
      <c r="G169" s="2"/>
      <c r="H169" s="2"/>
      <c r="I169" s="3">
        <f t="shared" si="3"/>
        <v>28</v>
      </c>
    </row>
    <row r="170" spans="1:9" x14ac:dyDescent="0.3">
      <c r="A170" s="2" t="s">
        <v>12</v>
      </c>
      <c r="B170" s="2" t="s">
        <v>127</v>
      </c>
      <c r="C170" s="2" t="s">
        <v>127</v>
      </c>
      <c r="D170" s="2" t="s">
        <v>236</v>
      </c>
      <c r="E170" s="2"/>
      <c r="F170" s="2"/>
      <c r="G170" s="2"/>
      <c r="H170" s="2"/>
      <c r="I170" s="3">
        <f t="shared" si="3"/>
        <v>28</v>
      </c>
    </row>
    <row r="171" spans="1:9" x14ac:dyDescent="0.3">
      <c r="A171" s="2" t="s">
        <v>12</v>
      </c>
      <c r="B171" s="2" t="s">
        <v>252</v>
      </c>
      <c r="C171" s="2" t="s">
        <v>253</v>
      </c>
      <c r="D171" s="2" t="s">
        <v>254</v>
      </c>
      <c r="E171" s="2" t="s">
        <v>39</v>
      </c>
      <c r="F171" s="2"/>
      <c r="G171" s="2"/>
      <c r="H171" s="2"/>
      <c r="I171" s="3">
        <f t="shared" si="3"/>
        <v>29</v>
      </c>
    </row>
    <row r="172" spans="1:9" x14ac:dyDescent="0.3">
      <c r="A172" s="2" t="s">
        <v>12</v>
      </c>
      <c r="B172" s="2" t="s">
        <v>249</v>
      </c>
      <c r="C172" s="2" t="s">
        <v>250</v>
      </c>
      <c r="D172" s="2" t="s">
        <v>251</v>
      </c>
      <c r="E172" s="2" t="s">
        <v>39</v>
      </c>
      <c r="F172" s="2"/>
      <c r="G172" s="2"/>
      <c r="H172" s="2"/>
      <c r="I172" s="3">
        <f t="shared" si="3"/>
        <v>29</v>
      </c>
    </row>
    <row r="173" spans="1:9" x14ac:dyDescent="0.3">
      <c r="A173" s="2" t="s">
        <v>12</v>
      </c>
      <c r="B173" s="2" t="s">
        <v>240</v>
      </c>
      <c r="C173" s="2" t="s">
        <v>240</v>
      </c>
      <c r="D173" s="2" t="s">
        <v>255</v>
      </c>
      <c r="E173" s="2"/>
      <c r="F173" s="2"/>
      <c r="G173" s="2"/>
      <c r="H173" s="2"/>
      <c r="I173" s="3">
        <f t="shared" si="3"/>
        <v>29</v>
      </c>
    </row>
    <row r="174" spans="1:9" x14ac:dyDescent="0.3">
      <c r="A174" s="2" t="s">
        <v>12</v>
      </c>
      <c r="B174" s="2" t="s">
        <v>237</v>
      </c>
      <c r="C174" s="2"/>
      <c r="D174" s="2" t="s">
        <v>277</v>
      </c>
      <c r="E174" s="2" t="s">
        <v>278</v>
      </c>
      <c r="F174" s="2"/>
      <c r="G174" s="2"/>
      <c r="H174" s="2"/>
      <c r="I174" s="3">
        <f t="shared" si="3"/>
        <v>30</v>
      </c>
    </row>
    <row r="175" spans="1:9" x14ac:dyDescent="0.3">
      <c r="A175" s="2" t="s">
        <v>12</v>
      </c>
      <c r="B175" s="2" t="s">
        <v>274</v>
      </c>
      <c r="C175" s="2" t="s">
        <v>275</v>
      </c>
      <c r="D175" s="2" t="s">
        <v>276</v>
      </c>
      <c r="E175" s="2" t="s">
        <v>39</v>
      </c>
      <c r="F175" s="2"/>
      <c r="G175" s="2"/>
      <c r="H175" s="2"/>
      <c r="I175" s="3">
        <f t="shared" si="3"/>
        <v>30</v>
      </c>
    </row>
    <row r="176" spans="1:9" x14ac:dyDescent="0.3">
      <c r="A176" s="2" t="s">
        <v>12</v>
      </c>
      <c r="B176" s="2" t="s">
        <v>294</v>
      </c>
      <c r="C176" s="2"/>
      <c r="D176" s="2" t="s">
        <v>295</v>
      </c>
      <c r="E176" s="2"/>
      <c r="F176" s="2"/>
      <c r="G176" s="2"/>
      <c r="H176" s="2"/>
      <c r="I176" s="3">
        <f t="shared" si="3"/>
        <v>31</v>
      </c>
    </row>
    <row r="177" spans="1:9" x14ac:dyDescent="0.3">
      <c r="A177" s="2" t="s">
        <v>12</v>
      </c>
      <c r="B177" s="2" t="s">
        <v>290</v>
      </c>
      <c r="C177" s="2" t="s">
        <v>291</v>
      </c>
      <c r="D177" s="2" t="s">
        <v>292</v>
      </c>
      <c r="E177" s="2"/>
      <c r="F177" s="2"/>
      <c r="G177" s="2"/>
      <c r="H177" s="2"/>
      <c r="I177" s="3">
        <f t="shared" si="3"/>
        <v>31</v>
      </c>
    </row>
    <row r="178" spans="1:9" x14ac:dyDescent="0.3">
      <c r="A178" s="2" t="s">
        <v>12</v>
      </c>
      <c r="B178" s="2" t="s">
        <v>192</v>
      </c>
      <c r="C178" s="2" t="s">
        <v>192</v>
      </c>
      <c r="D178" s="2" t="s">
        <v>293</v>
      </c>
      <c r="E178" s="2"/>
      <c r="F178" s="2"/>
      <c r="G178" s="2"/>
      <c r="H178" s="2"/>
      <c r="I178" s="3">
        <f t="shared" si="3"/>
        <v>31</v>
      </c>
    </row>
    <row r="179" spans="1:9" x14ac:dyDescent="0.3">
      <c r="A179" s="2" t="s">
        <v>12</v>
      </c>
      <c r="B179" s="2" t="s">
        <v>300</v>
      </c>
      <c r="C179" s="2" t="s">
        <v>301</v>
      </c>
      <c r="D179" s="2" t="s">
        <v>302</v>
      </c>
      <c r="E179" s="2"/>
      <c r="F179" s="2"/>
      <c r="G179" s="2"/>
      <c r="H179" s="2"/>
      <c r="I179" s="3">
        <f t="shared" si="3"/>
        <v>32</v>
      </c>
    </row>
    <row r="180" spans="1:9" x14ac:dyDescent="0.3">
      <c r="A180" s="2" t="s">
        <v>12</v>
      </c>
      <c r="B180" s="2" t="s">
        <v>298</v>
      </c>
      <c r="C180" s="2" t="s">
        <v>144</v>
      </c>
      <c r="D180" s="2" t="s">
        <v>299</v>
      </c>
      <c r="E180" s="2"/>
      <c r="F180" s="2"/>
      <c r="G180" s="2"/>
      <c r="H180" s="2"/>
      <c r="I180" s="3">
        <f t="shared" si="3"/>
        <v>32</v>
      </c>
    </row>
    <row r="181" spans="1:9" x14ac:dyDescent="0.3">
      <c r="A181" s="2" t="s">
        <v>12</v>
      </c>
      <c r="B181" s="2" t="s">
        <v>321</v>
      </c>
      <c r="C181" s="2" t="s">
        <v>35</v>
      </c>
      <c r="D181" s="2" t="s">
        <v>322</v>
      </c>
      <c r="E181" s="2"/>
      <c r="F181" s="2"/>
      <c r="G181" s="2"/>
      <c r="H181" s="2"/>
      <c r="I181" s="3">
        <f t="shared" si="3"/>
        <v>33</v>
      </c>
    </row>
    <row r="182" spans="1:9" x14ac:dyDescent="0.3">
      <c r="A182" s="2" t="s">
        <v>12</v>
      </c>
      <c r="B182" s="2" t="s">
        <v>316</v>
      </c>
      <c r="C182" s="2" t="s">
        <v>317</v>
      </c>
      <c r="D182" s="2" t="s">
        <v>318</v>
      </c>
      <c r="E182" s="2"/>
      <c r="F182" s="2"/>
      <c r="G182" s="2"/>
      <c r="H182" s="2"/>
      <c r="I182" s="3">
        <f t="shared" si="3"/>
        <v>33</v>
      </c>
    </row>
    <row r="183" spans="1:9" x14ac:dyDescent="0.3">
      <c r="A183" s="2" t="s">
        <v>12</v>
      </c>
      <c r="B183" s="2" t="s">
        <v>291</v>
      </c>
      <c r="C183" s="2" t="s">
        <v>291</v>
      </c>
      <c r="D183" s="2" t="s">
        <v>315</v>
      </c>
      <c r="E183" s="2" t="s">
        <v>242</v>
      </c>
      <c r="F183" s="2"/>
      <c r="G183" s="2"/>
      <c r="H183" s="2"/>
      <c r="I183" s="3">
        <f t="shared" si="3"/>
        <v>33</v>
      </c>
    </row>
    <row r="184" spans="1:9" x14ac:dyDescent="0.3">
      <c r="A184" s="2" t="s">
        <v>12</v>
      </c>
      <c r="B184" s="2" t="s">
        <v>361</v>
      </c>
      <c r="C184" s="2" t="s">
        <v>206</v>
      </c>
      <c r="D184" s="2" t="s">
        <v>362</v>
      </c>
      <c r="E184" s="2"/>
      <c r="F184" s="2"/>
      <c r="G184" s="2"/>
      <c r="H184" s="2"/>
      <c r="I184" s="3">
        <f t="shared" si="3"/>
        <v>34</v>
      </c>
    </row>
    <row r="185" spans="1:9" x14ac:dyDescent="0.3">
      <c r="A185" s="2" t="s">
        <v>12</v>
      </c>
      <c r="B185" s="2" t="s">
        <v>300</v>
      </c>
      <c r="C185" s="2" t="s">
        <v>301</v>
      </c>
      <c r="D185" s="2" t="s">
        <v>363</v>
      </c>
      <c r="E185" s="2"/>
      <c r="F185" s="2"/>
      <c r="G185" s="2"/>
      <c r="H185" s="2"/>
      <c r="I185" s="3">
        <f t="shared" si="3"/>
        <v>34</v>
      </c>
    </row>
    <row r="186" spans="1:9" x14ac:dyDescent="0.3">
      <c r="A186" s="2" t="s">
        <v>12</v>
      </c>
      <c r="B186" s="2" t="s">
        <v>357</v>
      </c>
      <c r="C186" s="2" t="s">
        <v>317</v>
      </c>
      <c r="D186" s="2" t="s">
        <v>358</v>
      </c>
      <c r="E186" s="2" t="s">
        <v>39</v>
      </c>
      <c r="F186" s="2"/>
      <c r="G186" s="2"/>
      <c r="H186" s="2"/>
      <c r="I186" s="3">
        <f t="shared" si="3"/>
        <v>34</v>
      </c>
    </row>
    <row r="187" spans="1:9" x14ac:dyDescent="0.3">
      <c r="A187" s="2" t="s">
        <v>12</v>
      </c>
      <c r="B187" s="2" t="s">
        <v>347</v>
      </c>
      <c r="C187" s="2" t="s">
        <v>348</v>
      </c>
      <c r="D187" s="2" t="s">
        <v>349</v>
      </c>
      <c r="E187" s="2" t="s">
        <v>39</v>
      </c>
      <c r="F187" s="2"/>
      <c r="G187" s="2" t="s">
        <v>350</v>
      </c>
      <c r="H187" s="2"/>
      <c r="I187" s="3">
        <f t="shared" si="3"/>
        <v>34</v>
      </c>
    </row>
    <row r="188" spans="1:9" x14ac:dyDescent="0.3">
      <c r="A188" s="2" t="s">
        <v>12</v>
      </c>
      <c r="B188" s="2" t="s">
        <v>359</v>
      </c>
      <c r="C188" s="2" t="s">
        <v>144</v>
      </c>
      <c r="D188" s="2" t="s">
        <v>360</v>
      </c>
      <c r="E188" s="2"/>
      <c r="F188" s="2"/>
      <c r="G188" s="2"/>
      <c r="H188" s="2"/>
      <c r="I188" s="3">
        <f t="shared" si="3"/>
        <v>34</v>
      </c>
    </row>
    <row r="189" spans="1:9" x14ac:dyDescent="0.3">
      <c r="A189" s="2" t="s">
        <v>12</v>
      </c>
      <c r="B189" s="2" t="s">
        <v>195</v>
      </c>
      <c r="C189" s="2" t="s">
        <v>181</v>
      </c>
      <c r="D189" s="2" t="s">
        <v>372</v>
      </c>
      <c r="E189" s="2"/>
      <c r="F189" s="2"/>
      <c r="G189" s="2"/>
      <c r="H189" s="2"/>
      <c r="I189" s="3">
        <f t="shared" si="3"/>
        <v>35</v>
      </c>
    </row>
    <row r="190" spans="1:9" x14ac:dyDescent="0.3">
      <c r="A190" s="2" t="s">
        <v>12</v>
      </c>
      <c r="B190" s="2" t="s">
        <v>373</v>
      </c>
      <c r="C190" s="2" t="s">
        <v>198</v>
      </c>
      <c r="D190" s="2" t="s">
        <v>374</v>
      </c>
      <c r="E190" s="2" t="s">
        <v>39</v>
      </c>
      <c r="F190" s="2"/>
      <c r="G190" s="2"/>
      <c r="H190" s="2"/>
      <c r="I190" s="3">
        <f t="shared" si="3"/>
        <v>35</v>
      </c>
    </row>
    <row r="191" spans="1:9" x14ac:dyDescent="0.3">
      <c r="A191" s="2" t="s">
        <v>12</v>
      </c>
      <c r="B191" s="2" t="s">
        <v>375</v>
      </c>
      <c r="C191" s="2" t="s">
        <v>160</v>
      </c>
      <c r="D191" s="2" t="s">
        <v>376</v>
      </c>
      <c r="E191" s="2"/>
      <c r="F191" s="2"/>
      <c r="G191" s="2"/>
      <c r="H191" s="2"/>
      <c r="I191" s="3">
        <f t="shared" si="3"/>
        <v>35</v>
      </c>
    </row>
    <row r="192" spans="1:9" x14ac:dyDescent="0.3">
      <c r="A192" s="2" t="s">
        <v>12</v>
      </c>
      <c r="B192" s="2" t="s">
        <v>377</v>
      </c>
      <c r="C192" s="2"/>
      <c r="D192" s="2" t="s">
        <v>378</v>
      </c>
      <c r="E192" s="2" t="s">
        <v>379</v>
      </c>
      <c r="F192" s="2"/>
      <c r="G192" s="2"/>
      <c r="H192" s="2"/>
      <c r="I192" s="3">
        <f t="shared" si="3"/>
        <v>35</v>
      </c>
    </row>
    <row r="193" spans="1:9" x14ac:dyDescent="0.3">
      <c r="A193" s="2" t="s">
        <v>12</v>
      </c>
      <c r="B193" s="2" t="s">
        <v>391</v>
      </c>
      <c r="C193" s="2"/>
      <c r="D193" s="2" t="s">
        <v>392</v>
      </c>
      <c r="E193" s="2" t="s">
        <v>393</v>
      </c>
      <c r="F193" s="2"/>
      <c r="G193" s="2"/>
      <c r="H193" s="2"/>
      <c r="I193" s="3">
        <f t="shared" ref="I193:I256" si="4">LEN(D193)</f>
        <v>36</v>
      </c>
    </row>
    <row r="194" spans="1:9" x14ac:dyDescent="0.3">
      <c r="A194" s="2" t="s">
        <v>12</v>
      </c>
      <c r="B194" s="2" t="s">
        <v>388</v>
      </c>
      <c r="C194" s="2" t="s">
        <v>389</v>
      </c>
      <c r="D194" s="2" t="s">
        <v>390</v>
      </c>
      <c r="E194" s="2"/>
      <c r="F194" s="2"/>
      <c r="G194" s="2"/>
      <c r="H194" s="2"/>
      <c r="I194" s="3">
        <f t="shared" si="4"/>
        <v>36</v>
      </c>
    </row>
    <row r="195" spans="1:9" x14ac:dyDescent="0.3">
      <c r="A195" s="2" t="s">
        <v>12</v>
      </c>
      <c r="B195" s="2" t="s">
        <v>386</v>
      </c>
      <c r="C195" s="2"/>
      <c r="D195" s="2" t="s">
        <v>387</v>
      </c>
      <c r="E195" s="2"/>
      <c r="F195" s="2"/>
      <c r="G195" s="2"/>
      <c r="H195" s="2"/>
      <c r="I195" s="3">
        <f t="shared" si="4"/>
        <v>36</v>
      </c>
    </row>
    <row r="196" spans="1:9" x14ac:dyDescent="0.3">
      <c r="A196" s="2" t="s">
        <v>12</v>
      </c>
      <c r="B196" s="2" t="s">
        <v>217</v>
      </c>
      <c r="C196" s="2"/>
      <c r="D196" s="2" t="s">
        <v>417</v>
      </c>
      <c r="E196" s="2" t="s">
        <v>418</v>
      </c>
      <c r="F196" s="2"/>
      <c r="G196" s="2"/>
      <c r="H196" s="2"/>
      <c r="I196" s="3">
        <f t="shared" si="4"/>
        <v>37</v>
      </c>
    </row>
    <row r="197" spans="1:9" x14ac:dyDescent="0.3">
      <c r="A197" s="2" t="s">
        <v>12</v>
      </c>
      <c r="B197" s="2" t="s">
        <v>175</v>
      </c>
      <c r="C197" s="2" t="s">
        <v>98</v>
      </c>
      <c r="D197" s="2" t="s">
        <v>8692</v>
      </c>
      <c r="E197" s="2" t="s">
        <v>383</v>
      </c>
      <c r="F197" s="2"/>
      <c r="G197" s="2"/>
      <c r="H197" s="2"/>
      <c r="I197" s="3">
        <f t="shared" si="4"/>
        <v>37</v>
      </c>
    </row>
    <row r="198" spans="1:9" x14ac:dyDescent="0.3">
      <c r="A198" s="2" t="s">
        <v>12</v>
      </c>
      <c r="B198" s="2" t="s">
        <v>300</v>
      </c>
      <c r="C198" s="2" t="s">
        <v>301</v>
      </c>
      <c r="D198" s="2" t="s">
        <v>414</v>
      </c>
      <c r="E198" s="2"/>
      <c r="F198" s="2"/>
      <c r="G198" s="2"/>
      <c r="H198" s="2"/>
      <c r="I198" s="3">
        <f t="shared" si="4"/>
        <v>37</v>
      </c>
    </row>
    <row r="199" spans="1:9" x14ac:dyDescent="0.3">
      <c r="A199" s="2" t="s">
        <v>12</v>
      </c>
      <c r="B199" s="2" t="s">
        <v>415</v>
      </c>
      <c r="C199" s="2" t="s">
        <v>160</v>
      </c>
      <c r="D199" s="2" t="s">
        <v>416</v>
      </c>
      <c r="E199" s="2" t="s">
        <v>39</v>
      </c>
      <c r="F199" s="2"/>
      <c r="G199" s="2"/>
      <c r="H199" s="2"/>
      <c r="I199" s="3">
        <f t="shared" si="4"/>
        <v>37</v>
      </c>
    </row>
    <row r="200" spans="1:9" x14ac:dyDescent="0.3">
      <c r="A200" s="2" t="s">
        <v>12</v>
      </c>
      <c r="B200" s="2" t="s">
        <v>431</v>
      </c>
      <c r="C200" s="2"/>
      <c r="D200" s="2" t="s">
        <v>432</v>
      </c>
      <c r="E200" s="2" t="s">
        <v>433</v>
      </c>
      <c r="F200" s="2"/>
      <c r="G200" s="2"/>
      <c r="H200" s="2"/>
      <c r="I200" s="3">
        <f t="shared" si="4"/>
        <v>38</v>
      </c>
    </row>
    <row r="201" spans="1:9" x14ac:dyDescent="0.3">
      <c r="A201" s="2" t="s">
        <v>12</v>
      </c>
      <c r="B201" s="2" t="s">
        <v>458</v>
      </c>
      <c r="C201" s="2" t="s">
        <v>389</v>
      </c>
      <c r="D201" s="2" t="s">
        <v>459</v>
      </c>
      <c r="E201" s="2" t="s">
        <v>39</v>
      </c>
      <c r="F201" s="2"/>
      <c r="G201" s="2"/>
      <c r="H201" s="2"/>
      <c r="I201" s="3">
        <f t="shared" si="4"/>
        <v>39</v>
      </c>
    </row>
    <row r="202" spans="1:9" x14ac:dyDescent="0.3">
      <c r="A202" s="2" t="s">
        <v>12</v>
      </c>
      <c r="B202" s="2" t="s">
        <v>237</v>
      </c>
      <c r="C202" s="2" t="s">
        <v>240</v>
      </c>
      <c r="D202" s="2" t="s">
        <v>467</v>
      </c>
      <c r="E202" s="2" t="s">
        <v>468</v>
      </c>
      <c r="F202" s="2"/>
      <c r="G202" s="2"/>
      <c r="H202" s="2"/>
      <c r="I202" s="3">
        <f t="shared" si="4"/>
        <v>39</v>
      </c>
    </row>
    <row r="203" spans="1:9" x14ac:dyDescent="0.3">
      <c r="A203" s="2" t="s">
        <v>12</v>
      </c>
      <c r="B203" s="2" t="s">
        <v>249</v>
      </c>
      <c r="C203" s="2" t="s">
        <v>250</v>
      </c>
      <c r="D203" s="2" t="s">
        <v>457</v>
      </c>
      <c r="E203" s="2"/>
      <c r="F203" s="2"/>
      <c r="G203" s="2"/>
      <c r="H203" s="2"/>
      <c r="I203" s="3">
        <f t="shared" si="4"/>
        <v>39</v>
      </c>
    </row>
    <row r="204" spans="1:9" x14ac:dyDescent="0.3">
      <c r="A204" s="2" t="s">
        <v>12</v>
      </c>
      <c r="B204" s="2" t="s">
        <v>455</v>
      </c>
      <c r="C204" s="2"/>
      <c r="D204" s="2" t="s">
        <v>456</v>
      </c>
      <c r="E204" s="2" t="s">
        <v>39</v>
      </c>
      <c r="F204" s="2"/>
      <c r="G204" s="2"/>
      <c r="H204" s="2"/>
      <c r="I204" s="3">
        <f t="shared" si="4"/>
        <v>39</v>
      </c>
    </row>
    <row r="205" spans="1:9" x14ac:dyDescent="0.3">
      <c r="A205" s="2" t="s">
        <v>12</v>
      </c>
      <c r="B205" s="2" t="s">
        <v>463</v>
      </c>
      <c r="C205" s="2" t="s">
        <v>50</v>
      </c>
      <c r="D205" s="2" t="s">
        <v>464</v>
      </c>
      <c r="E205" s="2"/>
      <c r="F205" s="2"/>
      <c r="G205" s="2"/>
      <c r="H205" s="2"/>
      <c r="I205" s="3">
        <f t="shared" si="4"/>
        <v>39</v>
      </c>
    </row>
    <row r="206" spans="1:9" x14ac:dyDescent="0.3">
      <c r="A206" s="2" t="s">
        <v>12</v>
      </c>
      <c r="B206" s="2" t="s">
        <v>490</v>
      </c>
      <c r="C206" s="2" t="s">
        <v>491</v>
      </c>
      <c r="D206" s="2" t="s">
        <v>492</v>
      </c>
      <c r="E206" s="2" t="s">
        <v>39</v>
      </c>
      <c r="F206" s="2"/>
      <c r="G206" s="2"/>
      <c r="H206" s="2"/>
      <c r="I206" s="3">
        <f t="shared" si="4"/>
        <v>40</v>
      </c>
    </row>
    <row r="207" spans="1:9" x14ac:dyDescent="0.3">
      <c r="A207" s="2" t="s">
        <v>12</v>
      </c>
      <c r="B207" s="2" t="s">
        <v>488</v>
      </c>
      <c r="C207" s="2" t="s">
        <v>130</v>
      </c>
      <c r="D207" s="2" t="s">
        <v>489</v>
      </c>
      <c r="E207" s="2"/>
      <c r="F207" s="2"/>
      <c r="G207" s="2"/>
      <c r="H207" s="2"/>
      <c r="I207" s="3">
        <f t="shared" si="4"/>
        <v>40</v>
      </c>
    </row>
    <row r="208" spans="1:9" x14ac:dyDescent="0.3">
      <c r="A208" s="2" t="s">
        <v>12</v>
      </c>
      <c r="B208" s="2" t="s">
        <v>497</v>
      </c>
      <c r="C208" s="2"/>
      <c r="D208" s="2" t="s">
        <v>498</v>
      </c>
      <c r="E208" s="2"/>
      <c r="F208" s="2"/>
      <c r="G208" s="2"/>
      <c r="H208" s="2"/>
      <c r="I208" s="3">
        <f t="shared" si="4"/>
        <v>40</v>
      </c>
    </row>
    <row r="209" spans="1:9" x14ac:dyDescent="0.3">
      <c r="A209" s="2" t="s">
        <v>12</v>
      </c>
      <c r="B209" s="2" t="s">
        <v>520</v>
      </c>
      <c r="C209" s="2"/>
      <c r="D209" s="2" t="s">
        <v>521</v>
      </c>
      <c r="E209" s="2" t="s">
        <v>39</v>
      </c>
      <c r="F209" s="2"/>
      <c r="G209" s="2"/>
      <c r="H209" s="2"/>
      <c r="I209" s="3">
        <f t="shared" si="4"/>
        <v>41</v>
      </c>
    </row>
    <row r="210" spans="1:9" x14ac:dyDescent="0.3">
      <c r="A210" s="2" t="s">
        <v>12</v>
      </c>
      <c r="B210" s="2" t="s">
        <v>514</v>
      </c>
      <c r="C210" s="2" t="s">
        <v>515</v>
      </c>
      <c r="D210" s="2" t="s">
        <v>516</v>
      </c>
      <c r="E210" s="2" t="s">
        <v>39</v>
      </c>
      <c r="F210" s="2"/>
      <c r="G210" s="2"/>
      <c r="H210" s="2"/>
      <c r="I210" s="3">
        <f t="shared" si="4"/>
        <v>41</v>
      </c>
    </row>
    <row r="211" spans="1:9" x14ac:dyDescent="0.3">
      <c r="A211" s="2" t="s">
        <v>12</v>
      </c>
      <c r="B211" s="2" t="s">
        <v>237</v>
      </c>
      <c r="C211" s="2"/>
      <c r="D211" s="2" t="s">
        <v>8693</v>
      </c>
      <c r="E211" s="2" t="s">
        <v>556</v>
      </c>
      <c r="F211" s="2"/>
      <c r="G211" s="2"/>
      <c r="H211" s="2"/>
      <c r="I211" s="3">
        <f t="shared" si="4"/>
        <v>42</v>
      </c>
    </row>
    <row r="212" spans="1:9" x14ac:dyDescent="0.3">
      <c r="A212" s="2" t="s">
        <v>12</v>
      </c>
      <c r="B212" s="2" t="s">
        <v>294</v>
      </c>
      <c r="C212" s="2"/>
      <c r="D212" s="2" t="s">
        <v>557</v>
      </c>
      <c r="E212" s="2" t="s">
        <v>418</v>
      </c>
      <c r="F212" s="2"/>
      <c r="G212" s="2"/>
      <c r="H212" s="2"/>
      <c r="I212" s="3">
        <f t="shared" si="4"/>
        <v>42</v>
      </c>
    </row>
    <row r="213" spans="1:9" x14ac:dyDescent="0.3">
      <c r="A213" s="2" t="s">
        <v>12</v>
      </c>
      <c r="B213" s="2" t="s">
        <v>546</v>
      </c>
      <c r="C213" s="2" t="s">
        <v>389</v>
      </c>
      <c r="D213" s="2" t="s">
        <v>547</v>
      </c>
      <c r="E213" s="2" t="s">
        <v>39</v>
      </c>
      <c r="F213" s="2"/>
      <c r="G213" s="2"/>
      <c r="H213" s="2"/>
      <c r="I213" s="3">
        <f t="shared" si="4"/>
        <v>42</v>
      </c>
    </row>
    <row r="214" spans="1:9" ht="24" x14ac:dyDescent="0.3">
      <c r="A214" s="2" t="s">
        <v>12</v>
      </c>
      <c r="B214" s="2" t="s">
        <v>548</v>
      </c>
      <c r="C214" s="2" t="s">
        <v>389</v>
      </c>
      <c r="D214" s="2" t="s">
        <v>549</v>
      </c>
      <c r="E214" s="2" t="s">
        <v>39</v>
      </c>
      <c r="F214" s="2"/>
      <c r="G214" s="2"/>
      <c r="H214" s="2"/>
      <c r="I214" s="3">
        <f t="shared" si="4"/>
        <v>42</v>
      </c>
    </row>
    <row r="215" spans="1:9" x14ac:dyDescent="0.3">
      <c r="A215" s="2" t="s">
        <v>12</v>
      </c>
      <c r="B215" s="2" t="s">
        <v>588</v>
      </c>
      <c r="C215" s="2" t="s">
        <v>116</v>
      </c>
      <c r="D215" s="2" t="s">
        <v>589</v>
      </c>
      <c r="E215" s="2" t="s">
        <v>39</v>
      </c>
      <c r="F215" s="2"/>
      <c r="G215" s="2"/>
      <c r="H215" s="2"/>
      <c r="I215" s="3">
        <f t="shared" si="4"/>
        <v>43</v>
      </c>
    </row>
    <row r="216" spans="1:9" ht="24" x14ac:dyDescent="0.3">
      <c r="A216" s="2" t="s">
        <v>12</v>
      </c>
      <c r="B216" s="2" t="s">
        <v>578</v>
      </c>
      <c r="C216" s="2" t="s">
        <v>389</v>
      </c>
      <c r="D216" s="2" t="s">
        <v>579</v>
      </c>
      <c r="E216" s="2"/>
      <c r="F216" s="2"/>
      <c r="G216" s="2"/>
      <c r="H216" s="2"/>
      <c r="I216" s="3">
        <f t="shared" si="4"/>
        <v>43</v>
      </c>
    </row>
    <row r="217" spans="1:9" x14ac:dyDescent="0.3">
      <c r="A217" s="2" t="s">
        <v>12</v>
      </c>
      <c r="B217" s="2" t="s">
        <v>576</v>
      </c>
      <c r="C217" s="2" t="s">
        <v>491</v>
      </c>
      <c r="D217" s="2" t="s">
        <v>577</v>
      </c>
      <c r="E217" s="2" t="s">
        <v>39</v>
      </c>
      <c r="F217" s="2"/>
      <c r="G217" s="2"/>
      <c r="H217" s="2"/>
      <c r="I217" s="3">
        <f t="shared" si="4"/>
        <v>43</v>
      </c>
    </row>
    <row r="218" spans="1:9" ht="24" x14ac:dyDescent="0.3">
      <c r="A218" s="2" t="s">
        <v>12</v>
      </c>
      <c r="B218" s="2" t="s">
        <v>580</v>
      </c>
      <c r="C218" s="2" t="s">
        <v>389</v>
      </c>
      <c r="D218" s="2" t="s">
        <v>581</v>
      </c>
      <c r="E218" s="2" t="s">
        <v>39</v>
      </c>
      <c r="F218" s="2"/>
      <c r="G218" s="2"/>
      <c r="H218" s="2"/>
      <c r="I218" s="3">
        <f t="shared" si="4"/>
        <v>43</v>
      </c>
    </row>
    <row r="219" spans="1:9" x14ac:dyDescent="0.3">
      <c r="A219" s="2" t="s">
        <v>12</v>
      </c>
      <c r="B219" s="2" t="s">
        <v>572</v>
      </c>
      <c r="C219" s="2"/>
      <c r="D219" s="2" t="s">
        <v>573</v>
      </c>
      <c r="E219" s="2"/>
      <c r="F219" s="2"/>
      <c r="G219" s="2"/>
      <c r="H219" s="2"/>
      <c r="I219" s="3">
        <f t="shared" si="4"/>
        <v>43</v>
      </c>
    </row>
    <row r="220" spans="1:9" x14ac:dyDescent="0.3">
      <c r="A220" s="2" t="s">
        <v>12</v>
      </c>
      <c r="B220" s="2" t="s">
        <v>586</v>
      </c>
      <c r="C220" s="2" t="s">
        <v>301</v>
      </c>
      <c r="D220" s="2" t="s">
        <v>587</v>
      </c>
      <c r="E220" s="2" t="s">
        <v>39</v>
      </c>
      <c r="F220" s="2"/>
      <c r="G220" s="2"/>
      <c r="H220" s="2"/>
      <c r="I220" s="3">
        <f t="shared" si="4"/>
        <v>43</v>
      </c>
    </row>
    <row r="221" spans="1:9" x14ac:dyDescent="0.3">
      <c r="A221" s="2" t="s">
        <v>12</v>
      </c>
      <c r="B221" s="2" t="s">
        <v>567</v>
      </c>
      <c r="C221" s="2" t="s">
        <v>81</v>
      </c>
      <c r="D221" s="2" t="s">
        <v>568</v>
      </c>
      <c r="E221" s="2" t="s">
        <v>39</v>
      </c>
      <c r="F221" s="2"/>
      <c r="G221" s="2"/>
      <c r="H221" s="2"/>
      <c r="I221" s="3">
        <f t="shared" si="4"/>
        <v>43</v>
      </c>
    </row>
    <row r="222" spans="1:9" x14ac:dyDescent="0.3">
      <c r="A222" s="2" t="s">
        <v>12</v>
      </c>
      <c r="B222" s="2" t="s">
        <v>582</v>
      </c>
      <c r="C222" s="2" t="s">
        <v>389</v>
      </c>
      <c r="D222" s="2" t="s">
        <v>583</v>
      </c>
      <c r="E222" s="2" t="s">
        <v>39</v>
      </c>
      <c r="F222" s="2"/>
      <c r="G222" s="2"/>
      <c r="H222" s="2"/>
      <c r="I222" s="3">
        <f t="shared" si="4"/>
        <v>43</v>
      </c>
    </row>
    <row r="223" spans="1:9" x14ac:dyDescent="0.3">
      <c r="A223" s="2" t="s">
        <v>12</v>
      </c>
      <c r="B223" s="2" t="s">
        <v>602</v>
      </c>
      <c r="C223" s="2"/>
      <c r="D223" s="2" t="s">
        <v>603</v>
      </c>
      <c r="E223" s="2"/>
      <c r="F223" s="2"/>
      <c r="G223" s="2"/>
      <c r="H223" s="2"/>
      <c r="I223" s="3">
        <f t="shared" si="4"/>
        <v>44</v>
      </c>
    </row>
    <row r="224" spans="1:9" x14ac:dyDescent="0.3">
      <c r="A224" s="2" t="s">
        <v>12</v>
      </c>
      <c r="B224" s="2" t="s">
        <v>614</v>
      </c>
      <c r="C224" s="2"/>
      <c r="D224" s="2" t="s">
        <v>615</v>
      </c>
      <c r="E224" s="2" t="s">
        <v>616</v>
      </c>
      <c r="F224" s="2"/>
      <c r="G224" s="2"/>
      <c r="H224" s="2"/>
      <c r="I224" s="3">
        <f t="shared" si="4"/>
        <v>44</v>
      </c>
    </row>
    <row r="225" spans="1:9" x14ac:dyDescent="0.3">
      <c r="A225" s="2" t="s">
        <v>12</v>
      </c>
      <c r="B225" s="2" t="s">
        <v>612</v>
      </c>
      <c r="C225" s="2" t="s">
        <v>116</v>
      </c>
      <c r="D225" s="2" t="s">
        <v>613</v>
      </c>
      <c r="E225" s="2"/>
      <c r="F225" s="2"/>
      <c r="G225" s="2"/>
      <c r="H225" s="2"/>
      <c r="I225" s="3">
        <f t="shared" si="4"/>
        <v>44</v>
      </c>
    </row>
    <row r="226" spans="1:9" x14ac:dyDescent="0.3">
      <c r="A226" s="2" t="s">
        <v>12</v>
      </c>
      <c r="B226" s="2" t="s">
        <v>606</v>
      </c>
      <c r="C226" s="2" t="s">
        <v>127</v>
      </c>
      <c r="D226" s="2" t="s">
        <v>607</v>
      </c>
      <c r="E226" s="2"/>
      <c r="F226" s="2"/>
      <c r="G226" s="2"/>
      <c r="H226" s="2"/>
      <c r="I226" s="3">
        <f t="shared" si="4"/>
        <v>44</v>
      </c>
    </row>
    <row r="227" spans="1:9" x14ac:dyDescent="0.3">
      <c r="A227" s="2" t="s">
        <v>12</v>
      </c>
      <c r="B227" s="2" t="s">
        <v>604</v>
      </c>
      <c r="C227" s="2"/>
      <c r="D227" s="2" t="s">
        <v>605</v>
      </c>
      <c r="E227" s="2"/>
      <c r="F227" s="2"/>
      <c r="G227" s="2"/>
      <c r="H227" s="2"/>
      <c r="I227" s="3">
        <f t="shared" si="4"/>
        <v>44</v>
      </c>
    </row>
    <row r="228" spans="1:9" x14ac:dyDescent="0.3">
      <c r="A228" s="2" t="s">
        <v>12</v>
      </c>
      <c r="B228" s="2" t="s">
        <v>610</v>
      </c>
      <c r="C228" s="2" t="s">
        <v>84</v>
      </c>
      <c r="D228" s="2" t="s">
        <v>611</v>
      </c>
      <c r="E228" s="2"/>
      <c r="F228" s="2"/>
      <c r="G228" s="2"/>
      <c r="H228" s="2"/>
      <c r="I228" s="3">
        <f t="shared" si="4"/>
        <v>44</v>
      </c>
    </row>
    <row r="229" spans="1:9" x14ac:dyDescent="0.3">
      <c r="A229" s="2" t="s">
        <v>12</v>
      </c>
      <c r="B229" s="2" t="s">
        <v>608</v>
      </c>
      <c r="C229" s="2" t="s">
        <v>116</v>
      </c>
      <c r="D229" s="2" t="s">
        <v>609</v>
      </c>
      <c r="E229" s="2"/>
      <c r="F229" s="2"/>
      <c r="G229" s="2"/>
      <c r="H229" s="2"/>
      <c r="I229" s="3">
        <f t="shared" si="4"/>
        <v>44</v>
      </c>
    </row>
    <row r="230" spans="1:9" x14ac:dyDescent="0.3">
      <c r="A230" s="2" t="s">
        <v>12</v>
      </c>
      <c r="B230" s="2" t="s">
        <v>602</v>
      </c>
      <c r="C230" s="2"/>
      <c r="D230" s="2" t="s">
        <v>627</v>
      </c>
      <c r="E230" s="2"/>
      <c r="F230" s="2"/>
      <c r="G230" s="2"/>
      <c r="H230" s="2"/>
      <c r="I230" s="3">
        <f t="shared" si="4"/>
        <v>45</v>
      </c>
    </row>
    <row r="231" spans="1:9" x14ac:dyDescent="0.3">
      <c r="A231" s="2" t="s">
        <v>12</v>
      </c>
      <c r="B231" s="2" t="s">
        <v>628</v>
      </c>
      <c r="C231" s="2" t="s">
        <v>95</v>
      </c>
      <c r="D231" s="2" t="s">
        <v>629</v>
      </c>
      <c r="E231" s="2" t="s">
        <v>39</v>
      </c>
      <c r="F231" s="2"/>
      <c r="G231" s="2"/>
      <c r="H231" s="2"/>
      <c r="I231" s="3">
        <f t="shared" si="4"/>
        <v>45</v>
      </c>
    </row>
    <row r="232" spans="1:9" x14ac:dyDescent="0.3">
      <c r="A232" s="2" t="s">
        <v>12</v>
      </c>
      <c r="B232" s="2" t="s">
        <v>642</v>
      </c>
      <c r="C232" s="2" t="s">
        <v>206</v>
      </c>
      <c r="D232" s="2" t="s">
        <v>643</v>
      </c>
      <c r="E232" s="2"/>
      <c r="F232" s="2"/>
      <c r="G232" s="2"/>
      <c r="H232" s="2"/>
      <c r="I232" s="3">
        <f t="shared" si="4"/>
        <v>45</v>
      </c>
    </row>
    <row r="233" spans="1:9" x14ac:dyDescent="0.3">
      <c r="A233" s="2" t="s">
        <v>12</v>
      </c>
      <c r="B233" s="2" t="s">
        <v>672</v>
      </c>
      <c r="C233" s="2" t="s">
        <v>240</v>
      </c>
      <c r="D233" s="2" t="s">
        <v>673</v>
      </c>
      <c r="E233" s="2" t="s">
        <v>674</v>
      </c>
      <c r="F233" s="2"/>
      <c r="G233" s="2"/>
      <c r="H233" s="2"/>
      <c r="I233" s="3">
        <f t="shared" si="4"/>
        <v>46</v>
      </c>
    </row>
    <row r="234" spans="1:9" ht="24" x14ac:dyDescent="0.3">
      <c r="A234" s="2" t="s">
        <v>12</v>
      </c>
      <c r="B234" s="2" t="s">
        <v>661</v>
      </c>
      <c r="C234" s="2"/>
      <c r="D234" s="2" t="s">
        <v>662</v>
      </c>
      <c r="E234" s="2" t="s">
        <v>39</v>
      </c>
      <c r="F234" s="2"/>
      <c r="G234" s="2"/>
      <c r="H234" s="2"/>
      <c r="I234" s="3">
        <f t="shared" si="4"/>
        <v>46</v>
      </c>
    </row>
    <row r="235" spans="1:9" x14ac:dyDescent="0.3">
      <c r="A235" s="2" t="s">
        <v>12</v>
      </c>
      <c r="B235" s="2" t="s">
        <v>455</v>
      </c>
      <c r="C235" s="2"/>
      <c r="D235" s="2" t="s">
        <v>665</v>
      </c>
      <c r="E235" s="2" t="s">
        <v>39</v>
      </c>
      <c r="F235" s="2"/>
      <c r="G235" s="2"/>
      <c r="H235" s="2"/>
      <c r="I235" s="3">
        <f t="shared" si="4"/>
        <v>46</v>
      </c>
    </row>
    <row r="236" spans="1:9" x14ac:dyDescent="0.3">
      <c r="A236" s="2" t="s">
        <v>12</v>
      </c>
      <c r="B236" s="2" t="s">
        <v>490</v>
      </c>
      <c r="C236" s="2" t="s">
        <v>491</v>
      </c>
      <c r="D236" s="2" t="s">
        <v>689</v>
      </c>
      <c r="E236" s="2" t="s">
        <v>39</v>
      </c>
      <c r="F236" s="2"/>
      <c r="G236" s="2"/>
      <c r="H236" s="2"/>
      <c r="I236" s="3">
        <f t="shared" si="4"/>
        <v>47</v>
      </c>
    </row>
    <row r="237" spans="1:9" x14ac:dyDescent="0.3">
      <c r="A237" s="2" t="s">
        <v>12</v>
      </c>
      <c r="B237" s="2" t="s">
        <v>455</v>
      </c>
      <c r="C237" s="2"/>
      <c r="D237" s="2" t="s">
        <v>688</v>
      </c>
      <c r="E237" s="2" t="s">
        <v>39</v>
      </c>
      <c r="F237" s="2"/>
      <c r="G237" s="2"/>
      <c r="H237" s="2"/>
      <c r="I237" s="3">
        <f t="shared" si="4"/>
        <v>47</v>
      </c>
    </row>
    <row r="238" spans="1:9" x14ac:dyDescent="0.3">
      <c r="A238" s="2" t="s">
        <v>12</v>
      </c>
      <c r="B238" s="2" t="s">
        <v>709</v>
      </c>
      <c r="C238" s="2"/>
      <c r="D238" s="2" t="s">
        <v>710</v>
      </c>
      <c r="E238" s="2" t="s">
        <v>39</v>
      </c>
      <c r="F238" s="2"/>
      <c r="G238" s="2"/>
      <c r="H238" s="2"/>
      <c r="I238" s="3">
        <f t="shared" si="4"/>
        <v>48</v>
      </c>
    </row>
    <row r="239" spans="1:9" x14ac:dyDescent="0.3">
      <c r="A239" s="2" t="s">
        <v>12</v>
      </c>
      <c r="B239" s="2" t="s">
        <v>717</v>
      </c>
      <c r="C239" s="2" t="s">
        <v>240</v>
      </c>
      <c r="D239" s="2" t="s">
        <v>718</v>
      </c>
      <c r="E239" s="2" t="s">
        <v>211</v>
      </c>
      <c r="F239" s="2"/>
      <c r="G239" s="2"/>
      <c r="H239" s="2"/>
      <c r="I239" s="3">
        <f t="shared" si="4"/>
        <v>48</v>
      </c>
    </row>
    <row r="240" spans="1:9" x14ac:dyDescent="0.3">
      <c r="A240" s="2" t="s">
        <v>12</v>
      </c>
      <c r="B240" s="2" t="s">
        <v>751</v>
      </c>
      <c r="C240" s="2"/>
      <c r="D240" s="2" t="s">
        <v>752</v>
      </c>
      <c r="E240" s="2" t="s">
        <v>39</v>
      </c>
      <c r="F240" s="2"/>
      <c r="G240" s="2"/>
      <c r="H240" s="2"/>
      <c r="I240" s="3">
        <f t="shared" si="4"/>
        <v>49</v>
      </c>
    </row>
    <row r="241" spans="1:9" x14ac:dyDescent="0.3">
      <c r="A241" s="2" t="s">
        <v>12</v>
      </c>
      <c r="B241" s="2" t="s">
        <v>784</v>
      </c>
      <c r="C241" s="2" t="s">
        <v>491</v>
      </c>
      <c r="D241" s="2" t="s">
        <v>785</v>
      </c>
      <c r="E241" s="2" t="s">
        <v>39</v>
      </c>
      <c r="F241" s="2"/>
      <c r="G241" s="2"/>
      <c r="H241" s="2"/>
      <c r="I241" s="3">
        <f t="shared" si="4"/>
        <v>50</v>
      </c>
    </row>
    <row r="242" spans="1:9" ht="24" x14ac:dyDescent="0.3">
      <c r="A242" s="2" t="s">
        <v>12</v>
      </c>
      <c r="B242" s="2" t="s">
        <v>580</v>
      </c>
      <c r="C242" s="2" t="s">
        <v>389</v>
      </c>
      <c r="D242" s="2" t="s">
        <v>786</v>
      </c>
      <c r="E242" s="2" t="s">
        <v>39</v>
      </c>
      <c r="F242" s="2"/>
      <c r="G242" s="2"/>
      <c r="H242" s="2"/>
      <c r="I242" s="3">
        <f t="shared" si="4"/>
        <v>50</v>
      </c>
    </row>
    <row r="243" spans="1:9" x14ac:dyDescent="0.3">
      <c r="A243" s="2" t="s">
        <v>12</v>
      </c>
      <c r="B243" s="2" t="s">
        <v>782</v>
      </c>
      <c r="C243" s="2" t="s">
        <v>250</v>
      </c>
      <c r="D243" s="2" t="s">
        <v>783</v>
      </c>
      <c r="E243" s="2"/>
      <c r="F243" s="2"/>
      <c r="G243" s="2"/>
      <c r="H243" s="2"/>
      <c r="I243" s="3">
        <f t="shared" si="4"/>
        <v>50</v>
      </c>
    </row>
    <row r="244" spans="1:9" x14ac:dyDescent="0.3">
      <c r="A244" s="2" t="s">
        <v>12</v>
      </c>
      <c r="B244" s="2" t="s">
        <v>790</v>
      </c>
      <c r="C244" s="2" t="s">
        <v>198</v>
      </c>
      <c r="D244" s="2" t="s">
        <v>791</v>
      </c>
      <c r="E244" s="2"/>
      <c r="F244" s="2"/>
      <c r="G244" s="2"/>
      <c r="H244" s="2"/>
      <c r="I244" s="3">
        <f t="shared" si="4"/>
        <v>50</v>
      </c>
    </row>
    <row r="245" spans="1:9" x14ac:dyDescent="0.3">
      <c r="A245" s="2" t="s">
        <v>12</v>
      </c>
      <c r="B245" s="2" t="s">
        <v>497</v>
      </c>
      <c r="C245" s="2"/>
      <c r="D245" s="2" t="s">
        <v>835</v>
      </c>
      <c r="E245" s="2" t="s">
        <v>418</v>
      </c>
      <c r="F245" s="2"/>
      <c r="G245" s="2"/>
      <c r="H245" s="2"/>
      <c r="I245" s="3">
        <f t="shared" si="4"/>
        <v>51</v>
      </c>
    </row>
    <row r="246" spans="1:9" ht="24" x14ac:dyDescent="0.3">
      <c r="A246" s="2" t="s">
        <v>12</v>
      </c>
      <c r="B246" s="2" t="s">
        <v>905</v>
      </c>
      <c r="C246" s="2" t="s">
        <v>389</v>
      </c>
      <c r="D246" s="2" t="s">
        <v>906</v>
      </c>
      <c r="E246" s="2"/>
      <c r="F246" s="2"/>
      <c r="G246" s="2"/>
      <c r="H246" s="2"/>
      <c r="I246" s="3">
        <f t="shared" si="4"/>
        <v>53</v>
      </c>
    </row>
    <row r="247" spans="1:9" x14ac:dyDescent="0.3">
      <c r="A247" s="2" t="s">
        <v>12</v>
      </c>
      <c r="B247" s="2" t="s">
        <v>916</v>
      </c>
      <c r="C247" s="2" t="s">
        <v>95</v>
      </c>
      <c r="D247" s="2" t="s">
        <v>917</v>
      </c>
      <c r="E247" s="2" t="s">
        <v>918</v>
      </c>
      <c r="F247" s="2"/>
      <c r="G247" s="2"/>
      <c r="H247" s="2"/>
      <c r="I247" s="3">
        <f t="shared" si="4"/>
        <v>53</v>
      </c>
    </row>
    <row r="248" spans="1:9" x14ac:dyDescent="0.3">
      <c r="A248" s="2" t="s">
        <v>12</v>
      </c>
      <c r="B248" s="2" t="s">
        <v>907</v>
      </c>
      <c r="C248" s="2" t="s">
        <v>57</v>
      </c>
      <c r="D248" s="2" t="s">
        <v>908</v>
      </c>
      <c r="E248" s="2" t="s">
        <v>39</v>
      </c>
      <c r="F248" s="2"/>
      <c r="G248" s="2"/>
      <c r="H248" s="2"/>
      <c r="I248" s="3">
        <f t="shared" si="4"/>
        <v>53</v>
      </c>
    </row>
    <row r="249" spans="1:9" ht="24" x14ac:dyDescent="0.3">
      <c r="A249" s="2" t="s">
        <v>12</v>
      </c>
      <c r="B249" s="2" t="s">
        <v>955</v>
      </c>
      <c r="C249" s="2" t="s">
        <v>389</v>
      </c>
      <c r="D249" s="2" t="s">
        <v>956</v>
      </c>
      <c r="E249" s="2" t="s">
        <v>39</v>
      </c>
      <c r="F249" s="2"/>
      <c r="G249" s="2"/>
      <c r="H249" s="2"/>
      <c r="I249" s="3">
        <f t="shared" si="4"/>
        <v>54</v>
      </c>
    </row>
    <row r="250" spans="1:9" x14ac:dyDescent="0.3">
      <c r="A250" s="2" t="s">
        <v>12</v>
      </c>
      <c r="B250" s="2" t="s">
        <v>957</v>
      </c>
      <c r="C250" s="2" t="s">
        <v>958</v>
      </c>
      <c r="D250" s="2" t="s">
        <v>959</v>
      </c>
      <c r="E250" s="2"/>
      <c r="F250" s="2"/>
      <c r="G250" s="2"/>
      <c r="H250" s="2"/>
      <c r="I250" s="3">
        <f t="shared" si="4"/>
        <v>54</v>
      </c>
    </row>
    <row r="251" spans="1:9" x14ac:dyDescent="0.3">
      <c r="A251" s="2" t="s">
        <v>12</v>
      </c>
      <c r="B251" s="2" t="s">
        <v>996</v>
      </c>
      <c r="C251" s="2" t="s">
        <v>389</v>
      </c>
      <c r="D251" s="2" t="s">
        <v>997</v>
      </c>
      <c r="E251" s="2"/>
      <c r="F251" s="2"/>
      <c r="G251" s="2"/>
      <c r="H251" s="2"/>
      <c r="I251" s="3">
        <f t="shared" si="4"/>
        <v>55</v>
      </c>
    </row>
    <row r="252" spans="1:9" x14ac:dyDescent="0.3">
      <c r="A252" s="2" t="s">
        <v>12</v>
      </c>
      <c r="B252" s="2" t="s">
        <v>998</v>
      </c>
      <c r="C252" s="2" t="s">
        <v>113</v>
      </c>
      <c r="D252" s="2" t="s">
        <v>999</v>
      </c>
      <c r="E252" s="2" t="s">
        <v>39</v>
      </c>
      <c r="F252" s="2"/>
      <c r="G252" s="2"/>
      <c r="H252" s="2"/>
      <c r="I252" s="3">
        <f t="shared" si="4"/>
        <v>55</v>
      </c>
    </row>
    <row r="253" spans="1:9" ht="24" x14ac:dyDescent="0.3">
      <c r="A253" s="2" t="s">
        <v>12</v>
      </c>
      <c r="B253" s="2" t="s">
        <v>1038</v>
      </c>
      <c r="C253" s="2" t="s">
        <v>389</v>
      </c>
      <c r="D253" s="2" t="s">
        <v>1039</v>
      </c>
      <c r="E253" s="2" t="s">
        <v>39</v>
      </c>
      <c r="F253" s="2"/>
      <c r="G253" s="2"/>
      <c r="H253" s="2"/>
      <c r="I253" s="3">
        <f t="shared" si="4"/>
        <v>56</v>
      </c>
    </row>
    <row r="254" spans="1:9" x14ac:dyDescent="0.3">
      <c r="A254" s="2" t="s">
        <v>12</v>
      </c>
      <c r="B254" s="2" t="s">
        <v>1040</v>
      </c>
      <c r="C254" s="2" t="s">
        <v>389</v>
      </c>
      <c r="D254" s="2" t="s">
        <v>1041</v>
      </c>
      <c r="E254" s="2"/>
      <c r="F254" s="2"/>
      <c r="G254" s="2"/>
      <c r="H254" s="2"/>
      <c r="I254" s="3">
        <f t="shared" si="4"/>
        <v>56</v>
      </c>
    </row>
    <row r="255" spans="1:9" x14ac:dyDescent="0.3">
      <c r="A255" s="2" t="s">
        <v>12</v>
      </c>
      <c r="B255" s="2" t="s">
        <v>520</v>
      </c>
      <c r="C255" s="2"/>
      <c r="D255" s="2" t="s">
        <v>1042</v>
      </c>
      <c r="E255" s="2" t="s">
        <v>39</v>
      </c>
      <c r="F255" s="2"/>
      <c r="G255" s="2"/>
      <c r="H255" s="2"/>
      <c r="I255" s="3">
        <f t="shared" si="4"/>
        <v>56</v>
      </c>
    </row>
    <row r="256" spans="1:9" x14ac:dyDescent="0.3">
      <c r="A256" s="2" t="s">
        <v>12</v>
      </c>
      <c r="B256" s="2" t="s">
        <v>1024</v>
      </c>
      <c r="C256" s="2"/>
      <c r="D256" s="2" t="s">
        <v>1025</v>
      </c>
      <c r="E256" s="2"/>
      <c r="F256" s="2"/>
      <c r="G256" s="2"/>
      <c r="H256" s="2"/>
      <c r="I256" s="3">
        <f t="shared" si="4"/>
        <v>56</v>
      </c>
    </row>
    <row r="257" spans="1:9" x14ac:dyDescent="0.3">
      <c r="A257" s="2" t="s">
        <v>12</v>
      </c>
      <c r="B257" s="2" t="s">
        <v>415</v>
      </c>
      <c r="C257" s="2" t="s">
        <v>160</v>
      </c>
      <c r="D257" s="2" t="s">
        <v>1057</v>
      </c>
      <c r="E257" s="2"/>
      <c r="F257" s="2"/>
      <c r="G257" s="2"/>
      <c r="H257" s="2"/>
      <c r="I257" s="3">
        <f t="shared" ref="I257:I320" si="5">LEN(D257)</f>
        <v>56</v>
      </c>
    </row>
    <row r="258" spans="1:9" x14ac:dyDescent="0.3">
      <c r="A258" s="2" t="s">
        <v>12</v>
      </c>
      <c r="B258" s="2" t="s">
        <v>790</v>
      </c>
      <c r="C258" s="2" t="s">
        <v>198</v>
      </c>
      <c r="D258" s="2" t="s">
        <v>1056</v>
      </c>
      <c r="E258" s="2"/>
      <c r="F258" s="2"/>
      <c r="G258" s="2"/>
      <c r="H258" s="2"/>
      <c r="I258" s="3">
        <f t="shared" si="5"/>
        <v>56</v>
      </c>
    </row>
    <row r="259" spans="1:9" ht="24" x14ac:dyDescent="0.3">
      <c r="A259" s="2" t="s">
        <v>12</v>
      </c>
      <c r="B259" s="2" t="s">
        <v>905</v>
      </c>
      <c r="C259" s="2" t="s">
        <v>389</v>
      </c>
      <c r="D259" s="2" t="s">
        <v>1089</v>
      </c>
      <c r="E259" s="2" t="s">
        <v>39</v>
      </c>
      <c r="F259" s="2"/>
      <c r="G259" s="2"/>
      <c r="H259" s="2"/>
      <c r="I259" s="3">
        <f t="shared" si="5"/>
        <v>57</v>
      </c>
    </row>
    <row r="260" spans="1:9" x14ac:dyDescent="0.3">
      <c r="A260" s="2" t="s">
        <v>12</v>
      </c>
      <c r="B260" s="2" t="s">
        <v>1024</v>
      </c>
      <c r="C260" s="2"/>
      <c r="D260" s="2" t="s">
        <v>1087</v>
      </c>
      <c r="E260" s="2"/>
      <c r="F260" s="2"/>
      <c r="G260" s="2"/>
      <c r="H260" s="2"/>
      <c r="I260" s="3">
        <f t="shared" si="5"/>
        <v>57</v>
      </c>
    </row>
    <row r="261" spans="1:9" x14ac:dyDescent="0.3">
      <c r="A261" s="2" t="s">
        <v>12</v>
      </c>
      <c r="B261" s="2" t="s">
        <v>7826</v>
      </c>
      <c r="C261" s="2" t="s">
        <v>181</v>
      </c>
      <c r="D261" s="2" t="s">
        <v>1096</v>
      </c>
      <c r="E261" s="2"/>
      <c r="F261" s="2"/>
      <c r="G261" s="2"/>
      <c r="H261" s="2"/>
      <c r="I261" s="3">
        <f t="shared" si="5"/>
        <v>57</v>
      </c>
    </row>
    <row r="262" spans="1:9" x14ac:dyDescent="0.3">
      <c r="A262" s="2" t="s">
        <v>12</v>
      </c>
      <c r="B262" s="2" t="s">
        <v>1105</v>
      </c>
      <c r="C262" s="2" t="s">
        <v>98</v>
      </c>
      <c r="D262" s="2" t="s">
        <v>1106</v>
      </c>
      <c r="E262" s="2" t="s">
        <v>242</v>
      </c>
      <c r="F262" s="2"/>
      <c r="G262" s="2"/>
      <c r="H262" s="2"/>
      <c r="I262" s="3">
        <f t="shared" si="5"/>
        <v>57</v>
      </c>
    </row>
    <row r="263" spans="1:9" x14ac:dyDescent="0.3">
      <c r="A263" s="2" t="s">
        <v>12</v>
      </c>
      <c r="B263" s="2" t="s">
        <v>1085</v>
      </c>
      <c r="C263" s="2"/>
      <c r="D263" s="2" t="s">
        <v>1086</v>
      </c>
      <c r="E263" s="2"/>
      <c r="F263" s="2"/>
      <c r="G263" s="2"/>
      <c r="H263" s="2"/>
      <c r="I263" s="3">
        <f t="shared" si="5"/>
        <v>57</v>
      </c>
    </row>
    <row r="264" spans="1:9" x14ac:dyDescent="0.3">
      <c r="A264" s="2" t="s">
        <v>12</v>
      </c>
      <c r="B264" s="2" t="s">
        <v>121</v>
      </c>
      <c r="C264" s="2" t="s">
        <v>1097</v>
      </c>
      <c r="D264" s="2" t="s">
        <v>1098</v>
      </c>
      <c r="E264" s="2"/>
      <c r="F264" s="2"/>
      <c r="G264" s="2"/>
      <c r="H264" s="2"/>
      <c r="I264" s="3">
        <f t="shared" si="5"/>
        <v>57</v>
      </c>
    </row>
    <row r="265" spans="1:9" x14ac:dyDescent="0.3">
      <c r="A265" s="2" t="s">
        <v>12</v>
      </c>
      <c r="B265" s="2" t="s">
        <v>1127</v>
      </c>
      <c r="C265" s="2" t="s">
        <v>491</v>
      </c>
      <c r="D265" s="2" t="s">
        <v>1128</v>
      </c>
      <c r="E265" s="2" t="s">
        <v>39</v>
      </c>
      <c r="F265" s="2"/>
      <c r="G265" s="2"/>
      <c r="H265" s="2"/>
      <c r="I265" s="3">
        <f t="shared" si="5"/>
        <v>58</v>
      </c>
    </row>
    <row r="266" spans="1:9" x14ac:dyDescent="0.3">
      <c r="A266" s="2" t="s">
        <v>12</v>
      </c>
      <c r="B266" s="2" t="s">
        <v>1138</v>
      </c>
      <c r="C266" s="2" t="s">
        <v>240</v>
      </c>
      <c r="D266" s="2" t="s">
        <v>1139</v>
      </c>
      <c r="E266" s="2" t="s">
        <v>1140</v>
      </c>
      <c r="F266" s="2"/>
      <c r="G266" s="2"/>
      <c r="H266" s="2"/>
      <c r="I266" s="3">
        <f t="shared" si="5"/>
        <v>58</v>
      </c>
    </row>
    <row r="267" spans="1:9" x14ac:dyDescent="0.3">
      <c r="A267" s="2" t="s">
        <v>12</v>
      </c>
      <c r="B267" s="2" t="s">
        <v>237</v>
      </c>
      <c r="C267" s="2"/>
      <c r="D267" s="2" t="s">
        <v>1205</v>
      </c>
      <c r="E267" s="2" t="s">
        <v>1206</v>
      </c>
      <c r="F267" s="2"/>
      <c r="G267" s="2"/>
      <c r="H267" s="2"/>
      <c r="I267" s="3">
        <f t="shared" si="5"/>
        <v>59</v>
      </c>
    </row>
    <row r="268" spans="1:9" x14ac:dyDescent="0.3">
      <c r="A268" s="2" t="s">
        <v>12</v>
      </c>
      <c r="B268" s="2" t="s">
        <v>1213</v>
      </c>
      <c r="C268" s="2" t="s">
        <v>329</v>
      </c>
      <c r="D268" s="2" t="s">
        <v>1214</v>
      </c>
      <c r="E268" s="2" t="s">
        <v>39</v>
      </c>
      <c r="F268" s="2"/>
      <c r="G268" s="2"/>
      <c r="H268" s="2"/>
      <c r="I268" s="3">
        <f t="shared" si="5"/>
        <v>59</v>
      </c>
    </row>
    <row r="269" spans="1:9" x14ac:dyDescent="0.3">
      <c r="A269" s="2" t="s">
        <v>12</v>
      </c>
      <c r="B269" s="2" t="s">
        <v>1186</v>
      </c>
      <c r="C269" s="2" t="s">
        <v>240</v>
      </c>
      <c r="D269" s="2" t="s">
        <v>1187</v>
      </c>
      <c r="E269" s="2" t="s">
        <v>1188</v>
      </c>
      <c r="F269" s="2"/>
      <c r="G269" s="2"/>
      <c r="H269" s="2"/>
      <c r="I269" s="3">
        <f t="shared" si="5"/>
        <v>59</v>
      </c>
    </row>
    <row r="270" spans="1:9" x14ac:dyDescent="0.3">
      <c r="A270" s="2" t="s">
        <v>12</v>
      </c>
      <c r="B270" s="2" t="s">
        <v>1197</v>
      </c>
      <c r="C270" s="2" t="s">
        <v>1198</v>
      </c>
      <c r="D270" s="2" t="s">
        <v>1199</v>
      </c>
      <c r="E270" s="2" t="s">
        <v>39</v>
      </c>
      <c r="F270" s="2"/>
      <c r="G270" s="2"/>
      <c r="H270" s="2"/>
      <c r="I270" s="3">
        <f t="shared" si="5"/>
        <v>59</v>
      </c>
    </row>
    <row r="271" spans="1:9" x14ac:dyDescent="0.3">
      <c r="A271" s="2" t="s">
        <v>12</v>
      </c>
      <c r="B271" s="2" t="s">
        <v>1270</v>
      </c>
      <c r="C271" s="2" t="s">
        <v>240</v>
      </c>
      <c r="D271" s="2" t="s">
        <v>1271</v>
      </c>
      <c r="E271" s="2" t="s">
        <v>1272</v>
      </c>
      <c r="F271" s="2"/>
      <c r="G271" s="2"/>
      <c r="H271" s="2"/>
      <c r="I271" s="3">
        <f t="shared" si="5"/>
        <v>60</v>
      </c>
    </row>
    <row r="272" spans="1:9" x14ac:dyDescent="0.3">
      <c r="A272" s="2" t="s">
        <v>12</v>
      </c>
      <c r="B272" s="2" t="s">
        <v>1261</v>
      </c>
      <c r="C272" s="2" t="s">
        <v>491</v>
      </c>
      <c r="D272" s="2" t="s">
        <v>1262</v>
      </c>
      <c r="E272" s="2" t="s">
        <v>39</v>
      </c>
      <c r="F272" s="2"/>
      <c r="G272" s="2"/>
      <c r="H272" s="2"/>
      <c r="I272" s="3">
        <f t="shared" si="5"/>
        <v>60</v>
      </c>
    </row>
    <row r="273" spans="1:9" x14ac:dyDescent="0.3">
      <c r="A273" s="2" t="s">
        <v>12</v>
      </c>
      <c r="B273" s="2" t="s">
        <v>300</v>
      </c>
      <c r="C273" s="2" t="s">
        <v>301</v>
      </c>
      <c r="D273" s="2" t="s">
        <v>1267</v>
      </c>
      <c r="E273" s="2"/>
      <c r="F273" s="2"/>
      <c r="G273" s="2"/>
      <c r="H273" s="2"/>
      <c r="I273" s="3">
        <f t="shared" si="5"/>
        <v>60</v>
      </c>
    </row>
    <row r="274" spans="1:9" x14ac:dyDescent="0.3">
      <c r="A274" s="2" t="s">
        <v>12</v>
      </c>
      <c r="B274" s="2" t="s">
        <v>1301</v>
      </c>
      <c r="C274" s="2" t="s">
        <v>116</v>
      </c>
      <c r="D274" s="2" t="s">
        <v>1302</v>
      </c>
      <c r="E274" s="2" t="s">
        <v>39</v>
      </c>
      <c r="F274" s="2"/>
      <c r="G274" s="2"/>
      <c r="H274" s="2"/>
      <c r="I274" s="3">
        <f t="shared" si="5"/>
        <v>61</v>
      </c>
    </row>
    <row r="275" spans="1:9" x14ac:dyDescent="0.3">
      <c r="A275" s="2" t="s">
        <v>12</v>
      </c>
      <c r="B275" s="2" t="s">
        <v>790</v>
      </c>
      <c r="C275" s="2" t="s">
        <v>198</v>
      </c>
      <c r="D275" s="2" t="s">
        <v>1300</v>
      </c>
      <c r="E275" s="2"/>
      <c r="F275" s="2"/>
      <c r="G275" s="2"/>
      <c r="H275" s="2"/>
      <c r="I275" s="3">
        <f t="shared" si="5"/>
        <v>61</v>
      </c>
    </row>
    <row r="276" spans="1:9" x14ac:dyDescent="0.3">
      <c r="A276" s="2" t="s">
        <v>12</v>
      </c>
      <c r="B276" s="2" t="s">
        <v>455</v>
      </c>
      <c r="C276" s="2" t="s">
        <v>491</v>
      </c>
      <c r="D276" s="2" t="s">
        <v>1347</v>
      </c>
      <c r="E276" s="2" t="s">
        <v>39</v>
      </c>
      <c r="F276" s="2"/>
      <c r="G276" s="2"/>
      <c r="H276" s="2"/>
      <c r="I276" s="3">
        <f t="shared" si="5"/>
        <v>62</v>
      </c>
    </row>
    <row r="277" spans="1:9" x14ac:dyDescent="0.3">
      <c r="A277" s="2" t="s">
        <v>12</v>
      </c>
      <c r="B277" s="2" t="s">
        <v>1414</v>
      </c>
      <c r="C277" s="2" t="s">
        <v>389</v>
      </c>
      <c r="D277" s="2" t="s">
        <v>1415</v>
      </c>
      <c r="E277" s="2"/>
      <c r="F277" s="2"/>
      <c r="G277" s="2"/>
      <c r="H277" s="2"/>
      <c r="I277" s="3">
        <f t="shared" si="5"/>
        <v>63</v>
      </c>
    </row>
    <row r="278" spans="1:9" ht="24" x14ac:dyDescent="0.3">
      <c r="A278" s="2" t="s">
        <v>12</v>
      </c>
      <c r="B278" s="2" t="s">
        <v>1416</v>
      </c>
      <c r="C278" s="2" t="s">
        <v>1417</v>
      </c>
      <c r="D278" s="2" t="s">
        <v>1418</v>
      </c>
      <c r="E278" s="2" t="s">
        <v>39</v>
      </c>
      <c r="F278" s="2"/>
      <c r="G278" s="2"/>
      <c r="H278" s="2"/>
      <c r="I278" s="3">
        <f t="shared" si="5"/>
        <v>63</v>
      </c>
    </row>
    <row r="279" spans="1:9" x14ac:dyDescent="0.3">
      <c r="A279" s="2" t="s">
        <v>12</v>
      </c>
      <c r="B279" s="2" t="s">
        <v>1412</v>
      </c>
      <c r="C279" s="2"/>
      <c r="D279" s="2" t="s">
        <v>1413</v>
      </c>
      <c r="E279" s="2" t="s">
        <v>39</v>
      </c>
      <c r="F279" s="2"/>
      <c r="G279" s="2"/>
      <c r="H279" s="2"/>
      <c r="I279" s="3">
        <f t="shared" si="5"/>
        <v>63</v>
      </c>
    </row>
    <row r="280" spans="1:9" ht="24" x14ac:dyDescent="0.3">
      <c r="A280" s="2" t="s">
        <v>12</v>
      </c>
      <c r="B280" s="2" t="s">
        <v>1425</v>
      </c>
      <c r="C280" s="2" t="s">
        <v>110</v>
      </c>
      <c r="D280" s="2" t="s">
        <v>1426</v>
      </c>
      <c r="E280" s="2" t="s">
        <v>39</v>
      </c>
      <c r="F280" s="2"/>
      <c r="G280" s="2"/>
      <c r="H280" s="2"/>
      <c r="I280" s="3">
        <f t="shared" si="5"/>
        <v>63</v>
      </c>
    </row>
    <row r="281" spans="1:9" x14ac:dyDescent="0.3">
      <c r="A281" s="2" t="s">
        <v>12</v>
      </c>
      <c r="B281" s="2" t="s">
        <v>790</v>
      </c>
      <c r="C281" s="2" t="s">
        <v>198</v>
      </c>
      <c r="D281" s="2" t="s">
        <v>1424</v>
      </c>
      <c r="E281" s="2"/>
      <c r="F281" s="2"/>
      <c r="G281" s="2"/>
      <c r="H281" s="2"/>
      <c r="I281" s="3">
        <f t="shared" si="5"/>
        <v>63</v>
      </c>
    </row>
    <row r="282" spans="1:9" x14ac:dyDescent="0.3">
      <c r="A282" s="2" t="s">
        <v>12</v>
      </c>
      <c r="B282" s="2" t="s">
        <v>1479</v>
      </c>
      <c r="C282" s="2"/>
      <c r="D282" s="2" t="s">
        <v>1480</v>
      </c>
      <c r="E282" s="2" t="s">
        <v>1188</v>
      </c>
      <c r="F282" s="2"/>
      <c r="G282" s="2"/>
      <c r="H282" s="2"/>
      <c r="I282" s="3">
        <f t="shared" si="5"/>
        <v>64</v>
      </c>
    </row>
    <row r="283" spans="1:9" x14ac:dyDescent="0.3">
      <c r="A283" s="2" t="s">
        <v>12</v>
      </c>
      <c r="B283" s="2" t="s">
        <v>1489</v>
      </c>
      <c r="C283" s="2" t="s">
        <v>1255</v>
      </c>
      <c r="D283" s="2" t="s">
        <v>1490</v>
      </c>
      <c r="E283" s="2"/>
      <c r="F283" s="2"/>
      <c r="G283" s="2"/>
      <c r="H283" s="2"/>
      <c r="I283" s="3">
        <f t="shared" si="5"/>
        <v>64</v>
      </c>
    </row>
    <row r="284" spans="1:9" x14ac:dyDescent="0.3">
      <c r="A284" s="2" t="s">
        <v>12</v>
      </c>
      <c r="B284" s="2" t="s">
        <v>237</v>
      </c>
      <c r="C284" s="2" t="s">
        <v>1553</v>
      </c>
      <c r="D284" s="2" t="s">
        <v>1554</v>
      </c>
      <c r="E284" s="2" t="s">
        <v>1555</v>
      </c>
      <c r="F284" s="2"/>
      <c r="G284" s="2"/>
      <c r="H284" s="2"/>
      <c r="I284" s="3">
        <f t="shared" si="5"/>
        <v>65</v>
      </c>
    </row>
    <row r="285" spans="1:9" x14ac:dyDescent="0.3">
      <c r="A285" s="2" t="s">
        <v>12</v>
      </c>
      <c r="B285" s="2" t="s">
        <v>1537</v>
      </c>
      <c r="C285" s="2" t="s">
        <v>95</v>
      </c>
      <c r="D285" s="2" t="s">
        <v>1538</v>
      </c>
      <c r="E285" s="2" t="s">
        <v>39</v>
      </c>
      <c r="F285" s="2"/>
      <c r="G285" s="2"/>
      <c r="H285" s="2"/>
      <c r="I285" s="3">
        <f t="shared" si="5"/>
        <v>65</v>
      </c>
    </row>
    <row r="286" spans="1:9" ht="24" x14ac:dyDescent="0.3">
      <c r="A286" s="2" t="s">
        <v>12</v>
      </c>
      <c r="B286" s="2" t="s">
        <v>1197</v>
      </c>
      <c r="C286" s="2" t="s">
        <v>1653</v>
      </c>
      <c r="D286" s="2" t="s">
        <v>1654</v>
      </c>
      <c r="E286" s="2"/>
      <c r="F286" s="2"/>
      <c r="G286" s="2"/>
      <c r="H286" s="2"/>
      <c r="I286" s="3">
        <f t="shared" si="5"/>
        <v>67</v>
      </c>
    </row>
    <row r="287" spans="1:9" x14ac:dyDescent="0.3">
      <c r="A287" s="2" t="s">
        <v>12</v>
      </c>
      <c r="B287" s="2" t="s">
        <v>1715</v>
      </c>
      <c r="C287" s="2"/>
      <c r="D287" s="2" t="s">
        <v>1716</v>
      </c>
      <c r="E287" s="2" t="s">
        <v>39</v>
      </c>
      <c r="F287" s="2"/>
      <c r="G287" s="2" t="s">
        <v>1717</v>
      </c>
      <c r="H287" s="2"/>
      <c r="I287" s="3">
        <f t="shared" si="5"/>
        <v>68</v>
      </c>
    </row>
    <row r="288" spans="1:9" x14ac:dyDescent="0.3">
      <c r="A288" s="2" t="s">
        <v>12</v>
      </c>
      <c r="B288" s="2" t="s">
        <v>1761</v>
      </c>
      <c r="C288" s="2"/>
      <c r="D288" s="2" t="s">
        <v>1762</v>
      </c>
      <c r="E288" s="2"/>
      <c r="F288" s="2"/>
      <c r="G288" s="2"/>
      <c r="H288" s="2"/>
      <c r="I288" s="3">
        <f t="shared" si="5"/>
        <v>69</v>
      </c>
    </row>
    <row r="289" spans="1:9" x14ac:dyDescent="0.3">
      <c r="A289" s="2" t="s">
        <v>12</v>
      </c>
      <c r="B289" s="2" t="s">
        <v>1777</v>
      </c>
      <c r="C289" s="2" t="s">
        <v>35</v>
      </c>
      <c r="D289" s="2" t="s">
        <v>9040</v>
      </c>
      <c r="E289" s="2"/>
      <c r="F289" s="2" t="s">
        <v>1778</v>
      </c>
      <c r="G289" s="2" t="s">
        <v>1717</v>
      </c>
      <c r="H289" s="2"/>
      <c r="I289" s="3">
        <f t="shared" si="5"/>
        <v>67</v>
      </c>
    </row>
    <row r="290" spans="1:9" ht="24" x14ac:dyDescent="0.3">
      <c r="A290" s="2" t="s">
        <v>12</v>
      </c>
      <c r="B290" s="2" t="s">
        <v>1767</v>
      </c>
      <c r="C290" s="2" t="s">
        <v>389</v>
      </c>
      <c r="D290" s="2" t="s">
        <v>1768</v>
      </c>
      <c r="E290" s="2" t="s">
        <v>39</v>
      </c>
      <c r="F290" s="2"/>
      <c r="G290" s="2"/>
      <c r="H290" s="2"/>
      <c r="I290" s="3">
        <f t="shared" si="5"/>
        <v>69</v>
      </c>
    </row>
    <row r="291" spans="1:9" x14ac:dyDescent="0.3">
      <c r="A291" s="2" t="s">
        <v>12</v>
      </c>
      <c r="B291" s="2" t="s">
        <v>1765</v>
      </c>
      <c r="C291" s="2" t="s">
        <v>491</v>
      </c>
      <c r="D291" s="2" t="s">
        <v>1766</v>
      </c>
      <c r="E291" s="2" t="s">
        <v>39</v>
      </c>
      <c r="F291" s="2"/>
      <c r="G291" s="2"/>
      <c r="H291" s="2"/>
      <c r="I291" s="3">
        <f t="shared" si="5"/>
        <v>69</v>
      </c>
    </row>
    <row r="292" spans="1:9" x14ac:dyDescent="0.3">
      <c r="A292" s="2" t="s">
        <v>12</v>
      </c>
      <c r="B292" s="2" t="s">
        <v>1831</v>
      </c>
      <c r="C292" s="2" t="s">
        <v>389</v>
      </c>
      <c r="D292" s="2" t="s">
        <v>1832</v>
      </c>
      <c r="E292" s="2" t="s">
        <v>39</v>
      </c>
      <c r="F292" s="2"/>
      <c r="G292" s="2"/>
      <c r="H292" s="2"/>
      <c r="I292" s="3">
        <f t="shared" si="5"/>
        <v>70</v>
      </c>
    </row>
    <row r="293" spans="1:9" x14ac:dyDescent="0.3">
      <c r="A293" s="2" t="s">
        <v>12</v>
      </c>
      <c r="B293" s="2" t="s">
        <v>237</v>
      </c>
      <c r="C293" s="2"/>
      <c r="D293" s="2" t="s">
        <v>8694</v>
      </c>
      <c r="E293" s="2" t="s">
        <v>1894</v>
      </c>
      <c r="F293" s="2"/>
      <c r="G293" s="2"/>
      <c r="H293" s="2"/>
      <c r="I293" s="3">
        <f t="shared" si="5"/>
        <v>71</v>
      </c>
    </row>
    <row r="294" spans="1:9" ht="24" x14ac:dyDescent="0.3">
      <c r="A294" s="2" t="s">
        <v>12</v>
      </c>
      <c r="B294" s="2" t="s">
        <v>1767</v>
      </c>
      <c r="C294" s="2" t="s">
        <v>389</v>
      </c>
      <c r="D294" s="2" t="s">
        <v>1884</v>
      </c>
      <c r="E294" s="2"/>
      <c r="F294" s="2"/>
      <c r="G294" s="2"/>
      <c r="H294" s="2"/>
      <c r="I294" s="3">
        <f t="shared" si="5"/>
        <v>71</v>
      </c>
    </row>
    <row r="295" spans="1:9" x14ac:dyDescent="0.3">
      <c r="A295" s="2" t="s">
        <v>12</v>
      </c>
      <c r="B295" s="2" t="s">
        <v>491</v>
      </c>
      <c r="C295" s="2" t="s">
        <v>491</v>
      </c>
      <c r="D295" s="2" t="s">
        <v>1945</v>
      </c>
      <c r="E295" s="2" t="s">
        <v>39</v>
      </c>
      <c r="F295" s="2"/>
      <c r="G295" s="2"/>
      <c r="H295" s="2"/>
      <c r="I295" s="3">
        <f t="shared" si="5"/>
        <v>72</v>
      </c>
    </row>
    <row r="296" spans="1:9" x14ac:dyDescent="0.3">
      <c r="A296" s="2" t="s">
        <v>12</v>
      </c>
      <c r="B296" s="2" t="s">
        <v>491</v>
      </c>
      <c r="C296" s="2" t="s">
        <v>491</v>
      </c>
      <c r="D296" s="2" t="s">
        <v>1946</v>
      </c>
      <c r="E296" s="2" t="s">
        <v>39</v>
      </c>
      <c r="F296" s="2"/>
      <c r="G296" s="2"/>
      <c r="H296" s="2"/>
      <c r="I296" s="3">
        <f t="shared" si="5"/>
        <v>72</v>
      </c>
    </row>
    <row r="297" spans="1:9" x14ac:dyDescent="0.3">
      <c r="A297" s="2" t="s">
        <v>12</v>
      </c>
      <c r="B297" s="2" t="s">
        <v>1321</v>
      </c>
      <c r="C297" s="2"/>
      <c r="D297" s="2" t="s">
        <v>1958</v>
      </c>
      <c r="E297" s="2"/>
      <c r="F297" s="2"/>
      <c r="G297" s="2"/>
      <c r="H297" s="2"/>
      <c r="I297" s="3">
        <f t="shared" si="5"/>
        <v>72</v>
      </c>
    </row>
    <row r="298" spans="1:9" x14ac:dyDescent="0.3">
      <c r="A298" s="2" t="s">
        <v>12</v>
      </c>
      <c r="B298" s="2" t="s">
        <v>1270</v>
      </c>
      <c r="C298" s="2" t="s">
        <v>240</v>
      </c>
      <c r="D298" s="2" t="s">
        <v>8695</v>
      </c>
      <c r="E298" s="2" t="s">
        <v>1960</v>
      </c>
      <c r="F298" s="2"/>
      <c r="G298" s="2"/>
      <c r="H298" s="2"/>
      <c r="I298" s="3">
        <f t="shared" si="5"/>
        <v>72</v>
      </c>
    </row>
    <row r="299" spans="1:9" ht="24" x14ac:dyDescent="0.3">
      <c r="A299" s="2" t="s">
        <v>12</v>
      </c>
      <c r="B299" s="2" t="s">
        <v>1953</v>
      </c>
      <c r="C299" s="2" t="s">
        <v>348</v>
      </c>
      <c r="D299" s="2" t="s">
        <v>1954</v>
      </c>
      <c r="E299" s="2"/>
      <c r="F299" s="2"/>
      <c r="G299" s="2" t="s">
        <v>350</v>
      </c>
      <c r="H299" s="2"/>
      <c r="I299" s="3">
        <f t="shared" si="5"/>
        <v>72</v>
      </c>
    </row>
    <row r="300" spans="1:9" x14ac:dyDescent="0.3">
      <c r="A300" s="2" t="s">
        <v>12</v>
      </c>
      <c r="B300" s="2" t="s">
        <v>1959</v>
      </c>
      <c r="C300" s="2" t="s">
        <v>75</v>
      </c>
      <c r="D300" s="2" t="s">
        <v>9041</v>
      </c>
      <c r="E300" s="2"/>
      <c r="F300" s="2" t="s">
        <v>1778</v>
      </c>
      <c r="G300" s="2" t="s">
        <v>1717</v>
      </c>
      <c r="H300" s="2"/>
      <c r="I300" s="3">
        <f t="shared" si="5"/>
        <v>70</v>
      </c>
    </row>
    <row r="301" spans="1:9" x14ac:dyDescent="0.3">
      <c r="A301" s="2" t="s">
        <v>12</v>
      </c>
      <c r="B301" s="2" t="s">
        <v>996</v>
      </c>
      <c r="C301" s="2" t="s">
        <v>389</v>
      </c>
      <c r="D301" s="2" t="s">
        <v>1947</v>
      </c>
      <c r="E301" s="2"/>
      <c r="F301" s="2"/>
      <c r="G301" s="2"/>
      <c r="H301" s="2"/>
      <c r="I301" s="3">
        <f t="shared" si="5"/>
        <v>72</v>
      </c>
    </row>
    <row r="302" spans="1:9" x14ac:dyDescent="0.3">
      <c r="A302" s="2" t="s">
        <v>12</v>
      </c>
      <c r="B302" s="2" t="s">
        <v>2069</v>
      </c>
      <c r="C302" s="2" t="s">
        <v>2070</v>
      </c>
      <c r="D302" s="2" t="s">
        <v>2071</v>
      </c>
      <c r="E302" s="2"/>
      <c r="F302" s="2"/>
      <c r="G302" s="2" t="s">
        <v>350</v>
      </c>
      <c r="H302" s="2"/>
      <c r="I302" s="3">
        <f t="shared" si="5"/>
        <v>74</v>
      </c>
    </row>
    <row r="303" spans="1:9" ht="24" x14ac:dyDescent="0.3">
      <c r="A303" s="2" t="s">
        <v>12</v>
      </c>
      <c r="B303" s="2" t="s">
        <v>2062</v>
      </c>
      <c r="C303" s="2" t="s">
        <v>2063</v>
      </c>
      <c r="D303" s="2" t="s">
        <v>2064</v>
      </c>
      <c r="E303" s="2"/>
      <c r="F303" s="2"/>
      <c r="G303" s="2"/>
      <c r="H303" s="2"/>
      <c r="I303" s="3">
        <f t="shared" si="5"/>
        <v>74</v>
      </c>
    </row>
    <row r="304" spans="1:9" x14ac:dyDescent="0.3">
      <c r="A304" s="2" t="s">
        <v>12</v>
      </c>
      <c r="B304" s="2" t="s">
        <v>2119</v>
      </c>
      <c r="C304" s="2"/>
      <c r="D304" s="2" t="s">
        <v>2120</v>
      </c>
      <c r="E304" s="2" t="s">
        <v>2121</v>
      </c>
      <c r="F304" s="2"/>
      <c r="G304" s="2"/>
      <c r="H304" s="2"/>
      <c r="I304" s="3">
        <f t="shared" si="5"/>
        <v>75</v>
      </c>
    </row>
    <row r="305" spans="1:9" x14ac:dyDescent="0.3">
      <c r="A305" s="2" t="s">
        <v>12</v>
      </c>
      <c r="B305" s="2" t="s">
        <v>2187</v>
      </c>
      <c r="C305" s="2" t="s">
        <v>240</v>
      </c>
      <c r="D305" s="2" t="s">
        <v>2188</v>
      </c>
      <c r="E305" s="2" t="s">
        <v>211</v>
      </c>
      <c r="F305" s="2"/>
      <c r="G305" s="2"/>
      <c r="H305" s="2"/>
      <c r="I305" s="3">
        <f t="shared" si="5"/>
        <v>76</v>
      </c>
    </row>
    <row r="306" spans="1:9" x14ac:dyDescent="0.3">
      <c r="A306" s="2" t="s">
        <v>12</v>
      </c>
      <c r="B306" s="2" t="s">
        <v>790</v>
      </c>
      <c r="C306" s="2" t="s">
        <v>198</v>
      </c>
      <c r="D306" s="2" t="s">
        <v>2183</v>
      </c>
      <c r="E306" s="2"/>
      <c r="F306" s="2"/>
      <c r="G306" s="2"/>
      <c r="H306" s="2"/>
      <c r="I306" s="3">
        <f t="shared" si="5"/>
        <v>76</v>
      </c>
    </row>
    <row r="307" spans="1:9" x14ac:dyDescent="0.3">
      <c r="A307" s="2" t="s">
        <v>12</v>
      </c>
      <c r="B307" s="2" t="s">
        <v>2222</v>
      </c>
      <c r="C307" s="2" t="s">
        <v>130</v>
      </c>
      <c r="D307" s="2" t="s">
        <v>2223</v>
      </c>
      <c r="E307" s="2"/>
      <c r="F307" s="2"/>
      <c r="G307" s="2"/>
      <c r="H307" s="2"/>
      <c r="I307" s="3">
        <f t="shared" si="5"/>
        <v>77</v>
      </c>
    </row>
    <row r="308" spans="1:9" x14ac:dyDescent="0.3">
      <c r="A308" s="2" t="s">
        <v>12</v>
      </c>
      <c r="B308" s="2" t="s">
        <v>790</v>
      </c>
      <c r="C308" s="2" t="s">
        <v>198</v>
      </c>
      <c r="D308" s="2" t="s">
        <v>2221</v>
      </c>
      <c r="E308" s="2" t="s">
        <v>39</v>
      </c>
      <c r="F308" s="2"/>
      <c r="G308" s="2"/>
      <c r="H308" s="2"/>
      <c r="I308" s="3">
        <f t="shared" si="5"/>
        <v>77</v>
      </c>
    </row>
    <row r="309" spans="1:9" x14ac:dyDescent="0.3">
      <c r="A309" s="2" t="s">
        <v>12</v>
      </c>
      <c r="B309" s="2" t="s">
        <v>2283</v>
      </c>
      <c r="C309" s="2" t="s">
        <v>130</v>
      </c>
      <c r="D309" s="2" t="s">
        <v>9042</v>
      </c>
      <c r="E309" s="2"/>
      <c r="F309" s="2" t="s">
        <v>1778</v>
      </c>
      <c r="G309" s="2" t="s">
        <v>1717</v>
      </c>
      <c r="H309" s="2"/>
      <c r="I309" s="3">
        <f t="shared" si="5"/>
        <v>76</v>
      </c>
    </row>
    <row r="310" spans="1:9" x14ac:dyDescent="0.3">
      <c r="A310" s="2" t="s">
        <v>12</v>
      </c>
      <c r="B310" s="2" t="s">
        <v>2282</v>
      </c>
      <c r="C310" s="2"/>
      <c r="D310" s="2" t="s">
        <v>9043</v>
      </c>
      <c r="E310" s="2" t="s">
        <v>39</v>
      </c>
      <c r="F310" s="2" t="s">
        <v>2281</v>
      </c>
      <c r="G310" s="2" t="s">
        <v>1717</v>
      </c>
      <c r="H310" s="2"/>
      <c r="I310" s="3">
        <f t="shared" si="5"/>
        <v>76</v>
      </c>
    </row>
    <row r="311" spans="1:9" ht="24" x14ac:dyDescent="0.3">
      <c r="A311" s="2" t="s">
        <v>12</v>
      </c>
      <c r="B311" s="2" t="s">
        <v>2280</v>
      </c>
      <c r="C311" s="2"/>
      <c r="D311" s="2" t="s">
        <v>9044</v>
      </c>
      <c r="E311" s="2" t="s">
        <v>39</v>
      </c>
      <c r="F311" s="2" t="s">
        <v>2281</v>
      </c>
      <c r="G311" s="2" t="s">
        <v>1717</v>
      </c>
      <c r="H311" s="2"/>
      <c r="I311" s="3">
        <f t="shared" si="5"/>
        <v>76</v>
      </c>
    </row>
    <row r="312" spans="1:9" x14ac:dyDescent="0.3">
      <c r="A312" s="2" t="s">
        <v>12</v>
      </c>
      <c r="B312" s="2" t="s">
        <v>2369</v>
      </c>
      <c r="C312" s="2" t="s">
        <v>116</v>
      </c>
      <c r="D312" s="2" t="s">
        <v>2370</v>
      </c>
      <c r="E312" s="2"/>
      <c r="F312" s="2"/>
      <c r="G312" s="2"/>
      <c r="H312" s="2"/>
      <c r="I312" s="3">
        <f t="shared" si="5"/>
        <v>80</v>
      </c>
    </row>
    <row r="313" spans="1:9" x14ac:dyDescent="0.3">
      <c r="A313" s="2" t="s">
        <v>12</v>
      </c>
      <c r="B313" s="2" t="s">
        <v>2371</v>
      </c>
      <c r="C313" s="2"/>
      <c r="D313" s="2" t="s">
        <v>2372</v>
      </c>
      <c r="E313" s="2" t="s">
        <v>2373</v>
      </c>
      <c r="F313" s="2"/>
      <c r="G313" s="2"/>
      <c r="H313" s="2"/>
      <c r="I313" s="3">
        <f t="shared" si="5"/>
        <v>80</v>
      </c>
    </row>
    <row r="314" spans="1:9" x14ac:dyDescent="0.3">
      <c r="A314" s="2" t="s">
        <v>12</v>
      </c>
      <c r="B314" s="2" t="s">
        <v>546</v>
      </c>
      <c r="C314" s="2" t="s">
        <v>389</v>
      </c>
      <c r="D314" s="2" t="s">
        <v>2402</v>
      </c>
      <c r="E314" s="2"/>
      <c r="F314" s="2"/>
      <c r="G314" s="2"/>
      <c r="H314" s="2"/>
      <c r="I314" s="3">
        <f t="shared" si="5"/>
        <v>81</v>
      </c>
    </row>
    <row r="315" spans="1:9" x14ac:dyDescent="0.3">
      <c r="A315" s="2" t="s">
        <v>12</v>
      </c>
      <c r="B315" s="2" t="s">
        <v>66</v>
      </c>
      <c r="C315" s="2" t="s">
        <v>50</v>
      </c>
      <c r="D315" s="2" t="s">
        <v>9045</v>
      </c>
      <c r="E315" s="2"/>
      <c r="F315" s="2" t="s">
        <v>1778</v>
      </c>
      <c r="G315" s="2" t="s">
        <v>1717</v>
      </c>
      <c r="H315" s="2"/>
      <c r="I315" s="3">
        <f t="shared" si="5"/>
        <v>79</v>
      </c>
    </row>
    <row r="316" spans="1:9" ht="24" x14ac:dyDescent="0.3">
      <c r="A316" s="2" t="s">
        <v>12</v>
      </c>
      <c r="B316" s="2" t="s">
        <v>2410</v>
      </c>
      <c r="C316" s="2" t="s">
        <v>2411</v>
      </c>
      <c r="D316" s="2" t="s">
        <v>2412</v>
      </c>
      <c r="E316" s="2" t="s">
        <v>2413</v>
      </c>
      <c r="F316" s="2"/>
      <c r="G316" s="2"/>
      <c r="H316" s="2"/>
      <c r="I316" s="3">
        <f t="shared" si="5"/>
        <v>81</v>
      </c>
    </row>
    <row r="317" spans="1:9" x14ac:dyDescent="0.3">
      <c r="A317" s="2" t="s">
        <v>12</v>
      </c>
      <c r="B317" s="2" t="s">
        <v>1537</v>
      </c>
      <c r="C317" s="2"/>
      <c r="D317" s="2" t="s">
        <v>2533</v>
      </c>
      <c r="E317" s="2"/>
      <c r="F317" s="2"/>
      <c r="G317" s="2"/>
      <c r="H317" s="2"/>
      <c r="I317" s="3">
        <f t="shared" si="5"/>
        <v>83</v>
      </c>
    </row>
    <row r="318" spans="1:9" x14ac:dyDescent="0.3">
      <c r="A318" s="2" t="s">
        <v>12</v>
      </c>
      <c r="B318" s="2" t="s">
        <v>2595</v>
      </c>
      <c r="C318" s="2" t="s">
        <v>389</v>
      </c>
      <c r="D318" s="2" t="s">
        <v>2596</v>
      </c>
      <c r="E318" s="2" t="s">
        <v>39</v>
      </c>
      <c r="F318" s="2"/>
      <c r="G318" s="2"/>
      <c r="H318" s="2"/>
      <c r="I318" s="3">
        <f t="shared" si="5"/>
        <v>84</v>
      </c>
    </row>
    <row r="319" spans="1:9" x14ac:dyDescent="0.3">
      <c r="A319" s="2" t="s">
        <v>12</v>
      </c>
      <c r="B319" s="2" t="s">
        <v>2597</v>
      </c>
      <c r="C319" s="2" t="s">
        <v>389</v>
      </c>
      <c r="D319" s="2" t="s">
        <v>2598</v>
      </c>
      <c r="E319" s="2" t="s">
        <v>39</v>
      </c>
      <c r="F319" s="2"/>
      <c r="G319" s="2"/>
      <c r="H319" s="2"/>
      <c r="I319" s="3">
        <f t="shared" si="5"/>
        <v>84</v>
      </c>
    </row>
    <row r="320" spans="1:9" ht="24" x14ac:dyDescent="0.3">
      <c r="A320" s="2" t="s">
        <v>12</v>
      </c>
      <c r="B320" s="2" t="s">
        <v>2650</v>
      </c>
      <c r="C320" s="2" t="s">
        <v>389</v>
      </c>
      <c r="D320" s="2" t="s">
        <v>2651</v>
      </c>
      <c r="E320" s="2"/>
      <c r="F320" s="2"/>
      <c r="G320" s="2"/>
      <c r="H320" s="2"/>
      <c r="I320" s="3">
        <f t="shared" si="5"/>
        <v>85</v>
      </c>
    </row>
    <row r="321" spans="1:9" x14ac:dyDescent="0.3">
      <c r="A321" s="2" t="s">
        <v>12</v>
      </c>
      <c r="B321" s="2" t="s">
        <v>2729</v>
      </c>
      <c r="C321" s="2" t="s">
        <v>2730</v>
      </c>
      <c r="D321" s="2" t="s">
        <v>2731</v>
      </c>
      <c r="E321" s="2"/>
      <c r="F321" s="2"/>
      <c r="G321" s="2"/>
      <c r="H321" s="2"/>
      <c r="I321" s="3">
        <f t="shared" ref="I321:I384" si="6">LEN(D321)</f>
        <v>86</v>
      </c>
    </row>
    <row r="322" spans="1:9" x14ac:dyDescent="0.3">
      <c r="A322" s="2" t="s">
        <v>12</v>
      </c>
      <c r="B322" s="2" t="s">
        <v>2770</v>
      </c>
      <c r="C322" s="2" t="s">
        <v>332</v>
      </c>
      <c r="D322" s="2" t="s">
        <v>2771</v>
      </c>
      <c r="E322" s="2" t="s">
        <v>2218</v>
      </c>
      <c r="F322" s="2"/>
      <c r="G322" s="2"/>
      <c r="H322" s="2"/>
      <c r="I322" s="3">
        <f t="shared" si="6"/>
        <v>87</v>
      </c>
    </row>
    <row r="323" spans="1:9" x14ac:dyDescent="0.3">
      <c r="A323" s="2" t="s">
        <v>12</v>
      </c>
      <c r="B323" s="2" t="s">
        <v>2938</v>
      </c>
      <c r="C323" s="2" t="s">
        <v>2939</v>
      </c>
      <c r="D323" s="2" t="s">
        <v>2940</v>
      </c>
      <c r="E323" s="2"/>
      <c r="F323" s="2"/>
      <c r="G323" s="2"/>
      <c r="H323" s="2"/>
      <c r="I323" s="3">
        <f t="shared" si="6"/>
        <v>90</v>
      </c>
    </row>
    <row r="324" spans="1:9" x14ac:dyDescent="0.3">
      <c r="A324" s="2" t="s">
        <v>12</v>
      </c>
      <c r="B324" s="2" t="s">
        <v>2947</v>
      </c>
      <c r="C324" s="2" t="s">
        <v>301</v>
      </c>
      <c r="D324" s="2" t="s">
        <v>2948</v>
      </c>
      <c r="E324" s="2"/>
      <c r="F324" s="2"/>
      <c r="G324" s="2"/>
      <c r="H324" s="2"/>
      <c r="I324" s="3">
        <f t="shared" si="6"/>
        <v>90</v>
      </c>
    </row>
    <row r="325" spans="1:9" x14ac:dyDescent="0.3">
      <c r="A325" s="2" t="s">
        <v>12</v>
      </c>
      <c r="B325" s="2" t="s">
        <v>490</v>
      </c>
      <c r="C325" s="2" t="s">
        <v>491</v>
      </c>
      <c r="D325" s="2" t="s">
        <v>2991</v>
      </c>
      <c r="E325" s="2" t="s">
        <v>39</v>
      </c>
      <c r="F325" s="2"/>
      <c r="G325" s="2"/>
      <c r="H325" s="2"/>
      <c r="I325" s="3">
        <f t="shared" si="6"/>
        <v>91</v>
      </c>
    </row>
    <row r="326" spans="1:9" x14ac:dyDescent="0.3">
      <c r="A326" s="2" t="s">
        <v>12</v>
      </c>
      <c r="B326" s="2" t="s">
        <v>3079</v>
      </c>
      <c r="C326" s="2" t="s">
        <v>95</v>
      </c>
      <c r="D326" s="2" t="s">
        <v>3080</v>
      </c>
      <c r="E326" s="2"/>
      <c r="F326" s="2"/>
      <c r="G326" s="2"/>
      <c r="H326" s="2"/>
      <c r="I326" s="3">
        <f t="shared" si="6"/>
        <v>93</v>
      </c>
    </row>
    <row r="327" spans="1:9" x14ac:dyDescent="0.3">
      <c r="A327" s="2" t="s">
        <v>12</v>
      </c>
      <c r="B327" s="2" t="s">
        <v>3081</v>
      </c>
      <c r="C327" s="2" t="s">
        <v>116</v>
      </c>
      <c r="D327" s="2" t="s">
        <v>9046</v>
      </c>
      <c r="E327" s="2"/>
      <c r="F327" s="2" t="s">
        <v>3082</v>
      </c>
      <c r="G327" s="2" t="s">
        <v>1717</v>
      </c>
      <c r="H327" s="2"/>
      <c r="I327" s="3">
        <f t="shared" si="6"/>
        <v>91</v>
      </c>
    </row>
    <row r="328" spans="1:9" x14ac:dyDescent="0.3">
      <c r="A328" s="2" t="s">
        <v>12</v>
      </c>
      <c r="B328" s="2" t="s">
        <v>3120</v>
      </c>
      <c r="C328" s="2" t="s">
        <v>291</v>
      </c>
      <c r="D328" s="2" t="s">
        <v>3121</v>
      </c>
      <c r="E328" s="2"/>
      <c r="F328" s="2"/>
      <c r="G328" s="2"/>
      <c r="H328" s="2"/>
      <c r="I328" s="3">
        <f t="shared" si="6"/>
        <v>94</v>
      </c>
    </row>
    <row r="329" spans="1:9" ht="24" x14ac:dyDescent="0.3">
      <c r="A329" s="2" t="s">
        <v>12</v>
      </c>
      <c r="B329" s="2" t="s">
        <v>3124</v>
      </c>
      <c r="C329" s="2" t="s">
        <v>2411</v>
      </c>
      <c r="D329" s="2" t="s">
        <v>3125</v>
      </c>
      <c r="E329" s="2" t="s">
        <v>3126</v>
      </c>
      <c r="F329" s="2"/>
      <c r="G329" s="2"/>
      <c r="H329" s="2"/>
      <c r="I329" s="3">
        <f t="shared" si="6"/>
        <v>94</v>
      </c>
    </row>
    <row r="330" spans="1:9" x14ac:dyDescent="0.3">
      <c r="A330" s="2" t="s">
        <v>12</v>
      </c>
      <c r="B330" s="2" t="s">
        <v>3224</v>
      </c>
      <c r="C330" s="2" t="s">
        <v>240</v>
      </c>
      <c r="D330" s="2" t="s">
        <v>3225</v>
      </c>
      <c r="E330" s="2" t="s">
        <v>3226</v>
      </c>
      <c r="F330" s="2"/>
      <c r="G330" s="2"/>
      <c r="H330" s="2"/>
      <c r="I330" s="3">
        <f t="shared" si="6"/>
        <v>96</v>
      </c>
    </row>
    <row r="331" spans="1:9" x14ac:dyDescent="0.3">
      <c r="A331" s="2" t="s">
        <v>12</v>
      </c>
      <c r="B331" s="2" t="s">
        <v>3215</v>
      </c>
      <c r="C331" s="2"/>
      <c r="D331" s="2" t="s">
        <v>3216</v>
      </c>
      <c r="E331" s="2"/>
      <c r="F331" s="2"/>
      <c r="G331" s="2"/>
      <c r="H331" s="2"/>
      <c r="I331" s="3">
        <f t="shared" si="6"/>
        <v>96</v>
      </c>
    </row>
    <row r="332" spans="1:9" ht="24" x14ac:dyDescent="0.3">
      <c r="A332" s="2" t="s">
        <v>12</v>
      </c>
      <c r="B332" s="2" t="s">
        <v>3352</v>
      </c>
      <c r="C332" s="2" t="s">
        <v>389</v>
      </c>
      <c r="D332" s="2" t="s">
        <v>8671</v>
      </c>
      <c r="E332" s="2"/>
      <c r="F332" s="2"/>
      <c r="G332" s="2"/>
      <c r="H332" s="2"/>
      <c r="I332" s="3">
        <f t="shared" si="6"/>
        <v>98</v>
      </c>
    </row>
    <row r="333" spans="1:9" x14ac:dyDescent="0.3">
      <c r="A333" s="2" t="s">
        <v>12</v>
      </c>
      <c r="B333" s="2" t="s">
        <v>3488</v>
      </c>
      <c r="C333" s="2" t="s">
        <v>389</v>
      </c>
      <c r="D333" s="2" t="s">
        <v>3489</v>
      </c>
      <c r="E333" s="2" t="s">
        <v>39</v>
      </c>
      <c r="F333" s="2"/>
      <c r="G333" s="2"/>
      <c r="H333" s="2"/>
      <c r="I333" s="3">
        <f t="shared" si="6"/>
        <v>102</v>
      </c>
    </row>
    <row r="334" spans="1:9" ht="24" x14ac:dyDescent="0.3">
      <c r="A334" s="2" t="s">
        <v>12</v>
      </c>
      <c r="B334" s="2" t="s">
        <v>3520</v>
      </c>
      <c r="C334" s="2"/>
      <c r="D334" s="2" t="s">
        <v>3521</v>
      </c>
      <c r="E334" s="2" t="s">
        <v>39</v>
      </c>
      <c r="F334" s="2"/>
      <c r="G334" s="2"/>
      <c r="H334" s="2"/>
      <c r="I334" s="3">
        <f t="shared" si="6"/>
        <v>103</v>
      </c>
    </row>
    <row r="335" spans="1:9" ht="24" x14ac:dyDescent="0.3">
      <c r="A335" s="2" t="s">
        <v>12</v>
      </c>
      <c r="B335" s="2" t="s">
        <v>458</v>
      </c>
      <c r="C335" s="2" t="s">
        <v>389</v>
      </c>
      <c r="D335" s="2" t="s">
        <v>3620</v>
      </c>
      <c r="E335" s="2"/>
      <c r="F335" s="2"/>
      <c r="G335" s="2"/>
      <c r="H335" s="2"/>
      <c r="I335" s="3">
        <f t="shared" si="6"/>
        <v>105</v>
      </c>
    </row>
    <row r="336" spans="1:9" ht="24" x14ac:dyDescent="0.3">
      <c r="A336" s="2" t="s">
        <v>12</v>
      </c>
      <c r="B336" s="2" t="s">
        <v>3659</v>
      </c>
      <c r="C336" s="2"/>
      <c r="D336" s="2" t="s">
        <v>9047</v>
      </c>
      <c r="E336" s="2"/>
      <c r="F336" s="2" t="s">
        <v>1778</v>
      </c>
      <c r="G336" s="2" t="s">
        <v>1717</v>
      </c>
      <c r="H336" s="2"/>
      <c r="I336" s="3">
        <f t="shared" si="6"/>
        <v>104</v>
      </c>
    </row>
    <row r="337" spans="1:9" ht="24" x14ac:dyDescent="0.3">
      <c r="A337" s="2" t="s">
        <v>12</v>
      </c>
      <c r="B337" s="2" t="s">
        <v>3658</v>
      </c>
      <c r="C337" s="2"/>
      <c r="D337" s="2" t="s">
        <v>9048</v>
      </c>
      <c r="E337" s="2"/>
      <c r="F337" s="2" t="s">
        <v>1778</v>
      </c>
      <c r="G337" s="2" t="s">
        <v>1717</v>
      </c>
      <c r="H337" s="2"/>
      <c r="I337" s="3">
        <f t="shared" si="6"/>
        <v>104</v>
      </c>
    </row>
    <row r="338" spans="1:9" ht="24" x14ac:dyDescent="0.3">
      <c r="A338" s="2" t="s">
        <v>12</v>
      </c>
      <c r="B338" s="2" t="s">
        <v>3481</v>
      </c>
      <c r="C338" s="2" t="s">
        <v>389</v>
      </c>
      <c r="D338" s="2" t="s">
        <v>3652</v>
      </c>
      <c r="E338" s="2" t="s">
        <v>39</v>
      </c>
      <c r="F338" s="2"/>
      <c r="G338" s="2"/>
      <c r="H338" s="2"/>
      <c r="I338" s="3">
        <f t="shared" si="6"/>
        <v>106</v>
      </c>
    </row>
    <row r="339" spans="1:9" ht="24" x14ac:dyDescent="0.3">
      <c r="A339" s="2" t="s">
        <v>12</v>
      </c>
      <c r="B339" s="2" t="s">
        <v>3754</v>
      </c>
      <c r="C339" s="2"/>
      <c r="D339" s="2" t="s">
        <v>3755</v>
      </c>
      <c r="E339" s="2"/>
      <c r="F339" s="2"/>
      <c r="G339" s="2"/>
      <c r="H339" s="2"/>
      <c r="I339" s="3">
        <f t="shared" si="6"/>
        <v>108</v>
      </c>
    </row>
    <row r="340" spans="1:9" ht="24" x14ac:dyDescent="0.3">
      <c r="A340" s="2" t="s">
        <v>12</v>
      </c>
      <c r="B340" s="2" t="s">
        <v>3653</v>
      </c>
      <c r="C340" s="2" t="s">
        <v>3795</v>
      </c>
      <c r="D340" s="2" t="s">
        <v>3796</v>
      </c>
      <c r="E340" s="2"/>
      <c r="F340" s="2"/>
      <c r="G340" s="2"/>
      <c r="H340" s="2"/>
      <c r="I340" s="3">
        <f t="shared" si="6"/>
        <v>109</v>
      </c>
    </row>
    <row r="341" spans="1:9" ht="24" x14ac:dyDescent="0.3">
      <c r="A341" s="2" t="s">
        <v>12</v>
      </c>
      <c r="B341" s="2" t="s">
        <v>3906</v>
      </c>
      <c r="C341" s="2" t="s">
        <v>389</v>
      </c>
      <c r="D341" s="2" t="s">
        <v>3907</v>
      </c>
      <c r="E341" s="2"/>
      <c r="F341" s="2"/>
      <c r="G341" s="2"/>
      <c r="H341" s="2"/>
      <c r="I341" s="3">
        <f t="shared" si="6"/>
        <v>112</v>
      </c>
    </row>
    <row r="342" spans="1:9" ht="24" x14ac:dyDescent="0.3">
      <c r="A342" s="2" t="s">
        <v>12</v>
      </c>
      <c r="B342" s="2" t="s">
        <v>3952</v>
      </c>
      <c r="C342" s="2" t="s">
        <v>491</v>
      </c>
      <c r="D342" s="2" t="s">
        <v>3953</v>
      </c>
      <c r="E342" s="2" t="s">
        <v>39</v>
      </c>
      <c r="F342" s="2"/>
      <c r="G342" s="2"/>
      <c r="H342" s="2"/>
      <c r="I342" s="3">
        <f t="shared" si="6"/>
        <v>113</v>
      </c>
    </row>
    <row r="343" spans="1:9" ht="24" x14ac:dyDescent="0.3">
      <c r="A343" s="2" t="s">
        <v>12</v>
      </c>
      <c r="B343" s="2" t="s">
        <v>4163</v>
      </c>
      <c r="C343" s="2" t="s">
        <v>116</v>
      </c>
      <c r="D343" s="2" t="s">
        <v>4164</v>
      </c>
      <c r="E343" s="2" t="s">
        <v>39</v>
      </c>
      <c r="F343" s="2"/>
      <c r="G343" s="2"/>
      <c r="H343" s="2"/>
      <c r="I343" s="3">
        <f t="shared" si="6"/>
        <v>119</v>
      </c>
    </row>
    <row r="344" spans="1:9" ht="24" x14ac:dyDescent="0.3">
      <c r="A344" s="2" t="s">
        <v>12</v>
      </c>
      <c r="B344" s="2" t="s">
        <v>1537</v>
      </c>
      <c r="C344" s="2" t="s">
        <v>2879</v>
      </c>
      <c r="D344" s="2" t="s">
        <v>4198</v>
      </c>
      <c r="E344" s="2"/>
      <c r="F344" s="2"/>
      <c r="G344" s="2"/>
      <c r="H344" s="2"/>
      <c r="I344" s="3">
        <f t="shared" si="6"/>
        <v>120</v>
      </c>
    </row>
    <row r="345" spans="1:9" ht="24" x14ac:dyDescent="0.3">
      <c r="A345" s="2" t="s">
        <v>12</v>
      </c>
      <c r="B345" s="2" t="s">
        <v>4199</v>
      </c>
      <c r="C345" s="2" t="s">
        <v>240</v>
      </c>
      <c r="D345" s="2" t="s">
        <v>4200</v>
      </c>
      <c r="E345" s="2" t="s">
        <v>2524</v>
      </c>
      <c r="F345" s="2"/>
      <c r="G345" s="2"/>
      <c r="H345" s="2"/>
      <c r="I345" s="3">
        <f t="shared" si="6"/>
        <v>120</v>
      </c>
    </row>
    <row r="346" spans="1:9" ht="24" x14ac:dyDescent="0.3">
      <c r="A346" s="2" t="s">
        <v>12</v>
      </c>
      <c r="B346" s="2" t="s">
        <v>4282</v>
      </c>
      <c r="C346" s="2" t="s">
        <v>640</v>
      </c>
      <c r="D346" s="2" t="s">
        <v>4283</v>
      </c>
      <c r="E346" s="2" t="s">
        <v>2136</v>
      </c>
      <c r="F346" s="2"/>
      <c r="G346" s="2"/>
      <c r="H346" s="2"/>
      <c r="I346" s="3">
        <f t="shared" si="6"/>
        <v>122</v>
      </c>
    </row>
    <row r="347" spans="1:9" ht="24" x14ac:dyDescent="0.3">
      <c r="A347" s="2" t="s">
        <v>12</v>
      </c>
      <c r="B347" s="2" t="s">
        <v>4402</v>
      </c>
      <c r="C347" s="2" t="s">
        <v>317</v>
      </c>
      <c r="D347" s="2" t="s">
        <v>4403</v>
      </c>
      <c r="E347" s="2" t="s">
        <v>39</v>
      </c>
      <c r="F347" s="2"/>
      <c r="G347" s="2"/>
      <c r="H347" s="2"/>
      <c r="I347" s="3">
        <f t="shared" si="6"/>
        <v>126</v>
      </c>
    </row>
    <row r="348" spans="1:9" ht="24" x14ac:dyDescent="0.3">
      <c r="A348" s="2" t="s">
        <v>12</v>
      </c>
      <c r="B348" s="2" t="s">
        <v>4467</v>
      </c>
      <c r="C348" s="2" t="s">
        <v>95</v>
      </c>
      <c r="D348" s="2" t="s">
        <v>4468</v>
      </c>
      <c r="E348" s="2"/>
      <c r="F348" s="2"/>
      <c r="G348" s="2"/>
      <c r="H348" s="2"/>
      <c r="I348" s="3">
        <f t="shared" si="6"/>
        <v>128</v>
      </c>
    </row>
    <row r="349" spans="1:9" ht="24" x14ac:dyDescent="0.3">
      <c r="A349" s="2" t="s">
        <v>12</v>
      </c>
      <c r="B349" s="2" t="s">
        <v>249</v>
      </c>
      <c r="C349" s="2" t="s">
        <v>250</v>
      </c>
      <c r="D349" s="2" t="s">
        <v>4506</v>
      </c>
      <c r="E349" s="2"/>
      <c r="F349" s="2"/>
      <c r="G349" s="2"/>
      <c r="H349" s="2"/>
      <c r="I349" s="3">
        <f t="shared" si="6"/>
        <v>129</v>
      </c>
    </row>
    <row r="350" spans="1:9" ht="24" x14ac:dyDescent="0.3">
      <c r="A350" s="2" t="s">
        <v>12</v>
      </c>
      <c r="B350" s="2" t="s">
        <v>4637</v>
      </c>
      <c r="C350" s="2" t="s">
        <v>250</v>
      </c>
      <c r="D350" s="2" t="s">
        <v>9049</v>
      </c>
      <c r="E350" s="2"/>
      <c r="F350" s="2" t="s">
        <v>350</v>
      </c>
      <c r="G350" s="2" t="s">
        <v>1717</v>
      </c>
      <c r="H350" s="2"/>
      <c r="I350" s="3">
        <f t="shared" si="6"/>
        <v>131</v>
      </c>
    </row>
    <row r="351" spans="1:9" ht="24" x14ac:dyDescent="0.3">
      <c r="A351" s="2" t="s">
        <v>12</v>
      </c>
      <c r="B351" s="2" t="s">
        <v>4777</v>
      </c>
      <c r="C351" s="2" t="s">
        <v>4778</v>
      </c>
      <c r="D351" s="2" t="s">
        <v>8670</v>
      </c>
      <c r="E351" s="2" t="s">
        <v>39</v>
      </c>
      <c r="F351" s="2"/>
      <c r="G351" s="2"/>
      <c r="H351" s="2"/>
      <c r="I351" s="3">
        <f t="shared" si="6"/>
        <v>135</v>
      </c>
    </row>
    <row r="352" spans="1:9" ht="24" x14ac:dyDescent="0.3">
      <c r="A352" s="2" t="s">
        <v>12</v>
      </c>
      <c r="B352" s="2" t="s">
        <v>4719</v>
      </c>
      <c r="C352" s="2"/>
      <c r="D352" s="2" t="s">
        <v>9050</v>
      </c>
      <c r="E352" s="2" t="s">
        <v>4720</v>
      </c>
      <c r="F352" s="2" t="s">
        <v>1778</v>
      </c>
      <c r="G352" s="2" t="s">
        <v>1717</v>
      </c>
      <c r="H352" s="2"/>
      <c r="I352" s="3">
        <f t="shared" si="6"/>
        <v>134</v>
      </c>
    </row>
    <row r="353" spans="1:9" ht="24" x14ac:dyDescent="0.3">
      <c r="A353" s="2" t="s">
        <v>12</v>
      </c>
      <c r="B353" s="2" t="s">
        <v>4745</v>
      </c>
      <c r="C353" s="2" t="s">
        <v>2730</v>
      </c>
      <c r="D353" s="2" t="s">
        <v>8696</v>
      </c>
      <c r="E353" s="2" t="s">
        <v>2136</v>
      </c>
      <c r="F353" s="2"/>
      <c r="G353" s="2"/>
      <c r="H353" s="2"/>
      <c r="I353" s="3">
        <f t="shared" si="6"/>
        <v>137</v>
      </c>
    </row>
    <row r="354" spans="1:9" ht="24" x14ac:dyDescent="0.3">
      <c r="A354" s="2" t="s">
        <v>12</v>
      </c>
      <c r="B354" s="2" t="s">
        <v>4767</v>
      </c>
      <c r="C354" s="2"/>
      <c r="D354" s="2" t="s">
        <v>4768</v>
      </c>
      <c r="E354" s="2"/>
      <c r="F354" s="2"/>
      <c r="G354" s="2"/>
      <c r="H354" s="2"/>
      <c r="I354" s="3">
        <f t="shared" si="6"/>
        <v>138</v>
      </c>
    </row>
    <row r="355" spans="1:9" ht="24" x14ac:dyDescent="0.3">
      <c r="A355" s="2" t="s">
        <v>12</v>
      </c>
      <c r="B355" s="2" t="s">
        <v>4924</v>
      </c>
      <c r="C355" s="2" t="s">
        <v>4858</v>
      </c>
      <c r="D355" s="2" t="s">
        <v>4925</v>
      </c>
      <c r="E355" s="2"/>
      <c r="F355" s="2"/>
      <c r="G355" s="2"/>
      <c r="H355" s="2"/>
      <c r="I355" s="3">
        <f t="shared" si="6"/>
        <v>142</v>
      </c>
    </row>
    <row r="356" spans="1:9" ht="24" x14ac:dyDescent="0.3">
      <c r="A356" s="2" t="s">
        <v>12</v>
      </c>
      <c r="B356" s="2" t="s">
        <v>5023</v>
      </c>
      <c r="C356" s="2" t="s">
        <v>4858</v>
      </c>
      <c r="D356" s="2" t="s">
        <v>5024</v>
      </c>
      <c r="E356" s="2"/>
      <c r="F356" s="2"/>
      <c r="G356" s="2"/>
      <c r="H356" s="2"/>
      <c r="I356" s="3">
        <f t="shared" si="6"/>
        <v>145</v>
      </c>
    </row>
    <row r="357" spans="1:9" ht="24" x14ac:dyDescent="0.3">
      <c r="A357" s="2" t="s">
        <v>12</v>
      </c>
      <c r="B357" s="2" t="s">
        <v>5051</v>
      </c>
      <c r="C357" s="2" t="s">
        <v>301</v>
      </c>
      <c r="D357" s="2" t="s">
        <v>5052</v>
      </c>
      <c r="E357" s="2" t="s">
        <v>2373</v>
      </c>
      <c r="F357" s="2"/>
      <c r="G357" s="2"/>
      <c r="H357" s="2"/>
      <c r="I357" s="3">
        <f t="shared" si="6"/>
        <v>146</v>
      </c>
    </row>
    <row r="358" spans="1:9" ht="24" x14ac:dyDescent="0.3">
      <c r="A358" s="2" t="s">
        <v>12</v>
      </c>
      <c r="B358" s="2" t="s">
        <v>5053</v>
      </c>
      <c r="C358" s="2" t="s">
        <v>1553</v>
      </c>
      <c r="D358" s="2" t="s">
        <v>5054</v>
      </c>
      <c r="E358" s="2" t="s">
        <v>5055</v>
      </c>
      <c r="F358" s="2"/>
      <c r="G358" s="2"/>
      <c r="H358" s="2"/>
      <c r="I358" s="3">
        <f t="shared" si="6"/>
        <v>146</v>
      </c>
    </row>
    <row r="359" spans="1:9" ht="24" x14ac:dyDescent="0.3">
      <c r="A359" s="2" t="s">
        <v>12</v>
      </c>
      <c r="B359" s="2" t="s">
        <v>4719</v>
      </c>
      <c r="C359" s="2"/>
      <c r="D359" s="2" t="s">
        <v>9051</v>
      </c>
      <c r="E359" s="2" t="s">
        <v>2121</v>
      </c>
      <c r="F359" s="2" t="s">
        <v>4117</v>
      </c>
      <c r="G359" s="2" t="s">
        <v>1717</v>
      </c>
      <c r="H359" s="2"/>
      <c r="I359" s="3">
        <f t="shared" si="6"/>
        <v>146</v>
      </c>
    </row>
    <row r="360" spans="1:9" ht="24" x14ac:dyDescent="0.3">
      <c r="A360" s="2" t="s">
        <v>12</v>
      </c>
      <c r="B360" s="2" t="s">
        <v>5107</v>
      </c>
      <c r="C360" s="2" t="s">
        <v>5108</v>
      </c>
      <c r="D360" s="2" t="s">
        <v>5109</v>
      </c>
      <c r="E360" s="2" t="s">
        <v>39</v>
      </c>
      <c r="F360" s="2"/>
      <c r="G360" s="2"/>
      <c r="H360" s="2"/>
      <c r="I360" s="3">
        <f t="shared" si="6"/>
        <v>148</v>
      </c>
    </row>
    <row r="361" spans="1:9" ht="24" x14ac:dyDescent="0.3">
      <c r="A361" s="2" t="s">
        <v>12</v>
      </c>
      <c r="B361" s="2" t="s">
        <v>5217</v>
      </c>
      <c r="C361" s="2" t="s">
        <v>640</v>
      </c>
      <c r="D361" s="2" t="s">
        <v>9052</v>
      </c>
      <c r="E361" s="2"/>
      <c r="F361" s="2" t="s">
        <v>350</v>
      </c>
      <c r="G361" s="2" t="s">
        <v>350</v>
      </c>
      <c r="H361" s="2"/>
      <c r="I361" s="3">
        <f t="shared" si="6"/>
        <v>149</v>
      </c>
    </row>
    <row r="362" spans="1:9" ht="24" x14ac:dyDescent="0.3">
      <c r="A362" s="2" t="s">
        <v>12</v>
      </c>
      <c r="B362" s="2" t="s">
        <v>5211</v>
      </c>
      <c r="C362" s="2" t="s">
        <v>5212</v>
      </c>
      <c r="D362" s="2" t="s">
        <v>5213</v>
      </c>
      <c r="E362" s="2"/>
      <c r="F362" s="2"/>
      <c r="G362" s="2"/>
      <c r="H362" s="2"/>
      <c r="I362" s="3">
        <f t="shared" si="6"/>
        <v>151</v>
      </c>
    </row>
    <row r="363" spans="1:9" ht="24" x14ac:dyDescent="0.3">
      <c r="A363" s="2" t="s">
        <v>12</v>
      </c>
      <c r="B363" s="2" t="s">
        <v>5312</v>
      </c>
      <c r="C363" s="2" t="s">
        <v>4778</v>
      </c>
      <c r="D363" s="2" t="s">
        <v>5313</v>
      </c>
      <c r="E363" s="2" t="s">
        <v>39</v>
      </c>
      <c r="F363" s="2"/>
      <c r="G363" s="2"/>
      <c r="H363" s="2"/>
      <c r="I363" s="3">
        <f t="shared" si="6"/>
        <v>155</v>
      </c>
    </row>
    <row r="364" spans="1:9" ht="24" x14ac:dyDescent="0.3">
      <c r="A364" s="2" t="s">
        <v>12</v>
      </c>
      <c r="B364" s="2" t="s">
        <v>2744</v>
      </c>
      <c r="C364" s="2" t="s">
        <v>206</v>
      </c>
      <c r="D364" s="2" t="s">
        <v>5311</v>
      </c>
      <c r="E364" s="2"/>
      <c r="F364" s="2"/>
      <c r="G364" s="2"/>
      <c r="H364" s="2"/>
      <c r="I364" s="3">
        <f t="shared" si="6"/>
        <v>155</v>
      </c>
    </row>
    <row r="365" spans="1:9" ht="24" x14ac:dyDescent="0.3">
      <c r="A365" s="2" t="s">
        <v>12</v>
      </c>
      <c r="B365" s="2" t="s">
        <v>5405</v>
      </c>
      <c r="C365" s="2"/>
      <c r="D365" s="2" t="s">
        <v>8697</v>
      </c>
      <c r="E365" s="2" t="s">
        <v>5406</v>
      </c>
      <c r="F365" s="2"/>
      <c r="G365" s="2"/>
      <c r="H365" s="2"/>
      <c r="I365" s="3">
        <f t="shared" si="6"/>
        <v>159</v>
      </c>
    </row>
    <row r="366" spans="1:9" ht="24" x14ac:dyDescent="0.3">
      <c r="A366" s="2" t="s">
        <v>12</v>
      </c>
      <c r="B366" s="2" t="s">
        <v>5401</v>
      </c>
      <c r="C366" s="2" t="s">
        <v>3264</v>
      </c>
      <c r="D366" s="2" t="s">
        <v>5402</v>
      </c>
      <c r="E366" s="2"/>
      <c r="F366" s="2"/>
      <c r="G366" s="2"/>
      <c r="H366" s="2"/>
      <c r="I366" s="3">
        <f t="shared" si="6"/>
        <v>159</v>
      </c>
    </row>
    <row r="367" spans="1:9" ht="24" x14ac:dyDescent="0.3">
      <c r="A367" s="2" t="s">
        <v>12</v>
      </c>
      <c r="B367" s="2" t="s">
        <v>5417</v>
      </c>
      <c r="C367" s="2" t="s">
        <v>640</v>
      </c>
      <c r="D367" s="2" t="s">
        <v>8698</v>
      </c>
      <c r="E367" s="2" t="s">
        <v>2136</v>
      </c>
      <c r="F367" s="2"/>
      <c r="G367" s="2"/>
      <c r="H367" s="2"/>
      <c r="I367" s="3">
        <f t="shared" si="6"/>
        <v>160</v>
      </c>
    </row>
    <row r="368" spans="1:9" ht="24" x14ac:dyDescent="0.3">
      <c r="A368" s="2" t="s">
        <v>12</v>
      </c>
      <c r="B368" s="2" t="s">
        <v>5469</v>
      </c>
      <c r="C368" s="2" t="s">
        <v>2879</v>
      </c>
      <c r="D368" s="2" t="s">
        <v>5470</v>
      </c>
      <c r="E368" s="2" t="s">
        <v>39</v>
      </c>
      <c r="F368" s="2"/>
      <c r="G368" s="2"/>
      <c r="H368" s="2"/>
      <c r="I368" s="3">
        <f t="shared" si="6"/>
        <v>163</v>
      </c>
    </row>
    <row r="369" spans="1:9" ht="24" x14ac:dyDescent="0.3">
      <c r="A369" s="2" t="s">
        <v>12</v>
      </c>
      <c r="B369" s="2" t="s">
        <v>4719</v>
      </c>
      <c r="C369" s="2"/>
      <c r="D369" s="2" t="s">
        <v>9053</v>
      </c>
      <c r="E369" s="2" t="s">
        <v>3360</v>
      </c>
      <c r="F369" s="2" t="s">
        <v>1778</v>
      </c>
      <c r="G369" s="2" t="s">
        <v>1717</v>
      </c>
      <c r="H369" s="2"/>
      <c r="I369" s="3">
        <f t="shared" si="6"/>
        <v>163</v>
      </c>
    </row>
    <row r="370" spans="1:9" ht="24" x14ac:dyDescent="0.3">
      <c r="A370" s="2" t="s">
        <v>12</v>
      </c>
      <c r="B370" s="2" t="s">
        <v>5579</v>
      </c>
      <c r="C370" s="2" t="s">
        <v>301</v>
      </c>
      <c r="D370" s="2" t="s">
        <v>5580</v>
      </c>
      <c r="E370" s="2"/>
      <c r="F370" s="2"/>
      <c r="G370" s="2"/>
      <c r="H370" s="2"/>
      <c r="I370" s="3">
        <f t="shared" si="6"/>
        <v>168</v>
      </c>
    </row>
    <row r="371" spans="1:9" ht="24" x14ac:dyDescent="0.3">
      <c r="A371" s="2" t="s">
        <v>12</v>
      </c>
      <c r="B371" s="2" t="s">
        <v>5573</v>
      </c>
      <c r="C371" s="2"/>
      <c r="D371" s="2" t="s">
        <v>5574</v>
      </c>
      <c r="E371" s="2" t="s">
        <v>39</v>
      </c>
      <c r="F371" s="2"/>
      <c r="G371" s="2"/>
      <c r="H371" s="2"/>
      <c r="I371" s="3">
        <f t="shared" si="6"/>
        <v>168</v>
      </c>
    </row>
    <row r="372" spans="1:9" ht="24" x14ac:dyDescent="0.3">
      <c r="A372" s="2" t="s">
        <v>12</v>
      </c>
      <c r="B372" s="2" t="s">
        <v>1489</v>
      </c>
      <c r="C372" s="2" t="s">
        <v>1255</v>
      </c>
      <c r="D372" s="2" t="s">
        <v>5581</v>
      </c>
      <c r="E372" s="2"/>
      <c r="F372" s="2"/>
      <c r="G372" s="2"/>
      <c r="H372" s="2"/>
      <c r="I372" s="3">
        <f t="shared" si="6"/>
        <v>168</v>
      </c>
    </row>
    <row r="373" spans="1:9" ht="24" x14ac:dyDescent="0.3">
      <c r="A373" s="2" t="s">
        <v>12</v>
      </c>
      <c r="B373" s="2" t="s">
        <v>4719</v>
      </c>
      <c r="C373" s="2" t="s">
        <v>1553</v>
      </c>
      <c r="D373" s="2" t="s">
        <v>9054</v>
      </c>
      <c r="E373" s="2" t="s">
        <v>5620</v>
      </c>
      <c r="F373" s="2" t="s">
        <v>4117</v>
      </c>
      <c r="G373" s="2" t="s">
        <v>1717</v>
      </c>
      <c r="H373" s="2"/>
      <c r="I373" s="3">
        <f t="shared" si="6"/>
        <v>169</v>
      </c>
    </row>
    <row r="374" spans="1:9" ht="24" x14ac:dyDescent="0.3">
      <c r="A374" s="2" t="s">
        <v>12</v>
      </c>
      <c r="B374" s="2" t="s">
        <v>4719</v>
      </c>
      <c r="C374" s="2"/>
      <c r="D374" s="2" t="s">
        <v>9055</v>
      </c>
      <c r="E374" s="2" t="s">
        <v>1894</v>
      </c>
      <c r="F374" s="2" t="s">
        <v>1778</v>
      </c>
      <c r="G374" s="2" t="s">
        <v>1717</v>
      </c>
      <c r="H374" s="2"/>
      <c r="I374" s="3">
        <f t="shared" si="6"/>
        <v>175</v>
      </c>
    </row>
    <row r="375" spans="1:9" ht="24" x14ac:dyDescent="0.3">
      <c r="A375" s="2" t="s">
        <v>12</v>
      </c>
      <c r="B375" s="2" t="s">
        <v>5759</v>
      </c>
      <c r="C375" s="2" t="s">
        <v>5760</v>
      </c>
      <c r="D375" s="2" t="s">
        <v>5761</v>
      </c>
      <c r="E375" s="2" t="s">
        <v>1494</v>
      </c>
      <c r="F375" s="2"/>
      <c r="G375" s="2"/>
      <c r="H375" s="2"/>
      <c r="I375" s="3">
        <f t="shared" si="6"/>
        <v>178</v>
      </c>
    </row>
    <row r="376" spans="1:9" ht="24" x14ac:dyDescent="0.3">
      <c r="A376" s="2" t="s">
        <v>12</v>
      </c>
      <c r="B376" s="2" t="s">
        <v>5765</v>
      </c>
      <c r="C376" s="2" t="s">
        <v>4858</v>
      </c>
      <c r="D376" s="2" t="s">
        <v>5766</v>
      </c>
      <c r="E376" s="2"/>
      <c r="F376" s="2"/>
      <c r="G376" s="2"/>
      <c r="H376" s="2"/>
      <c r="I376" s="3">
        <f t="shared" si="6"/>
        <v>178</v>
      </c>
    </row>
    <row r="377" spans="1:9" ht="24" x14ac:dyDescent="0.3">
      <c r="A377" s="2" t="s">
        <v>12</v>
      </c>
      <c r="B377" s="2" t="s">
        <v>5762</v>
      </c>
      <c r="C377" s="2" t="s">
        <v>78</v>
      </c>
      <c r="D377" s="2" t="s">
        <v>5763</v>
      </c>
      <c r="E377" s="2" t="s">
        <v>39</v>
      </c>
      <c r="F377" s="2"/>
      <c r="G377" s="2"/>
      <c r="H377" s="2"/>
      <c r="I377" s="3">
        <f t="shared" si="6"/>
        <v>178</v>
      </c>
    </row>
    <row r="378" spans="1:9" ht="24" x14ac:dyDescent="0.3">
      <c r="A378" s="2" t="s">
        <v>12</v>
      </c>
      <c r="B378" s="2" t="s">
        <v>5890</v>
      </c>
      <c r="C378" s="2" t="s">
        <v>4858</v>
      </c>
      <c r="D378" s="2" t="s">
        <v>5891</v>
      </c>
      <c r="E378" s="2"/>
      <c r="F378" s="2"/>
      <c r="G378" s="2"/>
      <c r="H378" s="2"/>
      <c r="I378" s="3">
        <f t="shared" si="6"/>
        <v>183</v>
      </c>
    </row>
    <row r="379" spans="1:9" ht="24" x14ac:dyDescent="0.3">
      <c r="A379" s="2" t="s">
        <v>12</v>
      </c>
      <c r="B379" s="2" t="s">
        <v>6062</v>
      </c>
      <c r="C379" s="2" t="s">
        <v>6063</v>
      </c>
      <c r="D379" s="2" t="s">
        <v>6064</v>
      </c>
      <c r="E379" s="2" t="s">
        <v>39</v>
      </c>
      <c r="F379" s="2"/>
      <c r="G379" s="2"/>
      <c r="H379" s="2"/>
      <c r="I379" s="3">
        <f t="shared" si="6"/>
        <v>195</v>
      </c>
    </row>
    <row r="380" spans="1:9" ht="24" x14ac:dyDescent="0.3">
      <c r="A380" s="2" t="s">
        <v>12</v>
      </c>
      <c r="B380" s="2" t="s">
        <v>6095</v>
      </c>
      <c r="C380" s="2" t="s">
        <v>1255</v>
      </c>
      <c r="D380" s="2" t="s">
        <v>6096</v>
      </c>
      <c r="E380" s="2"/>
      <c r="F380" s="2"/>
      <c r="G380" s="2"/>
      <c r="H380" s="2"/>
      <c r="I380" s="3">
        <f t="shared" si="6"/>
        <v>197</v>
      </c>
    </row>
    <row r="381" spans="1:9" ht="36" x14ac:dyDescent="0.3">
      <c r="A381" s="2" t="s">
        <v>12</v>
      </c>
      <c r="B381" s="2" t="s">
        <v>6226</v>
      </c>
      <c r="C381" s="2"/>
      <c r="D381" s="2" t="s">
        <v>6227</v>
      </c>
      <c r="E381" s="2" t="s">
        <v>39</v>
      </c>
      <c r="F381" s="2"/>
      <c r="G381" s="2"/>
      <c r="H381" s="2"/>
      <c r="I381" s="3">
        <f t="shared" si="6"/>
        <v>206</v>
      </c>
    </row>
    <row r="382" spans="1:9" ht="36" x14ac:dyDescent="0.3">
      <c r="A382" s="2" t="s">
        <v>12</v>
      </c>
      <c r="B382" s="2" t="s">
        <v>6491</v>
      </c>
      <c r="C382" s="2" t="s">
        <v>95</v>
      </c>
      <c r="D382" s="2" t="s">
        <v>6492</v>
      </c>
      <c r="E382" s="2" t="s">
        <v>39</v>
      </c>
      <c r="F382" s="2"/>
      <c r="G382" s="2"/>
      <c r="H382" s="2"/>
      <c r="I382" s="3">
        <f t="shared" si="6"/>
        <v>226</v>
      </c>
    </row>
    <row r="383" spans="1:9" ht="36" x14ac:dyDescent="0.3">
      <c r="A383" s="2" t="s">
        <v>12</v>
      </c>
      <c r="B383" s="2" t="s">
        <v>6553</v>
      </c>
      <c r="C383" s="2"/>
      <c r="D383" s="2" t="s">
        <v>6554</v>
      </c>
      <c r="E383" s="2" t="s">
        <v>39</v>
      </c>
      <c r="F383" s="2"/>
      <c r="G383" s="2"/>
      <c r="H383" s="2"/>
      <c r="I383" s="3">
        <f t="shared" si="6"/>
        <v>232</v>
      </c>
    </row>
    <row r="384" spans="1:9" ht="36" x14ac:dyDescent="0.3">
      <c r="A384" s="2" t="s">
        <v>12</v>
      </c>
      <c r="B384" s="2" t="s">
        <v>6578</v>
      </c>
      <c r="C384" s="2" t="s">
        <v>2879</v>
      </c>
      <c r="D384" s="2" t="s">
        <v>6579</v>
      </c>
      <c r="E384" s="2"/>
      <c r="F384" s="2"/>
      <c r="G384" s="2"/>
      <c r="H384" s="2"/>
      <c r="I384" s="3">
        <f t="shared" si="6"/>
        <v>234</v>
      </c>
    </row>
    <row r="385" spans="1:9" ht="36" x14ac:dyDescent="0.3">
      <c r="A385" s="2" t="s">
        <v>12</v>
      </c>
      <c r="B385" s="2" t="s">
        <v>4719</v>
      </c>
      <c r="C385" s="2" t="s">
        <v>1553</v>
      </c>
      <c r="D385" s="2" t="s">
        <v>9056</v>
      </c>
      <c r="E385" s="2" t="s">
        <v>6600</v>
      </c>
      <c r="F385" s="2" t="s">
        <v>4117</v>
      </c>
      <c r="G385" s="2" t="s">
        <v>1717</v>
      </c>
      <c r="H385" s="2"/>
      <c r="I385" s="3">
        <f t="shared" ref="I385:I407" si="7">LEN(D385)</f>
        <v>234</v>
      </c>
    </row>
    <row r="386" spans="1:9" ht="36" x14ac:dyDescent="0.3">
      <c r="A386" s="2" t="s">
        <v>12</v>
      </c>
      <c r="B386" s="2" t="s">
        <v>6668</v>
      </c>
      <c r="C386" s="2" t="s">
        <v>6669</v>
      </c>
      <c r="D386" s="2" t="s">
        <v>6670</v>
      </c>
      <c r="E386" s="2"/>
      <c r="F386" s="2"/>
      <c r="G386" s="2"/>
      <c r="H386" s="2"/>
      <c r="I386" s="3">
        <f t="shared" si="7"/>
        <v>242</v>
      </c>
    </row>
    <row r="387" spans="1:9" ht="36" x14ac:dyDescent="0.3">
      <c r="A387" s="2" t="s">
        <v>12</v>
      </c>
      <c r="B387" s="2" t="s">
        <v>4719</v>
      </c>
      <c r="C387" s="2" t="s">
        <v>1553</v>
      </c>
      <c r="D387" s="2" t="s">
        <v>9057</v>
      </c>
      <c r="E387" s="2" t="s">
        <v>6745</v>
      </c>
      <c r="F387" s="2" t="s">
        <v>4117</v>
      </c>
      <c r="G387" s="2" t="s">
        <v>1717</v>
      </c>
      <c r="H387" s="2"/>
      <c r="I387" s="3">
        <f t="shared" si="7"/>
        <v>249</v>
      </c>
    </row>
    <row r="388" spans="1:9" ht="36" x14ac:dyDescent="0.3">
      <c r="A388" s="2" t="s">
        <v>12</v>
      </c>
      <c r="B388" s="2" t="s">
        <v>6258</v>
      </c>
      <c r="C388" s="2" t="s">
        <v>250</v>
      </c>
      <c r="D388" s="2" t="s">
        <v>6788</v>
      </c>
      <c r="E388" s="2" t="s">
        <v>39</v>
      </c>
      <c r="F388" s="2"/>
      <c r="G388" s="2"/>
      <c r="H388" s="2"/>
      <c r="I388" s="3">
        <f t="shared" si="7"/>
        <v>254</v>
      </c>
    </row>
    <row r="389" spans="1:9" ht="36" x14ac:dyDescent="0.3">
      <c r="A389" s="2" t="s">
        <v>12</v>
      </c>
      <c r="B389" s="2" t="s">
        <v>4719</v>
      </c>
      <c r="C389" s="2" t="s">
        <v>1553</v>
      </c>
      <c r="D389" s="2" t="s">
        <v>9058</v>
      </c>
      <c r="E389" s="2" t="s">
        <v>6816</v>
      </c>
      <c r="F389" s="2" t="s">
        <v>4117</v>
      </c>
      <c r="G389" s="2" t="s">
        <v>1717</v>
      </c>
      <c r="H389" s="2"/>
      <c r="I389" s="3">
        <f t="shared" si="7"/>
        <v>254</v>
      </c>
    </row>
    <row r="390" spans="1:9" ht="36" x14ac:dyDescent="0.3">
      <c r="A390" s="2" t="s">
        <v>12</v>
      </c>
      <c r="B390" s="2" t="s">
        <v>6898</v>
      </c>
      <c r="C390" s="2" t="s">
        <v>389</v>
      </c>
      <c r="D390" s="2" t="s">
        <v>6899</v>
      </c>
      <c r="E390" s="2" t="s">
        <v>39</v>
      </c>
      <c r="F390" s="2"/>
      <c r="G390" s="2"/>
      <c r="H390" s="2"/>
      <c r="I390" s="3">
        <f t="shared" si="7"/>
        <v>263</v>
      </c>
    </row>
    <row r="391" spans="1:9" ht="48" x14ac:dyDescent="0.3">
      <c r="A391" s="2" t="s">
        <v>12</v>
      </c>
      <c r="B391" s="2" t="s">
        <v>6938</v>
      </c>
      <c r="C391" s="2" t="s">
        <v>1553</v>
      </c>
      <c r="D391" s="2" t="s">
        <v>9059</v>
      </c>
      <c r="E391" s="2" t="s">
        <v>6939</v>
      </c>
      <c r="F391" s="2" t="s">
        <v>4117</v>
      </c>
      <c r="G391" s="2" t="s">
        <v>1717</v>
      </c>
      <c r="H391" s="2"/>
      <c r="I391" s="3">
        <f t="shared" si="7"/>
        <v>264</v>
      </c>
    </row>
    <row r="392" spans="1:9" ht="36" x14ac:dyDescent="0.3">
      <c r="A392" s="2" t="s">
        <v>12</v>
      </c>
      <c r="B392" s="2" t="s">
        <v>9566</v>
      </c>
      <c r="C392" s="2" t="s">
        <v>181</v>
      </c>
      <c r="D392" s="2" t="s">
        <v>6950</v>
      </c>
      <c r="E392" s="2" t="s">
        <v>39</v>
      </c>
      <c r="F392" s="2"/>
      <c r="G392" s="2"/>
      <c r="H392" s="2"/>
      <c r="I392" s="3">
        <f t="shared" si="7"/>
        <v>267</v>
      </c>
    </row>
    <row r="393" spans="1:9" ht="36" x14ac:dyDescent="0.3">
      <c r="A393" s="2" t="s">
        <v>12</v>
      </c>
      <c r="B393" s="2" t="s">
        <v>7012</v>
      </c>
      <c r="C393" s="2" t="s">
        <v>958</v>
      </c>
      <c r="D393" s="2" t="s">
        <v>7013</v>
      </c>
      <c r="E393" s="2" t="s">
        <v>2136</v>
      </c>
      <c r="F393" s="2"/>
      <c r="G393" s="2"/>
      <c r="H393" s="2"/>
      <c r="I393" s="3">
        <f t="shared" si="7"/>
        <v>274</v>
      </c>
    </row>
    <row r="394" spans="1:9" ht="36" x14ac:dyDescent="0.3">
      <c r="A394" s="2" t="s">
        <v>12</v>
      </c>
      <c r="B394" s="2" t="s">
        <v>7018</v>
      </c>
      <c r="C394" s="2" t="s">
        <v>81</v>
      </c>
      <c r="D394" s="2" t="s">
        <v>7019</v>
      </c>
      <c r="E394" s="2" t="s">
        <v>2250</v>
      </c>
      <c r="F394" s="2"/>
      <c r="G394" s="2" t="s">
        <v>1717</v>
      </c>
      <c r="H394" s="2"/>
      <c r="I394" s="3">
        <f t="shared" si="7"/>
        <v>275</v>
      </c>
    </row>
    <row r="395" spans="1:9" ht="36" x14ac:dyDescent="0.3">
      <c r="A395" s="2" t="s">
        <v>12</v>
      </c>
      <c r="B395" s="2" t="s">
        <v>7031</v>
      </c>
      <c r="C395" s="2" t="s">
        <v>7032</v>
      </c>
      <c r="D395" s="2" t="s">
        <v>9060</v>
      </c>
      <c r="E395" s="2"/>
      <c r="F395" s="2" t="s">
        <v>4117</v>
      </c>
      <c r="G395" s="2" t="s">
        <v>1717</v>
      </c>
      <c r="H395" s="2"/>
      <c r="I395" s="3">
        <f t="shared" si="7"/>
        <v>275</v>
      </c>
    </row>
    <row r="396" spans="1:9" ht="36" x14ac:dyDescent="0.3">
      <c r="A396" s="2" t="s">
        <v>12</v>
      </c>
      <c r="B396" s="2" t="s">
        <v>4719</v>
      </c>
      <c r="C396" s="2" t="s">
        <v>1553</v>
      </c>
      <c r="D396" s="2" t="s">
        <v>9061</v>
      </c>
      <c r="E396" s="2" t="s">
        <v>6600</v>
      </c>
      <c r="F396" s="2" t="s">
        <v>4117</v>
      </c>
      <c r="G396" s="2" t="s">
        <v>1717</v>
      </c>
      <c r="H396" s="2"/>
      <c r="I396" s="3">
        <f t="shared" si="7"/>
        <v>279</v>
      </c>
    </row>
    <row r="397" spans="1:9" ht="36" x14ac:dyDescent="0.3">
      <c r="A397" s="2" t="s">
        <v>12</v>
      </c>
      <c r="B397" s="2" t="s">
        <v>7101</v>
      </c>
      <c r="C397" s="2" t="s">
        <v>958</v>
      </c>
      <c r="D397" s="2" t="s">
        <v>8699</v>
      </c>
      <c r="E397" s="2" t="s">
        <v>2136</v>
      </c>
      <c r="F397" s="2"/>
      <c r="G397" s="2"/>
      <c r="H397" s="2"/>
      <c r="I397" s="3">
        <f t="shared" si="7"/>
        <v>287</v>
      </c>
    </row>
    <row r="398" spans="1:9" ht="36" x14ac:dyDescent="0.3">
      <c r="A398" s="2" t="s">
        <v>12</v>
      </c>
      <c r="B398" s="2" t="s">
        <v>7112</v>
      </c>
      <c r="C398" s="2" t="s">
        <v>81</v>
      </c>
      <c r="D398" s="2" t="s">
        <v>7113</v>
      </c>
      <c r="E398" s="2" t="s">
        <v>39</v>
      </c>
      <c r="F398" s="2"/>
      <c r="G398" s="2" t="s">
        <v>1717</v>
      </c>
      <c r="H398" s="2"/>
      <c r="I398" s="3">
        <f t="shared" si="7"/>
        <v>289</v>
      </c>
    </row>
    <row r="399" spans="1:9" ht="36" x14ac:dyDescent="0.3">
      <c r="A399" s="2" t="s">
        <v>12</v>
      </c>
      <c r="B399" s="2" t="s">
        <v>7114</v>
      </c>
      <c r="C399" s="2" t="s">
        <v>5920</v>
      </c>
      <c r="D399" s="2" t="s">
        <v>9062</v>
      </c>
      <c r="E399" s="2"/>
      <c r="F399" s="2" t="s">
        <v>1778</v>
      </c>
      <c r="G399" s="2" t="s">
        <v>1717</v>
      </c>
      <c r="H399" s="2"/>
      <c r="I399" s="3">
        <f t="shared" si="7"/>
        <v>287</v>
      </c>
    </row>
    <row r="400" spans="1:9" ht="48" x14ac:dyDescent="0.3">
      <c r="A400" s="2" t="s">
        <v>12</v>
      </c>
      <c r="B400" s="2" t="s">
        <v>7012</v>
      </c>
      <c r="C400" s="2" t="s">
        <v>958</v>
      </c>
      <c r="D400" s="2" t="s">
        <v>9063</v>
      </c>
      <c r="E400" s="2" t="s">
        <v>2136</v>
      </c>
      <c r="F400" s="2" t="s">
        <v>4117</v>
      </c>
      <c r="G400" s="2" t="s">
        <v>350</v>
      </c>
      <c r="H400" s="2"/>
      <c r="I400" s="3">
        <f t="shared" si="7"/>
        <v>319</v>
      </c>
    </row>
    <row r="401" spans="1:9" ht="48" x14ac:dyDescent="0.3">
      <c r="A401" s="2" t="s">
        <v>12</v>
      </c>
      <c r="B401" s="2" t="s">
        <v>7384</v>
      </c>
      <c r="C401" s="2"/>
      <c r="D401" s="2" t="s">
        <v>9064</v>
      </c>
      <c r="E401" s="2"/>
      <c r="F401" s="2" t="s">
        <v>1778</v>
      </c>
      <c r="G401" s="2" t="s">
        <v>1717</v>
      </c>
      <c r="H401" s="2"/>
      <c r="I401" s="3">
        <f t="shared" si="7"/>
        <v>320</v>
      </c>
    </row>
    <row r="402" spans="1:9" ht="48" x14ac:dyDescent="0.3">
      <c r="A402" s="2" t="s">
        <v>12</v>
      </c>
      <c r="B402" s="2" t="s">
        <v>7382</v>
      </c>
      <c r="C402" s="2" t="s">
        <v>160</v>
      </c>
      <c r="D402" s="2" t="s">
        <v>7383</v>
      </c>
      <c r="E402" s="2" t="s">
        <v>39</v>
      </c>
      <c r="F402" s="2"/>
      <c r="G402" s="2"/>
      <c r="H402" s="2"/>
      <c r="I402" s="3">
        <f t="shared" si="7"/>
        <v>322</v>
      </c>
    </row>
    <row r="403" spans="1:9" ht="48" x14ac:dyDescent="0.3">
      <c r="A403" s="2" t="s">
        <v>12</v>
      </c>
      <c r="B403" s="2" t="s">
        <v>7012</v>
      </c>
      <c r="C403" s="2" t="s">
        <v>958</v>
      </c>
      <c r="D403" s="2" t="s">
        <v>9065</v>
      </c>
      <c r="E403" s="2" t="s">
        <v>2136</v>
      </c>
      <c r="F403" s="2" t="s">
        <v>4117</v>
      </c>
      <c r="G403" s="2" t="s">
        <v>350</v>
      </c>
      <c r="H403" s="2"/>
      <c r="I403" s="3">
        <f t="shared" si="7"/>
        <v>329</v>
      </c>
    </row>
    <row r="404" spans="1:9" ht="48" x14ac:dyDescent="0.3">
      <c r="A404" s="2" t="s">
        <v>12</v>
      </c>
      <c r="B404" s="2" t="s">
        <v>7101</v>
      </c>
      <c r="C404" s="2" t="s">
        <v>958</v>
      </c>
      <c r="D404" s="2" t="s">
        <v>9066</v>
      </c>
      <c r="E404" s="2" t="s">
        <v>2136</v>
      </c>
      <c r="F404" s="2" t="s">
        <v>4117</v>
      </c>
      <c r="G404" s="2" t="s">
        <v>350</v>
      </c>
      <c r="H404" s="2"/>
      <c r="I404" s="3">
        <f t="shared" si="7"/>
        <v>331</v>
      </c>
    </row>
    <row r="405" spans="1:9" ht="48" x14ac:dyDescent="0.3">
      <c r="A405" s="2" t="s">
        <v>12</v>
      </c>
      <c r="B405" s="2" t="s">
        <v>7521</v>
      </c>
      <c r="C405" s="2" t="s">
        <v>958</v>
      </c>
      <c r="D405" s="2" t="s">
        <v>9067</v>
      </c>
      <c r="E405" s="2" t="s">
        <v>2136</v>
      </c>
      <c r="F405" s="2" t="s">
        <v>4117</v>
      </c>
      <c r="G405" s="2" t="s">
        <v>350</v>
      </c>
      <c r="H405" s="2"/>
      <c r="I405" s="3">
        <f t="shared" si="7"/>
        <v>343</v>
      </c>
    </row>
    <row r="406" spans="1:9" ht="48" x14ac:dyDescent="0.3">
      <c r="A406" s="2" t="s">
        <v>12</v>
      </c>
      <c r="B406" s="2" t="s">
        <v>7715</v>
      </c>
      <c r="C406" s="2" t="s">
        <v>958</v>
      </c>
      <c r="D406" s="2" t="s">
        <v>9068</v>
      </c>
      <c r="E406" s="2" t="s">
        <v>2136</v>
      </c>
      <c r="F406" s="2" t="s">
        <v>7716</v>
      </c>
      <c r="G406" s="2" t="s">
        <v>1717</v>
      </c>
      <c r="H406" s="2"/>
      <c r="I406" s="3">
        <f t="shared" si="7"/>
        <v>377</v>
      </c>
    </row>
    <row r="407" spans="1:9" ht="60" x14ac:dyDescent="0.3">
      <c r="A407" s="2" t="s">
        <v>12</v>
      </c>
      <c r="B407" s="2" t="s">
        <v>8058</v>
      </c>
      <c r="C407" s="2" t="s">
        <v>7243</v>
      </c>
      <c r="D407" s="2" t="s">
        <v>9069</v>
      </c>
      <c r="E407" s="2" t="s">
        <v>2824</v>
      </c>
      <c r="F407" s="2" t="s">
        <v>2281</v>
      </c>
      <c r="G407" s="2" t="s">
        <v>1717</v>
      </c>
      <c r="H407" s="2"/>
      <c r="I407" s="3">
        <f t="shared" si="7"/>
        <v>466</v>
      </c>
    </row>
  </sheetData>
  <autoFilter ref="A1:I407" xr:uid="{00000000-0009-0000-0000-000000000000}">
    <sortState xmlns:xlrd2="http://schemas.microsoft.com/office/spreadsheetml/2017/richdata2" ref="A2:I407">
      <sortCondition ref="H1:H407"/>
    </sortState>
  </autoFilter>
  <conditionalFormatting sqref="H1:H409">
    <cfRule type="notContainsBlanks" dxfId="2" priority="1">
      <formula>LEN(TRIM(H1))&gt;0</formula>
    </cfRule>
  </conditionalFormatting>
  <dataValidations count="2">
    <dataValidation allowBlank="1" showErrorMessage="1" sqref="C2:C39 C41:C42 C43:C407" xr:uid="{268C951F-774E-429C-ACA0-FCA2FDE52484}"/>
    <dataValidation allowBlank="1" sqref="H2:H42 H43:H407" xr:uid="{BA8B9725-C342-44FD-9CBE-E724390837DE}"/>
  </dataValidations>
  <pageMargins left="0.7" right="0.7" top="0.75" bottom="0.75" header="0" footer="0"/>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E1584-479F-41C6-ACFD-015CB0E08CD3}">
  <dimension ref="A1:G87"/>
  <sheetViews>
    <sheetView workbookViewId="0">
      <pane ySplit="1" topLeftCell="A2" activePane="bottomLeft" state="frozen"/>
      <selection pane="bottomLeft" activeCell="D27" sqref="D27"/>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s>
  <sheetData>
    <row r="1" spans="1:7" x14ac:dyDescent="0.3">
      <c r="A1" s="1" t="s">
        <v>0</v>
      </c>
      <c r="B1" s="1" t="s">
        <v>1</v>
      </c>
      <c r="C1" s="1" t="s">
        <v>2</v>
      </c>
      <c r="D1" s="1" t="s">
        <v>3</v>
      </c>
      <c r="E1" s="1" t="s">
        <v>4</v>
      </c>
      <c r="F1" s="1" t="s">
        <v>5</v>
      </c>
      <c r="G1" s="1" t="s">
        <v>6</v>
      </c>
    </row>
    <row r="2" spans="1:7" x14ac:dyDescent="0.3">
      <c r="A2" s="2" t="s">
        <v>9</v>
      </c>
      <c r="B2" s="2" t="s">
        <v>132</v>
      </c>
      <c r="C2" s="2"/>
      <c r="D2" s="2" t="s">
        <v>133</v>
      </c>
      <c r="E2" s="2" t="s">
        <v>39</v>
      </c>
      <c r="F2" s="2"/>
      <c r="G2" s="2"/>
    </row>
    <row r="3" spans="1:7" x14ac:dyDescent="0.3">
      <c r="A3" s="2" t="s">
        <v>9</v>
      </c>
      <c r="B3" s="2" t="s">
        <v>368</v>
      </c>
      <c r="C3" s="2"/>
      <c r="D3" s="2" t="s">
        <v>369</v>
      </c>
      <c r="E3" s="2"/>
      <c r="F3" s="2"/>
      <c r="G3" s="2"/>
    </row>
    <row r="4" spans="1:7" x14ac:dyDescent="0.3">
      <c r="A4" s="2" t="s">
        <v>9</v>
      </c>
      <c r="B4" s="2" t="s">
        <v>59</v>
      </c>
      <c r="C4" s="2"/>
      <c r="D4" s="2" t="s">
        <v>60</v>
      </c>
      <c r="E4" s="2"/>
      <c r="F4" s="2"/>
      <c r="G4" s="2"/>
    </row>
    <row r="5" spans="1:7" x14ac:dyDescent="0.3">
      <c r="A5" s="2" t="s">
        <v>9</v>
      </c>
      <c r="B5" s="2" t="s">
        <v>72</v>
      </c>
      <c r="C5" s="2"/>
      <c r="D5" s="2" t="s">
        <v>73</v>
      </c>
      <c r="E5" s="2"/>
      <c r="F5" s="2"/>
      <c r="G5" s="2"/>
    </row>
    <row r="6" spans="1:7" x14ac:dyDescent="0.3">
      <c r="A6" s="2" t="s">
        <v>9</v>
      </c>
      <c r="B6" s="2" t="s">
        <v>100</v>
      </c>
      <c r="C6" s="2"/>
      <c r="D6" s="2" t="s">
        <v>101</v>
      </c>
      <c r="E6" s="2"/>
      <c r="F6" s="2"/>
      <c r="G6" s="2"/>
    </row>
    <row r="7" spans="1:7" x14ac:dyDescent="0.3">
      <c r="A7" s="2" t="s">
        <v>9</v>
      </c>
      <c r="B7" s="2" t="s">
        <v>87</v>
      </c>
      <c r="C7" s="2"/>
      <c r="D7" s="2" t="s">
        <v>88</v>
      </c>
      <c r="E7" s="2"/>
      <c r="F7" s="2"/>
      <c r="G7" s="2"/>
    </row>
    <row r="8" spans="1:7" x14ac:dyDescent="0.3">
      <c r="A8" s="2" t="s">
        <v>9</v>
      </c>
      <c r="B8" s="2" t="s">
        <v>26</v>
      </c>
      <c r="C8" s="2"/>
      <c r="D8" s="2" t="s">
        <v>27</v>
      </c>
      <c r="E8" s="2"/>
      <c r="F8" s="2"/>
      <c r="G8" s="2"/>
    </row>
    <row r="9" spans="1:7" x14ac:dyDescent="0.3">
      <c r="A9" s="2" t="s">
        <v>9</v>
      </c>
      <c r="B9" s="2" t="s">
        <v>32</v>
      </c>
      <c r="C9" s="2"/>
      <c r="D9" s="2" t="s">
        <v>33</v>
      </c>
      <c r="E9" s="2"/>
      <c r="F9" s="2"/>
      <c r="G9" s="2"/>
    </row>
    <row r="10" spans="1:7" x14ac:dyDescent="0.3">
      <c r="A10" s="2" t="s">
        <v>9</v>
      </c>
      <c r="B10" s="2" t="s">
        <v>61</v>
      </c>
      <c r="C10" s="2"/>
      <c r="D10" s="2" t="s">
        <v>62</v>
      </c>
      <c r="E10" s="2"/>
      <c r="F10" s="2"/>
      <c r="G10" s="2"/>
    </row>
    <row r="11" spans="1:7" x14ac:dyDescent="0.3">
      <c r="A11" s="2" t="s">
        <v>9</v>
      </c>
      <c r="B11" s="2" t="s">
        <v>47</v>
      </c>
      <c r="C11" s="2"/>
      <c r="D11" s="2" t="s">
        <v>48</v>
      </c>
      <c r="E11" s="2"/>
      <c r="F11" s="2"/>
      <c r="G11" s="2"/>
    </row>
    <row r="12" spans="1:7" x14ac:dyDescent="0.3">
      <c r="A12" s="2" t="s">
        <v>9</v>
      </c>
      <c r="B12" s="2" t="s">
        <v>89</v>
      </c>
      <c r="C12" s="2"/>
      <c r="D12" s="2" t="s">
        <v>90</v>
      </c>
      <c r="E12" s="2"/>
      <c r="F12" s="2"/>
      <c r="G12" s="2"/>
    </row>
    <row r="13" spans="1:7" x14ac:dyDescent="0.3">
      <c r="A13" s="2" t="s">
        <v>9</v>
      </c>
      <c r="B13" s="2" t="s">
        <v>102</v>
      </c>
      <c r="C13" s="2"/>
      <c r="D13" s="2" t="s">
        <v>103</v>
      </c>
      <c r="E13" s="2"/>
      <c r="F13" s="2"/>
      <c r="G13" s="2"/>
    </row>
    <row r="14" spans="1:7" x14ac:dyDescent="0.3">
      <c r="A14" s="2" t="s">
        <v>9</v>
      </c>
      <c r="B14" s="2" t="s">
        <v>106</v>
      </c>
      <c r="C14" s="2"/>
      <c r="D14" s="2" t="s">
        <v>107</v>
      </c>
      <c r="E14" s="2"/>
      <c r="F14" s="2"/>
      <c r="G14" s="2"/>
    </row>
    <row r="15" spans="1:7" x14ac:dyDescent="0.3">
      <c r="A15" s="2" t="s">
        <v>9</v>
      </c>
      <c r="B15" s="2" t="s">
        <v>104</v>
      </c>
      <c r="C15" s="2"/>
      <c r="D15" s="2" t="s">
        <v>105</v>
      </c>
      <c r="E15" s="2"/>
      <c r="F15" s="2"/>
      <c r="G15" s="2"/>
    </row>
    <row r="16" spans="1:7" x14ac:dyDescent="0.3">
      <c r="A16" s="2" t="s">
        <v>9</v>
      </c>
      <c r="B16" s="2" t="s">
        <v>739</v>
      </c>
      <c r="C16" s="2"/>
      <c r="D16" s="2" t="s">
        <v>740</v>
      </c>
      <c r="E16" s="2"/>
      <c r="F16" s="2"/>
      <c r="G16" s="2"/>
    </row>
    <row r="17" spans="1:7" x14ac:dyDescent="0.3">
      <c r="A17" s="2" t="s">
        <v>9</v>
      </c>
      <c r="B17" s="2" t="s">
        <v>20</v>
      </c>
      <c r="C17" s="2"/>
      <c r="D17" s="2" t="s">
        <v>21</v>
      </c>
      <c r="E17" s="2"/>
      <c r="F17" s="2"/>
      <c r="G17" s="2"/>
    </row>
    <row r="18" spans="1:7" x14ac:dyDescent="0.3">
      <c r="A18" s="2" t="s">
        <v>9</v>
      </c>
      <c r="B18" s="2" t="s">
        <v>24</v>
      </c>
      <c r="C18" s="2"/>
      <c r="D18" s="2" t="s">
        <v>25</v>
      </c>
      <c r="E18" s="2"/>
      <c r="F18" s="2"/>
      <c r="G18" s="2"/>
    </row>
    <row r="19" spans="1:7" x14ac:dyDescent="0.3">
      <c r="A19" s="2" t="s">
        <v>9</v>
      </c>
      <c r="B19" s="2" t="s">
        <v>40</v>
      </c>
      <c r="C19" s="2"/>
      <c r="D19" s="2" t="s">
        <v>41</v>
      </c>
      <c r="E19" s="2"/>
      <c r="F19" s="2"/>
      <c r="G19" s="2"/>
    </row>
    <row r="20" spans="1:7" x14ac:dyDescent="0.3">
      <c r="A20" s="2" t="s">
        <v>9</v>
      </c>
      <c r="B20" s="2" t="s">
        <v>28</v>
      </c>
      <c r="C20" s="2"/>
      <c r="D20" s="2" t="s">
        <v>29</v>
      </c>
      <c r="E20" s="2"/>
      <c r="F20" s="2"/>
      <c r="G20" s="2"/>
    </row>
    <row r="21" spans="1:7" x14ac:dyDescent="0.3">
      <c r="A21" s="2" t="s">
        <v>9</v>
      </c>
      <c r="B21" s="2" t="s">
        <v>10</v>
      </c>
      <c r="C21" s="2"/>
      <c r="D21" s="2" t="s">
        <v>11</v>
      </c>
      <c r="E21" s="2"/>
      <c r="F21" s="2"/>
      <c r="G21" s="2"/>
    </row>
    <row r="22" spans="1:7" x14ac:dyDescent="0.3">
      <c r="A22" s="2" t="s">
        <v>9</v>
      </c>
      <c r="B22" s="2" t="s">
        <v>16</v>
      </c>
      <c r="C22" s="2"/>
      <c r="D22" s="2" t="s">
        <v>17</v>
      </c>
      <c r="E22" s="2"/>
      <c r="F22" s="2"/>
      <c r="G22" s="2"/>
    </row>
    <row r="23" spans="1:7" x14ac:dyDescent="0.3">
      <c r="A23" s="2" t="s">
        <v>9</v>
      </c>
      <c r="B23" s="2" t="s">
        <v>22</v>
      </c>
      <c r="C23" s="2"/>
      <c r="D23" s="2" t="s">
        <v>23</v>
      </c>
      <c r="E23" s="2"/>
      <c r="F23" s="2"/>
      <c r="G23" s="2"/>
    </row>
    <row r="24" spans="1:7" x14ac:dyDescent="0.3">
      <c r="A24" s="2" t="s">
        <v>9</v>
      </c>
      <c r="B24" s="2" t="s">
        <v>18</v>
      </c>
      <c r="C24" s="2"/>
      <c r="D24" s="2" t="s">
        <v>19</v>
      </c>
      <c r="E24" s="2"/>
      <c r="F24" s="2"/>
      <c r="G24" s="2"/>
    </row>
    <row r="25" spans="1:7" x14ac:dyDescent="0.3">
      <c r="A25" s="2" t="s">
        <v>9</v>
      </c>
      <c r="B25" s="2" t="s">
        <v>52</v>
      </c>
      <c r="C25" s="2"/>
      <c r="D25" s="2" t="s">
        <v>53</v>
      </c>
      <c r="E25" s="2"/>
      <c r="F25" s="2"/>
      <c r="G25" s="2"/>
    </row>
    <row r="26" spans="1:7" x14ac:dyDescent="0.3">
      <c r="A26" s="2" t="s">
        <v>9</v>
      </c>
      <c r="B26" s="2" t="s">
        <v>405</v>
      </c>
      <c r="C26" s="2"/>
      <c r="D26" s="2" t="s">
        <v>406</v>
      </c>
      <c r="E26" s="2"/>
      <c r="F26" s="2"/>
      <c r="G26" s="2"/>
    </row>
    <row r="27" spans="1:7" x14ac:dyDescent="0.3">
      <c r="A27" s="2" t="s">
        <v>9</v>
      </c>
      <c r="B27" s="2" t="s">
        <v>188</v>
      </c>
      <c r="C27" s="2"/>
      <c r="D27" s="2" t="s">
        <v>189</v>
      </c>
      <c r="E27" s="2"/>
      <c r="F27" s="2"/>
      <c r="G27" s="2"/>
    </row>
    <row r="28" spans="1:7" x14ac:dyDescent="0.3">
      <c r="A28" s="2" t="s">
        <v>9</v>
      </c>
      <c r="B28" s="2" t="s">
        <v>623</v>
      </c>
      <c r="C28" s="2"/>
      <c r="D28" s="2" t="s">
        <v>624</v>
      </c>
      <c r="E28" s="2" t="s">
        <v>39</v>
      </c>
      <c r="F28" s="2"/>
      <c r="G28" s="2"/>
    </row>
    <row r="29" spans="1:7" x14ac:dyDescent="0.3">
      <c r="A29" s="2" t="s">
        <v>9</v>
      </c>
      <c r="B29" s="2" t="s">
        <v>138</v>
      </c>
      <c r="C29" s="2"/>
      <c r="D29" s="2" t="s">
        <v>139</v>
      </c>
      <c r="E29" s="2" t="s">
        <v>39</v>
      </c>
      <c r="F29" s="2"/>
      <c r="G29" s="2"/>
    </row>
    <row r="30" spans="1:7" ht="24" x14ac:dyDescent="0.3">
      <c r="A30" s="2" t="s">
        <v>9</v>
      </c>
      <c r="B30" s="2" t="s">
        <v>773</v>
      </c>
      <c r="C30" s="2"/>
      <c r="D30" s="2" t="s">
        <v>774</v>
      </c>
      <c r="E30" s="2" t="s">
        <v>39</v>
      </c>
      <c r="F30" s="2"/>
      <c r="G30" s="2"/>
    </row>
    <row r="31" spans="1:7" ht="24" x14ac:dyDescent="0.3">
      <c r="A31" s="2" t="s">
        <v>9</v>
      </c>
      <c r="B31" s="2" t="s">
        <v>310</v>
      </c>
      <c r="C31" s="2"/>
      <c r="D31" s="2" t="s">
        <v>311</v>
      </c>
      <c r="E31" s="2" t="s">
        <v>39</v>
      </c>
      <c r="F31" s="2"/>
      <c r="G31" s="2"/>
    </row>
    <row r="32" spans="1:7" x14ac:dyDescent="0.3">
      <c r="A32" s="2" t="s">
        <v>9</v>
      </c>
      <c r="B32" s="2" t="s">
        <v>339</v>
      </c>
      <c r="C32" s="2"/>
      <c r="D32" s="2" t="s">
        <v>340</v>
      </c>
      <c r="E32" s="2" t="s">
        <v>39</v>
      </c>
      <c r="F32" s="2"/>
      <c r="G32" s="2"/>
    </row>
    <row r="33" spans="1:7" x14ac:dyDescent="0.3">
      <c r="A33" s="2" t="s">
        <v>9</v>
      </c>
      <c r="B33" s="2" t="s">
        <v>563</v>
      </c>
      <c r="C33" s="2"/>
      <c r="D33" s="2" t="s">
        <v>564</v>
      </c>
      <c r="E33" s="2" t="s">
        <v>39</v>
      </c>
      <c r="F33" s="2"/>
      <c r="G33" s="2"/>
    </row>
    <row r="34" spans="1:7" x14ac:dyDescent="0.3">
      <c r="A34" s="2" t="s">
        <v>9</v>
      </c>
      <c r="B34" s="2" t="s">
        <v>482</v>
      </c>
      <c r="C34" s="2"/>
      <c r="D34" s="2" t="s">
        <v>483</v>
      </c>
      <c r="E34" s="2"/>
      <c r="F34" s="2"/>
      <c r="G34" s="2"/>
    </row>
    <row r="35" spans="1:7" x14ac:dyDescent="0.3">
      <c r="A35" s="2" t="s">
        <v>9</v>
      </c>
      <c r="B35" s="2" t="s">
        <v>1284</v>
      </c>
      <c r="C35" s="2"/>
      <c r="D35" s="2" t="s">
        <v>1285</v>
      </c>
      <c r="E35" s="2"/>
      <c r="F35" s="2"/>
      <c r="G35" s="2"/>
    </row>
    <row r="36" spans="1:7" x14ac:dyDescent="0.3">
      <c r="A36" s="2" t="s">
        <v>9</v>
      </c>
      <c r="B36" s="2" t="s">
        <v>1284</v>
      </c>
      <c r="C36" s="2"/>
      <c r="D36" s="2" t="s">
        <v>3334</v>
      </c>
      <c r="E36" s="2"/>
      <c r="F36" s="2"/>
      <c r="G36" s="2"/>
    </row>
    <row r="37" spans="1:7" x14ac:dyDescent="0.3">
      <c r="A37" s="2" t="s">
        <v>9</v>
      </c>
      <c r="B37" s="2" t="s">
        <v>2106</v>
      </c>
      <c r="C37" s="2"/>
      <c r="D37" s="2" t="s">
        <v>2107</v>
      </c>
      <c r="E37" s="2"/>
      <c r="F37" s="2"/>
      <c r="G37" s="2"/>
    </row>
    <row r="38" spans="1:7" x14ac:dyDescent="0.3">
      <c r="A38" s="2" t="s">
        <v>9</v>
      </c>
      <c r="B38" s="2" t="s">
        <v>2106</v>
      </c>
      <c r="C38" s="2" t="s">
        <v>1054</v>
      </c>
      <c r="D38" s="2" t="s">
        <v>2173</v>
      </c>
      <c r="E38" s="2" t="s">
        <v>39</v>
      </c>
      <c r="F38" s="2"/>
      <c r="G38" s="2"/>
    </row>
    <row r="39" spans="1:7" x14ac:dyDescent="0.3">
      <c r="A39" s="2" t="s">
        <v>9</v>
      </c>
      <c r="B39" s="2" t="s">
        <v>2446</v>
      </c>
      <c r="C39" s="2"/>
      <c r="D39" s="2" t="s">
        <v>2447</v>
      </c>
      <c r="E39" s="2" t="s">
        <v>39</v>
      </c>
      <c r="F39" s="2"/>
      <c r="G39" s="2" t="s">
        <v>1717</v>
      </c>
    </row>
    <row r="40" spans="1:7" x14ac:dyDescent="0.3">
      <c r="A40" s="2" t="s">
        <v>9</v>
      </c>
      <c r="B40" s="2" t="s">
        <v>2808</v>
      </c>
      <c r="C40" s="2"/>
      <c r="D40" s="2" t="s">
        <v>2809</v>
      </c>
      <c r="E40" s="2"/>
      <c r="F40" s="2"/>
      <c r="G40" s="2"/>
    </row>
    <row r="41" spans="1:7" x14ac:dyDescent="0.3">
      <c r="A41" s="2" t="s">
        <v>9</v>
      </c>
      <c r="B41" s="2" t="s">
        <v>183</v>
      </c>
      <c r="C41" s="2"/>
      <c r="D41" s="2" t="s">
        <v>184</v>
      </c>
      <c r="E41" s="2" t="s">
        <v>39</v>
      </c>
      <c r="F41" s="2"/>
      <c r="G41" s="2"/>
    </row>
    <row r="42" spans="1:7" x14ac:dyDescent="0.3">
      <c r="A42" s="2" t="s">
        <v>9</v>
      </c>
      <c r="B42" s="2" t="s">
        <v>1325</v>
      </c>
      <c r="C42" s="2" t="s">
        <v>1326</v>
      </c>
      <c r="D42" s="2" t="s">
        <v>1327</v>
      </c>
      <c r="E42" s="2" t="s">
        <v>39</v>
      </c>
      <c r="F42" s="2"/>
      <c r="G42" s="2"/>
    </row>
    <row r="43" spans="1:7" x14ac:dyDescent="0.3">
      <c r="A43" s="2" t="s">
        <v>9</v>
      </c>
      <c r="B43" s="2" t="s">
        <v>153</v>
      </c>
      <c r="C43" s="2"/>
      <c r="D43" s="2" t="s">
        <v>154</v>
      </c>
      <c r="E43" s="2" t="s">
        <v>39</v>
      </c>
      <c r="F43" s="2"/>
      <c r="G43" s="2"/>
    </row>
    <row r="44" spans="1:7" x14ac:dyDescent="0.3">
      <c r="A44" s="2" t="s">
        <v>9</v>
      </c>
      <c r="B44" s="2" t="s">
        <v>153</v>
      </c>
      <c r="C44" s="2"/>
      <c r="D44" s="2" t="s">
        <v>2108</v>
      </c>
      <c r="E44" s="2" t="s">
        <v>39</v>
      </c>
      <c r="F44" s="2"/>
      <c r="G44" s="2"/>
    </row>
    <row r="45" spans="1:7" x14ac:dyDescent="0.3">
      <c r="A45" s="2" t="s">
        <v>9</v>
      </c>
      <c r="B45" s="2" t="s">
        <v>37</v>
      </c>
      <c r="C45" s="2"/>
      <c r="D45" s="2" t="s">
        <v>38</v>
      </c>
      <c r="E45" s="2" t="s">
        <v>39</v>
      </c>
      <c r="F45" s="2"/>
      <c r="G45" s="2"/>
    </row>
    <row r="46" spans="1:7" x14ac:dyDescent="0.3">
      <c r="A46" s="2" t="s">
        <v>9</v>
      </c>
      <c r="B46" s="2" t="s">
        <v>221</v>
      </c>
      <c r="C46" s="2" t="s">
        <v>222</v>
      </c>
      <c r="D46" s="2" t="s">
        <v>223</v>
      </c>
      <c r="E46" s="2"/>
      <c r="F46" s="2"/>
      <c r="G46" s="2"/>
    </row>
    <row r="47" spans="1:7" ht="24" x14ac:dyDescent="0.3">
      <c r="A47" s="2" t="s">
        <v>9</v>
      </c>
      <c r="B47" s="2" t="s">
        <v>2513</v>
      </c>
      <c r="C47" s="2"/>
      <c r="D47" s="2" t="s">
        <v>2514</v>
      </c>
      <c r="E47" s="2"/>
      <c r="F47" s="2"/>
      <c r="G47" s="2"/>
    </row>
    <row r="48" spans="1:7" ht="24" x14ac:dyDescent="0.3">
      <c r="A48" s="2" t="s">
        <v>9</v>
      </c>
      <c r="B48" s="2" t="s">
        <v>596</v>
      </c>
      <c r="C48" s="2"/>
      <c r="D48" s="2" t="s">
        <v>597</v>
      </c>
      <c r="E48" s="2" t="s">
        <v>39</v>
      </c>
      <c r="F48" s="2"/>
      <c r="G48" s="2"/>
    </row>
    <row r="49" spans="1:7" ht="24" x14ac:dyDescent="0.3">
      <c r="A49" s="2" t="s">
        <v>9</v>
      </c>
      <c r="B49" s="2" t="s">
        <v>596</v>
      </c>
      <c r="C49" s="2"/>
      <c r="D49" s="2" t="s">
        <v>687</v>
      </c>
      <c r="E49" s="2" t="s">
        <v>39</v>
      </c>
      <c r="F49" s="2"/>
      <c r="G49" s="2"/>
    </row>
    <row r="50" spans="1:7" ht="24" x14ac:dyDescent="0.3">
      <c r="A50" s="2" t="s">
        <v>9</v>
      </c>
      <c r="B50" s="2" t="s">
        <v>596</v>
      </c>
      <c r="C50" s="2"/>
      <c r="D50" s="2" t="s">
        <v>736</v>
      </c>
      <c r="E50" s="2"/>
      <c r="F50" s="2"/>
      <c r="G50" s="2"/>
    </row>
    <row r="51" spans="1:7" ht="24" x14ac:dyDescent="0.3">
      <c r="A51" s="2" t="s">
        <v>9</v>
      </c>
      <c r="B51" s="2" t="s">
        <v>596</v>
      </c>
      <c r="C51" s="2"/>
      <c r="D51" s="2" t="s">
        <v>1283</v>
      </c>
      <c r="E51" s="2" t="s">
        <v>39</v>
      </c>
      <c r="F51" s="2"/>
      <c r="G51" s="2"/>
    </row>
    <row r="52" spans="1:7" x14ac:dyDescent="0.3">
      <c r="A52" s="2" t="s">
        <v>9</v>
      </c>
      <c r="B52" s="2" t="s">
        <v>453</v>
      </c>
      <c r="C52" s="2"/>
      <c r="D52" s="2" t="s">
        <v>454</v>
      </c>
      <c r="E52" s="2"/>
      <c r="F52" s="2"/>
      <c r="G52" s="2"/>
    </row>
    <row r="53" spans="1:7" x14ac:dyDescent="0.3">
      <c r="A53" s="2" t="s">
        <v>9</v>
      </c>
      <c r="B53" s="2" t="s">
        <v>265</v>
      </c>
      <c r="C53" s="2"/>
      <c r="D53" s="2" t="s">
        <v>266</v>
      </c>
      <c r="E53" s="2"/>
      <c r="F53" s="2"/>
      <c r="G53" s="2"/>
    </row>
    <row r="54" spans="1:7" x14ac:dyDescent="0.3">
      <c r="A54" s="2" t="s">
        <v>9</v>
      </c>
      <c r="B54" s="2" t="s">
        <v>265</v>
      </c>
      <c r="C54" s="2"/>
      <c r="D54" s="2" t="s">
        <v>704</v>
      </c>
      <c r="E54" s="2"/>
      <c r="F54" s="2"/>
      <c r="G54" s="2"/>
    </row>
    <row r="55" spans="1:7" x14ac:dyDescent="0.3">
      <c r="A55" s="2" t="s">
        <v>9</v>
      </c>
      <c r="B55" s="2" t="s">
        <v>288</v>
      </c>
      <c r="C55" s="2"/>
      <c r="D55" s="2" t="s">
        <v>289</v>
      </c>
      <c r="E55" s="2"/>
      <c r="F55" s="2"/>
      <c r="G55" s="2"/>
    </row>
    <row r="56" spans="1:7" ht="24" x14ac:dyDescent="0.3">
      <c r="A56" s="2" t="s">
        <v>9</v>
      </c>
      <c r="B56" s="2" t="s">
        <v>451</v>
      </c>
      <c r="C56" s="2"/>
      <c r="D56" s="2" t="s">
        <v>452</v>
      </c>
      <c r="E56" s="2"/>
      <c r="F56" s="2"/>
      <c r="G56" s="2"/>
    </row>
    <row r="57" spans="1:7" ht="24" x14ac:dyDescent="0.3">
      <c r="A57" s="2" t="s">
        <v>9</v>
      </c>
      <c r="B57" s="2" t="s">
        <v>451</v>
      </c>
      <c r="C57" s="2"/>
      <c r="D57" s="2" t="s">
        <v>1123</v>
      </c>
      <c r="E57" s="2"/>
      <c r="F57" s="2"/>
      <c r="G57" s="2"/>
    </row>
    <row r="58" spans="1:7" x14ac:dyDescent="0.3">
      <c r="A58" s="2" t="s">
        <v>9</v>
      </c>
      <c r="B58" s="2" t="s">
        <v>284</v>
      </c>
      <c r="C58" s="2"/>
      <c r="D58" s="2" t="s">
        <v>285</v>
      </c>
      <c r="E58" s="2"/>
      <c r="F58" s="2"/>
      <c r="G58" s="2"/>
    </row>
    <row r="59" spans="1:7" x14ac:dyDescent="0.3">
      <c r="A59" s="2" t="s">
        <v>9</v>
      </c>
      <c r="B59" s="2" t="s">
        <v>284</v>
      </c>
      <c r="C59" s="2"/>
      <c r="D59" s="2" t="s">
        <v>735</v>
      </c>
      <c r="E59" s="2"/>
      <c r="F59" s="2"/>
      <c r="G59" s="2"/>
    </row>
    <row r="60" spans="1:7" x14ac:dyDescent="0.3">
      <c r="A60" s="2" t="s">
        <v>9</v>
      </c>
      <c r="B60" s="2" t="s">
        <v>224</v>
      </c>
      <c r="C60" s="2"/>
      <c r="D60" s="2" t="s">
        <v>225</v>
      </c>
      <c r="E60" s="2"/>
      <c r="F60" s="2"/>
      <c r="G60" s="2"/>
    </row>
    <row r="61" spans="1:7" x14ac:dyDescent="0.3">
      <c r="A61" s="2" t="s">
        <v>9</v>
      </c>
      <c r="B61" s="2" t="s">
        <v>809</v>
      </c>
      <c r="C61" s="2"/>
      <c r="D61" s="2" t="s">
        <v>810</v>
      </c>
      <c r="E61" s="2"/>
      <c r="F61" s="2"/>
      <c r="G61" s="2"/>
    </row>
    <row r="62" spans="1:7" x14ac:dyDescent="0.3">
      <c r="A62" s="2" t="s">
        <v>9</v>
      </c>
      <c r="B62" s="2" t="s">
        <v>886</v>
      </c>
      <c r="C62" s="2"/>
      <c r="D62" s="2" t="s">
        <v>887</v>
      </c>
      <c r="E62" s="2"/>
      <c r="F62" s="2"/>
      <c r="G62" s="2"/>
    </row>
    <row r="63" spans="1:7" x14ac:dyDescent="0.3">
      <c r="A63" s="2" t="s">
        <v>9</v>
      </c>
      <c r="B63" s="2" t="s">
        <v>185</v>
      </c>
      <c r="C63" s="2" t="s">
        <v>186</v>
      </c>
      <c r="D63" s="2" t="s">
        <v>187</v>
      </c>
      <c r="E63" s="2"/>
      <c r="F63" s="2"/>
      <c r="G63" s="2"/>
    </row>
    <row r="64" spans="1:7" ht="24" x14ac:dyDescent="0.3">
      <c r="A64" s="2" t="s">
        <v>9</v>
      </c>
      <c r="B64" s="2" t="s">
        <v>2448</v>
      </c>
      <c r="C64" s="2"/>
      <c r="D64" s="2" t="s">
        <v>2449</v>
      </c>
      <c r="E64" s="2"/>
      <c r="F64" s="2"/>
      <c r="G64" s="2"/>
    </row>
    <row r="65" spans="1:7" x14ac:dyDescent="0.3">
      <c r="A65" s="2" t="s">
        <v>9</v>
      </c>
      <c r="B65" s="2" t="s">
        <v>427</v>
      </c>
      <c r="C65" s="2"/>
      <c r="D65" s="2" t="s">
        <v>428</v>
      </c>
      <c r="E65" s="2"/>
      <c r="F65" s="2"/>
      <c r="G65" s="2"/>
    </row>
    <row r="66" spans="1:7" x14ac:dyDescent="0.3">
      <c r="A66" s="2" t="s">
        <v>9</v>
      </c>
      <c r="B66" s="2" t="s">
        <v>625</v>
      </c>
      <c r="C66" s="2"/>
      <c r="D66" s="2" t="s">
        <v>626</v>
      </c>
      <c r="E66" s="2" t="s">
        <v>39</v>
      </c>
      <c r="F66" s="2"/>
      <c r="G66" s="2"/>
    </row>
    <row r="67" spans="1:7" x14ac:dyDescent="0.3">
      <c r="A67" s="2" t="s">
        <v>9</v>
      </c>
      <c r="B67" s="2" t="s">
        <v>621</v>
      </c>
      <c r="C67" s="2"/>
      <c r="D67" s="2" t="s">
        <v>622</v>
      </c>
      <c r="E67" s="2" t="s">
        <v>39</v>
      </c>
      <c r="F67" s="2"/>
      <c r="G67" s="2"/>
    </row>
    <row r="68" spans="1:7" x14ac:dyDescent="0.3">
      <c r="A68" s="2" t="s">
        <v>9</v>
      </c>
      <c r="B68" s="2" t="s">
        <v>219</v>
      </c>
      <c r="C68" s="2"/>
      <c r="D68" s="2" t="s">
        <v>220</v>
      </c>
      <c r="E68" s="2" t="s">
        <v>39</v>
      </c>
      <c r="F68" s="2"/>
      <c r="G68" s="2"/>
    </row>
    <row r="69" spans="1:7" x14ac:dyDescent="0.3">
      <c r="A69" s="2" t="s">
        <v>9</v>
      </c>
      <c r="B69" s="2" t="s">
        <v>94</v>
      </c>
      <c r="C69" s="2" t="s">
        <v>95</v>
      </c>
      <c r="D69" s="2" t="s">
        <v>96</v>
      </c>
      <c r="E69" s="2" t="s">
        <v>39</v>
      </c>
      <c r="F69" s="2"/>
      <c r="G69" s="2"/>
    </row>
    <row r="70" spans="1:7" ht="24" x14ac:dyDescent="0.3">
      <c r="A70" s="2" t="s">
        <v>9</v>
      </c>
      <c r="B70" s="2" t="s">
        <v>2382</v>
      </c>
      <c r="C70" s="2"/>
      <c r="D70" s="2" t="s">
        <v>2383</v>
      </c>
      <c r="E70" s="2"/>
      <c r="F70" s="2"/>
      <c r="G70" s="2"/>
    </row>
    <row r="71" spans="1:7" x14ac:dyDescent="0.3">
      <c r="A71" s="2" t="s">
        <v>9</v>
      </c>
      <c r="B71" s="2" t="s">
        <v>540</v>
      </c>
      <c r="C71" s="2"/>
      <c r="D71" s="2" t="s">
        <v>541</v>
      </c>
      <c r="E71" s="2"/>
      <c r="F71" s="2"/>
      <c r="G71" s="2"/>
    </row>
    <row r="72" spans="1:7" x14ac:dyDescent="0.3">
      <c r="A72" s="2" t="s">
        <v>9</v>
      </c>
      <c r="B72" s="2" t="s">
        <v>341</v>
      </c>
      <c r="C72" s="2" t="s">
        <v>342</v>
      </c>
      <c r="D72" s="2" t="s">
        <v>343</v>
      </c>
      <c r="E72" s="2"/>
      <c r="F72" s="2"/>
      <c r="G72" s="2"/>
    </row>
    <row r="73" spans="1:7" x14ac:dyDescent="0.3">
      <c r="A73" s="2" t="s">
        <v>9</v>
      </c>
      <c r="B73" s="2" t="s">
        <v>2109</v>
      </c>
      <c r="C73" s="2"/>
      <c r="D73" s="2" t="s">
        <v>2110</v>
      </c>
      <c r="E73" s="2" t="s">
        <v>39</v>
      </c>
      <c r="F73" s="2"/>
      <c r="G73" s="2"/>
    </row>
    <row r="74" spans="1:7" x14ac:dyDescent="0.3">
      <c r="A74" s="2" t="s">
        <v>9</v>
      </c>
      <c r="B74" s="2" t="s">
        <v>2174</v>
      </c>
      <c r="C74" s="2" t="s">
        <v>222</v>
      </c>
      <c r="D74" s="2" t="s">
        <v>2175</v>
      </c>
      <c r="E74" s="2"/>
      <c r="F74" s="2"/>
      <c r="G74" s="2"/>
    </row>
    <row r="75" spans="1:7" ht="24" x14ac:dyDescent="0.3">
      <c r="A75" s="2" t="s">
        <v>9</v>
      </c>
      <c r="B75" s="2" t="s">
        <v>2511</v>
      </c>
      <c r="C75" s="2" t="s">
        <v>342</v>
      </c>
      <c r="D75" s="2" t="s">
        <v>2512</v>
      </c>
      <c r="E75" s="2"/>
      <c r="F75" s="2"/>
      <c r="G75" s="2"/>
    </row>
    <row r="76" spans="1:7" x14ac:dyDescent="0.3">
      <c r="A76" s="2" t="s">
        <v>9</v>
      </c>
      <c r="B76" s="2" t="s">
        <v>2343</v>
      </c>
      <c r="C76" s="2"/>
      <c r="D76" s="2" t="s">
        <v>2344</v>
      </c>
      <c r="E76" s="2" t="s">
        <v>39</v>
      </c>
      <c r="F76" s="2"/>
      <c r="G76" s="2"/>
    </row>
    <row r="77" spans="1:7" x14ac:dyDescent="0.3">
      <c r="A77" s="2" t="s">
        <v>9</v>
      </c>
      <c r="B77" s="2" t="s">
        <v>507</v>
      </c>
      <c r="C77" s="2"/>
      <c r="D77" s="2" t="s">
        <v>508</v>
      </c>
      <c r="E77" s="2"/>
      <c r="F77" s="2"/>
      <c r="G77" s="2"/>
    </row>
    <row r="78" spans="1:7" x14ac:dyDescent="0.3">
      <c r="A78" s="2" t="s">
        <v>9</v>
      </c>
      <c r="B78" s="2" t="s">
        <v>312</v>
      </c>
      <c r="C78" s="2"/>
      <c r="D78" s="2" t="s">
        <v>313</v>
      </c>
      <c r="E78" s="2"/>
      <c r="F78" s="2"/>
      <c r="G78" s="2"/>
    </row>
    <row r="79" spans="1:7" x14ac:dyDescent="0.3">
      <c r="A79" s="2" t="s">
        <v>9</v>
      </c>
      <c r="B79" s="2" t="s">
        <v>888</v>
      </c>
      <c r="C79" s="2"/>
      <c r="D79" s="2" t="s">
        <v>889</v>
      </c>
      <c r="E79" s="2"/>
      <c r="F79" s="2"/>
      <c r="G79" s="2"/>
    </row>
    <row r="80" spans="1:7" ht="24" x14ac:dyDescent="0.3">
      <c r="A80" s="2" t="s">
        <v>9</v>
      </c>
      <c r="B80" s="2" t="s">
        <v>4262</v>
      </c>
      <c r="C80" s="2"/>
      <c r="D80" s="2" t="s">
        <v>4263</v>
      </c>
      <c r="E80" s="2"/>
      <c r="F80" s="2"/>
      <c r="G80" s="2" t="s">
        <v>1717</v>
      </c>
    </row>
    <row r="81" spans="1:7" ht="24" x14ac:dyDescent="0.3">
      <c r="A81" s="2" t="s">
        <v>9</v>
      </c>
      <c r="B81" s="2" t="s">
        <v>286</v>
      </c>
      <c r="C81" s="2"/>
      <c r="D81" s="2" t="s">
        <v>287</v>
      </c>
      <c r="E81" s="2"/>
      <c r="F81" s="2"/>
      <c r="G81" s="2"/>
    </row>
    <row r="82" spans="1:7" ht="24" x14ac:dyDescent="0.3">
      <c r="A82" s="2" t="s">
        <v>9</v>
      </c>
      <c r="B82" s="2" t="s">
        <v>598</v>
      </c>
      <c r="C82" s="2"/>
      <c r="D82" s="2" t="s">
        <v>599</v>
      </c>
      <c r="E82" s="2" t="s">
        <v>39</v>
      </c>
      <c r="F82" s="2"/>
      <c r="G82" s="2"/>
    </row>
    <row r="83" spans="1:7" x14ac:dyDescent="0.3">
      <c r="A83" s="2" t="s">
        <v>9</v>
      </c>
      <c r="B83" s="2" t="s">
        <v>657</v>
      </c>
      <c r="C83" s="2"/>
      <c r="D83" s="2" t="s">
        <v>658</v>
      </c>
      <c r="E83" s="2"/>
      <c r="F83" s="2"/>
      <c r="G83" s="2"/>
    </row>
    <row r="84" spans="1:7" x14ac:dyDescent="0.3">
      <c r="A84" s="2" t="s">
        <v>9</v>
      </c>
      <c r="B84" s="2" t="s">
        <v>30</v>
      </c>
      <c r="C84" s="2"/>
      <c r="D84" s="2" t="s">
        <v>31</v>
      </c>
      <c r="E84" s="2"/>
      <c r="F84" s="2"/>
      <c r="G84" s="2"/>
    </row>
    <row r="85" spans="1:7" x14ac:dyDescent="0.3">
      <c r="A85" s="2" t="s">
        <v>9</v>
      </c>
      <c r="B85" s="2" t="s">
        <v>42</v>
      </c>
      <c r="C85" s="2"/>
      <c r="D85" s="2" t="s">
        <v>43</v>
      </c>
      <c r="E85" s="2"/>
      <c r="F85" s="2"/>
      <c r="G85" s="2"/>
    </row>
    <row r="86" spans="1:7" x14ac:dyDescent="0.3">
      <c r="A86" s="2" t="s">
        <v>9</v>
      </c>
      <c r="B86" s="2" t="s">
        <v>67</v>
      </c>
      <c r="C86" s="2"/>
      <c r="D86" s="2" t="s">
        <v>68</v>
      </c>
      <c r="E86" s="2"/>
      <c r="F86" s="2"/>
      <c r="G86" s="2"/>
    </row>
    <row r="87" spans="1:7" x14ac:dyDescent="0.3">
      <c r="A87" s="2" t="s">
        <v>9</v>
      </c>
      <c r="B87" s="2" t="s">
        <v>54</v>
      </c>
      <c r="C87" s="2"/>
      <c r="D87" s="2" t="s">
        <v>55</v>
      </c>
      <c r="E87" s="2"/>
      <c r="F87" s="2"/>
      <c r="G87" s="2"/>
    </row>
  </sheetData>
  <autoFilter ref="A1:G87" xr:uid="{00000000-0009-0000-0000-000000000000}">
    <sortState xmlns:xlrd2="http://schemas.microsoft.com/office/spreadsheetml/2017/richdata2" ref="A2:G87">
      <sortCondition ref="B1:B87"/>
    </sortState>
  </autoFilter>
  <dataValidations count="1">
    <dataValidation type="list" allowBlank="1" showErrorMessage="1" sqref="C2:C87" xr:uid="{521007FF-CD74-46A0-B29A-C62A95B018FC}">
      <formula1>#REF!</formula1>
    </dataValidation>
  </dataValidations>
  <pageMargins left="0.7" right="0.7" top="0.75" bottom="0.75" header="0" footer="0"/>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5B14-F24B-479F-AB00-388778F3EDB2}">
  <dimension ref="A1:I1126"/>
  <sheetViews>
    <sheetView workbookViewId="0">
      <pane ySplit="1" topLeftCell="A2" activePane="bottomLeft" state="frozen"/>
      <selection pane="bottomLeft" activeCell="A2" sqref="A2"/>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9567</v>
      </c>
      <c r="B2" s="2" t="s">
        <v>180</v>
      </c>
      <c r="C2" s="2" t="s">
        <v>181</v>
      </c>
      <c r="D2" s="2" t="s">
        <v>182</v>
      </c>
      <c r="E2" s="2" t="s">
        <v>39</v>
      </c>
      <c r="F2" s="2"/>
      <c r="G2" s="2"/>
      <c r="H2" s="2"/>
      <c r="I2" s="3">
        <f t="shared" ref="I2:I65" si="0">LEN(D2)</f>
        <v>23</v>
      </c>
    </row>
    <row r="3" spans="1:9" x14ac:dyDescent="0.3">
      <c r="A3" s="2" t="s">
        <v>9571</v>
      </c>
      <c r="B3" s="2" t="s">
        <v>173</v>
      </c>
      <c r="C3" s="2"/>
      <c r="D3" s="2" t="s">
        <v>174</v>
      </c>
      <c r="E3" s="2"/>
      <c r="F3" s="2"/>
      <c r="G3" s="2"/>
      <c r="H3" s="2"/>
      <c r="I3" s="3">
        <f t="shared" si="0"/>
        <v>23</v>
      </c>
    </row>
    <row r="4" spans="1:9" x14ac:dyDescent="0.3">
      <c r="A4" s="2" t="s">
        <v>9568</v>
      </c>
      <c r="B4" s="2" t="s">
        <v>246</v>
      </c>
      <c r="C4" s="2" t="s">
        <v>247</v>
      </c>
      <c r="D4" s="2" t="s">
        <v>248</v>
      </c>
      <c r="E4" s="2"/>
      <c r="F4" s="2"/>
      <c r="G4" s="2"/>
      <c r="H4" s="2"/>
      <c r="I4" s="3">
        <f t="shared" si="0"/>
        <v>28</v>
      </c>
    </row>
    <row r="5" spans="1:9" x14ac:dyDescent="0.3">
      <c r="A5" s="2" t="s">
        <v>9568</v>
      </c>
      <c r="B5" s="2" t="s">
        <v>258</v>
      </c>
      <c r="C5" s="2" t="s">
        <v>259</v>
      </c>
      <c r="D5" s="2" t="s">
        <v>260</v>
      </c>
      <c r="E5" s="2"/>
      <c r="F5" s="2"/>
      <c r="G5" s="2"/>
      <c r="H5" s="2"/>
      <c r="I5" s="3">
        <f t="shared" si="0"/>
        <v>29</v>
      </c>
    </row>
    <row r="6" spans="1:9" x14ac:dyDescent="0.3">
      <c r="A6" s="2" t="s">
        <v>9568</v>
      </c>
      <c r="B6" s="2" t="s">
        <v>262</v>
      </c>
      <c r="C6" s="2" t="s">
        <v>263</v>
      </c>
      <c r="D6" s="2" t="s">
        <v>264</v>
      </c>
      <c r="E6" s="2"/>
      <c r="F6" s="2"/>
      <c r="G6" s="2"/>
      <c r="H6" s="2"/>
      <c r="I6" s="3">
        <f t="shared" si="0"/>
        <v>29</v>
      </c>
    </row>
    <row r="7" spans="1:9" x14ac:dyDescent="0.3">
      <c r="A7" s="2" t="s">
        <v>9567</v>
      </c>
      <c r="B7" s="2" t="s">
        <v>282</v>
      </c>
      <c r="C7" s="2"/>
      <c r="D7" s="2" t="s">
        <v>283</v>
      </c>
      <c r="E7" s="2"/>
      <c r="F7" s="2"/>
      <c r="G7" s="2"/>
      <c r="H7" s="2"/>
      <c r="I7" s="3">
        <f t="shared" si="0"/>
        <v>30</v>
      </c>
    </row>
    <row r="8" spans="1:9" x14ac:dyDescent="0.3">
      <c r="A8" s="2" t="s">
        <v>9568</v>
      </c>
      <c r="B8" s="2" t="s">
        <v>267</v>
      </c>
      <c r="C8" s="2" t="s">
        <v>268</v>
      </c>
      <c r="D8" s="2" t="s">
        <v>269</v>
      </c>
      <c r="E8" s="2"/>
      <c r="F8" s="2"/>
      <c r="G8" s="2"/>
      <c r="H8" s="2"/>
      <c r="I8" s="3">
        <f t="shared" si="0"/>
        <v>30</v>
      </c>
    </row>
    <row r="9" spans="1:9" x14ac:dyDescent="0.3">
      <c r="A9" s="2" t="s">
        <v>9568</v>
      </c>
      <c r="B9" s="2" t="s">
        <v>270</v>
      </c>
      <c r="C9" s="2" t="s">
        <v>271</v>
      </c>
      <c r="D9" s="2" t="s">
        <v>269</v>
      </c>
      <c r="E9" s="2"/>
      <c r="F9" s="2"/>
      <c r="G9" s="2"/>
      <c r="H9" s="2"/>
      <c r="I9" s="3">
        <f t="shared" si="0"/>
        <v>30</v>
      </c>
    </row>
    <row r="10" spans="1:9" x14ac:dyDescent="0.3">
      <c r="A10" s="2" t="s">
        <v>9568</v>
      </c>
      <c r="B10" s="2" t="s">
        <v>272</v>
      </c>
      <c r="C10" s="2" t="s">
        <v>273</v>
      </c>
      <c r="D10" s="2" t="s">
        <v>269</v>
      </c>
      <c r="E10" s="2"/>
      <c r="F10" s="2"/>
      <c r="G10" s="2"/>
      <c r="H10" s="2"/>
      <c r="I10" s="3">
        <f t="shared" si="0"/>
        <v>30</v>
      </c>
    </row>
    <row r="11" spans="1:9" x14ac:dyDescent="0.3">
      <c r="A11" s="2" t="s">
        <v>9567</v>
      </c>
      <c r="B11" s="2" t="s">
        <v>308</v>
      </c>
      <c r="C11" s="2" t="s">
        <v>263</v>
      </c>
      <c r="D11" s="2" t="s">
        <v>309</v>
      </c>
      <c r="E11" s="2"/>
      <c r="F11" s="2"/>
      <c r="G11" s="2"/>
      <c r="H11" s="2"/>
      <c r="I11" s="3">
        <f t="shared" si="0"/>
        <v>32</v>
      </c>
    </row>
    <row r="12" spans="1:9" x14ac:dyDescent="0.3">
      <c r="A12" s="2" t="s">
        <v>9568</v>
      </c>
      <c r="B12" s="2" t="s">
        <v>336</v>
      </c>
      <c r="C12" s="2" t="s">
        <v>337</v>
      </c>
      <c r="D12" s="2" t="s">
        <v>338</v>
      </c>
      <c r="E12" s="2"/>
      <c r="F12" s="2"/>
      <c r="G12" s="2"/>
      <c r="H12" s="2"/>
      <c r="I12" s="3">
        <f t="shared" si="0"/>
        <v>33</v>
      </c>
    </row>
    <row r="13" spans="1:9" x14ac:dyDescent="0.3">
      <c r="A13" s="2" t="s">
        <v>9567</v>
      </c>
      <c r="B13" s="2" t="s">
        <v>351</v>
      </c>
      <c r="C13" s="2"/>
      <c r="D13" s="2" t="s">
        <v>352</v>
      </c>
      <c r="E13" s="2"/>
      <c r="F13" s="2"/>
      <c r="G13" s="2"/>
      <c r="H13" s="2"/>
      <c r="I13" s="3">
        <f t="shared" si="0"/>
        <v>34</v>
      </c>
    </row>
    <row r="14" spans="1:9" x14ac:dyDescent="0.3">
      <c r="A14" s="2" t="s">
        <v>9567</v>
      </c>
      <c r="B14" s="2" t="s">
        <v>353</v>
      </c>
      <c r="C14" s="2" t="s">
        <v>354</v>
      </c>
      <c r="D14" s="2" t="s">
        <v>355</v>
      </c>
      <c r="E14" s="2"/>
      <c r="F14" s="2"/>
      <c r="G14" s="2"/>
      <c r="H14" s="2"/>
      <c r="I14" s="3">
        <f t="shared" si="0"/>
        <v>34</v>
      </c>
    </row>
    <row r="15" spans="1:9" x14ac:dyDescent="0.3">
      <c r="A15" s="2" t="s">
        <v>9568</v>
      </c>
      <c r="B15" s="2" t="s">
        <v>344</v>
      </c>
      <c r="C15" s="2" t="s">
        <v>345</v>
      </c>
      <c r="D15" s="2" t="s">
        <v>346</v>
      </c>
      <c r="E15" s="2"/>
      <c r="F15" s="2"/>
      <c r="G15" s="2"/>
      <c r="H15" s="2" t="s">
        <v>86</v>
      </c>
      <c r="I15" s="3">
        <f t="shared" si="0"/>
        <v>34</v>
      </c>
    </row>
    <row r="16" spans="1:9" x14ac:dyDescent="0.3">
      <c r="A16" s="2" t="s">
        <v>9567</v>
      </c>
      <c r="B16" s="2" t="s">
        <v>370</v>
      </c>
      <c r="C16" s="2"/>
      <c r="D16" s="2" t="s">
        <v>371</v>
      </c>
      <c r="E16" s="2"/>
      <c r="F16" s="2"/>
      <c r="G16" s="2"/>
      <c r="H16" s="2"/>
      <c r="I16" s="3">
        <f t="shared" si="0"/>
        <v>35</v>
      </c>
    </row>
    <row r="17" spans="1:9" x14ac:dyDescent="0.3">
      <c r="A17" s="2" t="s">
        <v>9567</v>
      </c>
      <c r="B17" s="2" t="s">
        <v>384</v>
      </c>
      <c r="C17" s="2"/>
      <c r="D17" s="2" t="s">
        <v>385</v>
      </c>
      <c r="E17" s="2"/>
      <c r="F17" s="2"/>
      <c r="G17" s="2"/>
      <c r="H17" s="2"/>
      <c r="I17" s="3">
        <f t="shared" si="0"/>
        <v>35</v>
      </c>
    </row>
    <row r="18" spans="1:9" x14ac:dyDescent="0.3">
      <c r="A18" s="2" t="s">
        <v>9567</v>
      </c>
      <c r="B18" s="2" t="s">
        <v>394</v>
      </c>
      <c r="C18" s="2" t="s">
        <v>395</v>
      </c>
      <c r="D18" s="2" t="s">
        <v>396</v>
      </c>
      <c r="E18" s="2" t="s">
        <v>39</v>
      </c>
      <c r="F18" s="2"/>
      <c r="G18" s="2"/>
      <c r="H18" s="2"/>
      <c r="I18" s="3">
        <f t="shared" si="0"/>
        <v>36</v>
      </c>
    </row>
    <row r="19" spans="1:9" x14ac:dyDescent="0.3">
      <c r="A19" s="2" t="s">
        <v>9567</v>
      </c>
      <c r="B19" s="2" t="s">
        <v>399</v>
      </c>
      <c r="C19" s="2" t="s">
        <v>400</v>
      </c>
      <c r="D19" s="2" t="s">
        <v>401</v>
      </c>
      <c r="E19" s="2" t="s">
        <v>39</v>
      </c>
      <c r="F19" s="2"/>
      <c r="G19" s="2"/>
      <c r="H19" s="2" t="s">
        <v>402</v>
      </c>
      <c r="I19" s="3">
        <f t="shared" si="0"/>
        <v>36</v>
      </c>
    </row>
    <row r="20" spans="1:9" x14ac:dyDescent="0.3">
      <c r="A20" s="2" t="s">
        <v>9567</v>
      </c>
      <c r="B20" s="2" t="s">
        <v>424</v>
      </c>
      <c r="C20" s="2" t="s">
        <v>95</v>
      </c>
      <c r="D20" s="2" t="s">
        <v>425</v>
      </c>
      <c r="E20" s="2"/>
      <c r="F20" s="2"/>
      <c r="G20" s="2"/>
      <c r="H20" s="2"/>
      <c r="I20" s="3">
        <f t="shared" si="0"/>
        <v>37</v>
      </c>
    </row>
    <row r="21" spans="1:9" x14ac:dyDescent="0.3">
      <c r="A21" s="2" t="s">
        <v>9571</v>
      </c>
      <c r="B21" s="2" t="s">
        <v>411</v>
      </c>
      <c r="C21" s="2" t="s">
        <v>412</v>
      </c>
      <c r="D21" s="2" t="s">
        <v>413</v>
      </c>
      <c r="E21" s="2"/>
      <c r="F21" s="2"/>
      <c r="G21" s="2"/>
      <c r="H21" s="2"/>
      <c r="I21" s="3">
        <f t="shared" si="0"/>
        <v>37</v>
      </c>
    </row>
    <row r="22" spans="1:9" x14ac:dyDescent="0.3">
      <c r="A22" s="2" t="s">
        <v>9571</v>
      </c>
      <c r="B22" s="2" t="s">
        <v>434</v>
      </c>
      <c r="C22" s="2"/>
      <c r="D22" s="2" t="s">
        <v>435</v>
      </c>
      <c r="E22" s="2"/>
      <c r="F22" s="2"/>
      <c r="G22" s="2"/>
      <c r="H22" s="2"/>
      <c r="I22" s="3">
        <f t="shared" si="0"/>
        <v>38</v>
      </c>
    </row>
    <row r="23" spans="1:9" x14ac:dyDescent="0.3">
      <c r="A23" s="2" t="s">
        <v>9567</v>
      </c>
      <c r="B23" s="2" t="s">
        <v>465</v>
      </c>
      <c r="C23" s="2"/>
      <c r="D23" s="2" t="s">
        <v>466</v>
      </c>
      <c r="E23" s="2" t="s">
        <v>39</v>
      </c>
      <c r="F23" s="2"/>
      <c r="G23" s="2"/>
      <c r="H23" s="2"/>
      <c r="I23" s="3">
        <f t="shared" si="0"/>
        <v>39</v>
      </c>
    </row>
    <row r="24" spans="1:9" x14ac:dyDescent="0.3">
      <c r="A24" s="2" t="s">
        <v>9571</v>
      </c>
      <c r="B24" s="2" t="s">
        <v>460</v>
      </c>
      <c r="C24" s="2" t="s">
        <v>461</v>
      </c>
      <c r="D24" s="2" t="s">
        <v>462</v>
      </c>
      <c r="E24" s="2"/>
      <c r="F24" s="2"/>
      <c r="G24" s="2"/>
      <c r="H24" s="2"/>
      <c r="I24" s="3">
        <f t="shared" si="0"/>
        <v>39</v>
      </c>
    </row>
    <row r="25" spans="1:9" x14ac:dyDescent="0.3">
      <c r="A25" s="2" t="s">
        <v>9567</v>
      </c>
      <c r="B25" s="2" t="s">
        <v>509</v>
      </c>
      <c r="C25" s="2" t="s">
        <v>500</v>
      </c>
      <c r="D25" s="2" t="s">
        <v>510</v>
      </c>
      <c r="E25" s="2" t="s">
        <v>39</v>
      </c>
      <c r="F25" s="2"/>
      <c r="G25" s="2"/>
      <c r="H25" s="2" t="s">
        <v>402</v>
      </c>
      <c r="I25" s="3">
        <f t="shared" si="0"/>
        <v>40</v>
      </c>
    </row>
    <row r="26" spans="1:9" x14ac:dyDescent="0.3">
      <c r="A26" s="2" t="s">
        <v>9571</v>
      </c>
      <c r="B26" s="2" t="s">
        <v>484</v>
      </c>
      <c r="C26" s="2" t="s">
        <v>342</v>
      </c>
      <c r="D26" s="2" t="s">
        <v>485</v>
      </c>
      <c r="E26" s="2"/>
      <c r="F26" s="2"/>
      <c r="G26" s="2"/>
      <c r="H26" s="2"/>
      <c r="I26" s="3">
        <f t="shared" si="0"/>
        <v>40</v>
      </c>
    </row>
    <row r="27" spans="1:9" x14ac:dyDescent="0.3">
      <c r="A27" s="2" t="s">
        <v>9571</v>
      </c>
      <c r="B27" s="2" t="s">
        <v>493</v>
      </c>
      <c r="C27" s="2" t="s">
        <v>342</v>
      </c>
      <c r="D27" s="2" t="s">
        <v>494</v>
      </c>
      <c r="E27" s="2"/>
      <c r="F27" s="2"/>
      <c r="G27" s="2"/>
      <c r="H27" s="2"/>
      <c r="I27" s="3">
        <f t="shared" si="0"/>
        <v>40</v>
      </c>
    </row>
    <row r="28" spans="1:9" x14ac:dyDescent="0.3">
      <c r="A28" s="2" t="s">
        <v>9571</v>
      </c>
      <c r="B28" s="2" t="s">
        <v>495</v>
      </c>
      <c r="C28" s="2" t="s">
        <v>130</v>
      </c>
      <c r="D28" s="2" t="s">
        <v>496</v>
      </c>
      <c r="E28" s="2"/>
      <c r="F28" s="2"/>
      <c r="G28" s="2"/>
      <c r="H28" s="2"/>
      <c r="I28" s="3">
        <f t="shared" si="0"/>
        <v>40</v>
      </c>
    </row>
    <row r="29" spans="1:9" x14ac:dyDescent="0.3">
      <c r="A29" s="2" t="s">
        <v>9571</v>
      </c>
      <c r="B29" s="2" t="s">
        <v>486</v>
      </c>
      <c r="C29" s="2" t="s">
        <v>348</v>
      </c>
      <c r="D29" s="2" t="s">
        <v>487</v>
      </c>
      <c r="E29" s="2"/>
      <c r="F29" s="2"/>
      <c r="G29" s="2" t="s">
        <v>350</v>
      </c>
      <c r="H29" s="2"/>
      <c r="I29" s="3">
        <f t="shared" si="0"/>
        <v>40</v>
      </c>
    </row>
    <row r="30" spans="1:9" x14ac:dyDescent="0.3">
      <c r="A30" s="2" t="s">
        <v>9567</v>
      </c>
      <c r="B30" s="2" t="s">
        <v>523</v>
      </c>
      <c r="C30" s="2" t="s">
        <v>500</v>
      </c>
      <c r="D30" s="2" t="s">
        <v>524</v>
      </c>
      <c r="E30" s="2" t="s">
        <v>39</v>
      </c>
      <c r="F30" s="2"/>
      <c r="G30" s="2"/>
      <c r="H30" s="2" t="s">
        <v>402</v>
      </c>
      <c r="I30" s="3">
        <f t="shared" si="0"/>
        <v>41</v>
      </c>
    </row>
    <row r="31" spans="1:9" x14ac:dyDescent="0.3">
      <c r="A31" s="2" t="s">
        <v>9567</v>
      </c>
      <c r="B31" s="2" t="s">
        <v>525</v>
      </c>
      <c r="C31" s="2" t="s">
        <v>526</v>
      </c>
      <c r="D31" s="2" t="s">
        <v>527</v>
      </c>
      <c r="E31" s="2"/>
      <c r="F31" s="2"/>
      <c r="G31" s="2"/>
      <c r="H31" s="2"/>
      <c r="I31" s="3">
        <f t="shared" si="0"/>
        <v>41</v>
      </c>
    </row>
    <row r="32" spans="1:9" x14ac:dyDescent="0.3">
      <c r="A32" s="2" t="s">
        <v>9567</v>
      </c>
      <c r="B32" s="2" t="s">
        <v>534</v>
      </c>
      <c r="C32" s="2" t="s">
        <v>535</v>
      </c>
      <c r="D32" s="2" t="s">
        <v>536</v>
      </c>
      <c r="E32" s="2" t="s">
        <v>39</v>
      </c>
      <c r="F32" s="2"/>
      <c r="G32" s="2"/>
      <c r="H32" s="2" t="s">
        <v>537</v>
      </c>
      <c r="I32" s="3">
        <f t="shared" si="0"/>
        <v>41</v>
      </c>
    </row>
    <row r="33" spans="1:9" x14ac:dyDescent="0.3">
      <c r="A33" s="2" t="s">
        <v>9567</v>
      </c>
      <c r="B33" s="2" t="s">
        <v>538</v>
      </c>
      <c r="C33" s="2" t="s">
        <v>535</v>
      </c>
      <c r="D33" s="2" t="s">
        <v>539</v>
      </c>
      <c r="E33" s="2" t="s">
        <v>39</v>
      </c>
      <c r="F33" s="2"/>
      <c r="G33" s="2"/>
      <c r="H33" s="2" t="s">
        <v>537</v>
      </c>
      <c r="I33" s="3">
        <f t="shared" si="0"/>
        <v>41</v>
      </c>
    </row>
    <row r="34" spans="1:9" x14ac:dyDescent="0.3">
      <c r="A34" s="2" t="s">
        <v>9568</v>
      </c>
      <c r="B34" s="2" t="s">
        <v>511</v>
      </c>
      <c r="C34" s="2" t="s">
        <v>512</v>
      </c>
      <c r="D34" s="2" t="s">
        <v>513</v>
      </c>
      <c r="E34" s="2"/>
      <c r="F34" s="2"/>
      <c r="G34" s="2"/>
      <c r="H34" s="2"/>
      <c r="I34" s="3">
        <f t="shared" si="0"/>
        <v>41</v>
      </c>
    </row>
    <row r="35" spans="1:9" x14ac:dyDescent="0.3">
      <c r="A35" s="2" t="s">
        <v>9571</v>
      </c>
      <c r="B35" s="2" t="s">
        <v>517</v>
      </c>
      <c r="C35" s="2"/>
      <c r="D35" s="2" t="s">
        <v>518</v>
      </c>
      <c r="E35" s="2"/>
      <c r="F35" s="2"/>
      <c r="G35" s="2"/>
      <c r="H35" s="2"/>
      <c r="I35" s="3">
        <f t="shared" si="0"/>
        <v>41</v>
      </c>
    </row>
    <row r="36" spans="1:9" x14ac:dyDescent="0.3">
      <c r="A36" s="2" t="s">
        <v>9568</v>
      </c>
      <c r="B36" s="2" t="s">
        <v>8679</v>
      </c>
      <c r="C36" s="2" t="s">
        <v>8678</v>
      </c>
      <c r="D36" s="2" t="s">
        <v>8677</v>
      </c>
      <c r="E36" s="2"/>
      <c r="F36" s="2"/>
      <c r="G36" s="2"/>
      <c r="H36" s="2"/>
      <c r="I36" s="3">
        <f t="shared" si="0"/>
        <v>42</v>
      </c>
    </row>
    <row r="37" spans="1:9" x14ac:dyDescent="0.3">
      <c r="A37" s="2" t="s">
        <v>9571</v>
      </c>
      <c r="B37" s="2" t="s">
        <v>550</v>
      </c>
      <c r="C37" s="2"/>
      <c r="D37" s="2" t="s">
        <v>551</v>
      </c>
      <c r="E37" s="2"/>
      <c r="F37" s="2"/>
      <c r="G37" s="2"/>
      <c r="H37" s="2"/>
      <c r="I37" s="3">
        <f t="shared" si="0"/>
        <v>42</v>
      </c>
    </row>
    <row r="38" spans="1:9" x14ac:dyDescent="0.3">
      <c r="A38" s="2" t="s">
        <v>9571</v>
      </c>
      <c r="B38" s="2" t="s">
        <v>550</v>
      </c>
      <c r="C38" s="2"/>
      <c r="D38" s="2" t="s">
        <v>551</v>
      </c>
      <c r="E38" s="2"/>
      <c r="F38" s="2"/>
      <c r="G38" s="2"/>
      <c r="H38" s="2"/>
      <c r="I38" s="3">
        <f t="shared" si="0"/>
        <v>42</v>
      </c>
    </row>
    <row r="39" spans="1:9" x14ac:dyDescent="0.3">
      <c r="A39" s="2" t="s">
        <v>9571</v>
      </c>
      <c r="B39" s="2" t="s">
        <v>495</v>
      </c>
      <c r="C39" s="2"/>
      <c r="D39" s="2" t="s">
        <v>552</v>
      </c>
      <c r="E39" s="2"/>
      <c r="F39" s="2"/>
      <c r="G39" s="2"/>
      <c r="H39" s="2"/>
      <c r="I39" s="3">
        <f t="shared" si="0"/>
        <v>42</v>
      </c>
    </row>
    <row r="40" spans="1:9" x14ac:dyDescent="0.3">
      <c r="A40" s="2" t="s">
        <v>9571</v>
      </c>
      <c r="B40" s="2" t="s">
        <v>495</v>
      </c>
      <c r="C40" s="2"/>
      <c r="D40" s="2" t="s">
        <v>552</v>
      </c>
      <c r="E40" s="2"/>
      <c r="F40" s="2"/>
      <c r="G40" s="2"/>
      <c r="H40" s="2"/>
      <c r="I40" s="3">
        <f t="shared" si="0"/>
        <v>42</v>
      </c>
    </row>
    <row r="41" spans="1:9" x14ac:dyDescent="0.3">
      <c r="A41" s="2" t="s">
        <v>9571</v>
      </c>
      <c r="B41" s="2" t="s">
        <v>553</v>
      </c>
      <c r="C41" s="2" t="s">
        <v>554</v>
      </c>
      <c r="D41" s="2" t="s">
        <v>555</v>
      </c>
      <c r="E41" s="2"/>
      <c r="F41" s="2"/>
      <c r="G41" s="2"/>
      <c r="H41" s="2"/>
      <c r="I41" s="3">
        <f t="shared" si="0"/>
        <v>42</v>
      </c>
    </row>
    <row r="42" spans="1:9" x14ac:dyDescent="0.3">
      <c r="A42" s="2" t="s">
        <v>9567</v>
      </c>
      <c r="B42" s="2" t="s">
        <v>592</v>
      </c>
      <c r="C42" s="2"/>
      <c r="D42" s="2" t="s">
        <v>593</v>
      </c>
      <c r="E42" s="2" t="s">
        <v>39</v>
      </c>
      <c r="F42" s="2"/>
      <c r="G42" s="2"/>
      <c r="H42" s="2"/>
      <c r="I42" s="3">
        <f t="shared" si="0"/>
        <v>43</v>
      </c>
    </row>
    <row r="43" spans="1:9" x14ac:dyDescent="0.3">
      <c r="A43" s="2" t="s">
        <v>9567</v>
      </c>
      <c r="B43" s="2" t="s">
        <v>594</v>
      </c>
      <c r="C43" s="2" t="s">
        <v>354</v>
      </c>
      <c r="D43" s="2" t="s">
        <v>595</v>
      </c>
      <c r="E43" s="2"/>
      <c r="F43" s="2"/>
      <c r="G43" s="2"/>
      <c r="H43" s="2"/>
      <c r="I43" s="3">
        <f t="shared" si="0"/>
        <v>43</v>
      </c>
    </row>
    <row r="44" spans="1:9" x14ac:dyDescent="0.3">
      <c r="A44" s="2" t="s">
        <v>9568</v>
      </c>
      <c r="B44" s="2" t="s">
        <v>569</v>
      </c>
      <c r="C44" s="2" t="s">
        <v>570</v>
      </c>
      <c r="D44" s="2" t="s">
        <v>571</v>
      </c>
      <c r="E44" s="2" t="s">
        <v>39</v>
      </c>
      <c r="F44" s="2"/>
      <c r="G44" s="2"/>
      <c r="H44" s="2"/>
      <c r="I44" s="3">
        <f t="shared" si="0"/>
        <v>43</v>
      </c>
    </row>
    <row r="45" spans="1:9" x14ac:dyDescent="0.3">
      <c r="A45" s="2" t="s">
        <v>9571</v>
      </c>
      <c r="B45" s="2" t="s">
        <v>584</v>
      </c>
      <c r="C45" s="2" t="s">
        <v>412</v>
      </c>
      <c r="D45" s="2" t="s">
        <v>585</v>
      </c>
      <c r="E45" s="2"/>
      <c r="F45" s="2"/>
      <c r="G45" s="2"/>
      <c r="H45" s="2"/>
      <c r="I45" s="3">
        <f t="shared" si="0"/>
        <v>43</v>
      </c>
    </row>
    <row r="46" spans="1:9" x14ac:dyDescent="0.3">
      <c r="A46" s="2" t="s">
        <v>9571</v>
      </c>
      <c r="B46" s="2" t="s">
        <v>590</v>
      </c>
      <c r="C46" s="2" t="s">
        <v>590</v>
      </c>
      <c r="D46" s="2" t="s">
        <v>591</v>
      </c>
      <c r="E46" s="2" t="s">
        <v>242</v>
      </c>
      <c r="F46" s="2"/>
      <c r="G46" s="2"/>
      <c r="H46" s="2"/>
      <c r="I46" s="3">
        <f t="shared" si="0"/>
        <v>43</v>
      </c>
    </row>
    <row r="47" spans="1:9" x14ac:dyDescent="0.3">
      <c r="A47" s="2" t="s">
        <v>9567</v>
      </c>
      <c r="B47" s="2" t="s">
        <v>630</v>
      </c>
      <c r="C47" s="2" t="s">
        <v>354</v>
      </c>
      <c r="D47" s="2" t="s">
        <v>631</v>
      </c>
      <c r="E47" s="2" t="s">
        <v>39</v>
      </c>
      <c r="F47" s="2"/>
      <c r="G47" s="2"/>
      <c r="H47" s="2"/>
      <c r="I47" s="3">
        <f t="shared" si="0"/>
        <v>45</v>
      </c>
    </row>
    <row r="48" spans="1:9" ht="24" x14ac:dyDescent="0.3">
      <c r="A48" s="2" t="s">
        <v>9568</v>
      </c>
      <c r="B48" s="2" t="s">
        <v>653</v>
      </c>
      <c r="C48" s="2" t="s">
        <v>222</v>
      </c>
      <c r="D48" s="2" t="s">
        <v>654</v>
      </c>
      <c r="E48" s="2"/>
      <c r="F48" s="2"/>
      <c r="G48" s="2"/>
      <c r="H48" s="2"/>
      <c r="I48" s="3">
        <f t="shared" si="0"/>
        <v>45</v>
      </c>
    </row>
    <row r="49" spans="1:9" x14ac:dyDescent="0.3">
      <c r="A49" s="2" t="s">
        <v>9571</v>
      </c>
      <c r="B49" s="2" t="s">
        <v>634</v>
      </c>
      <c r="C49" s="2" t="s">
        <v>116</v>
      </c>
      <c r="D49" s="2" t="s">
        <v>635</v>
      </c>
      <c r="E49" s="2"/>
      <c r="F49" s="2"/>
      <c r="G49" s="2"/>
      <c r="H49" s="2"/>
      <c r="I49" s="3">
        <f t="shared" si="0"/>
        <v>45</v>
      </c>
    </row>
    <row r="50" spans="1:9" x14ac:dyDescent="0.3">
      <c r="A50" s="2" t="s">
        <v>9571</v>
      </c>
      <c r="B50" s="2" t="s">
        <v>636</v>
      </c>
      <c r="C50" s="2" t="s">
        <v>637</v>
      </c>
      <c r="D50" s="2" t="s">
        <v>638</v>
      </c>
      <c r="E50" s="2"/>
      <c r="F50" s="2"/>
      <c r="G50" s="2"/>
      <c r="H50" s="2"/>
      <c r="I50" s="3">
        <f t="shared" si="0"/>
        <v>45</v>
      </c>
    </row>
    <row r="51" spans="1:9" x14ac:dyDescent="0.3">
      <c r="A51" s="2" t="s">
        <v>9571</v>
      </c>
      <c r="B51" s="2" t="s">
        <v>639</v>
      </c>
      <c r="C51" s="2" t="s">
        <v>640</v>
      </c>
      <c r="D51" s="2" t="s">
        <v>641</v>
      </c>
      <c r="E51" s="2"/>
      <c r="F51" s="2"/>
      <c r="G51" s="2"/>
      <c r="H51" s="2"/>
      <c r="I51" s="3">
        <f t="shared" si="0"/>
        <v>45</v>
      </c>
    </row>
    <row r="52" spans="1:9" x14ac:dyDescent="0.3">
      <c r="A52" s="2" t="s">
        <v>9567</v>
      </c>
      <c r="B52" s="2" t="s">
        <v>399</v>
      </c>
      <c r="C52" s="2" t="s">
        <v>500</v>
      </c>
      <c r="D52" s="2" t="s">
        <v>671</v>
      </c>
      <c r="E52" s="2" t="s">
        <v>39</v>
      </c>
      <c r="F52" s="2"/>
      <c r="G52" s="2"/>
      <c r="H52" s="2" t="s">
        <v>402</v>
      </c>
      <c r="I52" s="3">
        <f t="shared" si="0"/>
        <v>46</v>
      </c>
    </row>
    <row r="53" spans="1:9" ht="24" x14ac:dyDescent="0.3">
      <c r="A53" s="2" t="s">
        <v>9567</v>
      </c>
      <c r="B53" s="2" t="s">
        <v>685</v>
      </c>
      <c r="C53" s="2" t="s">
        <v>263</v>
      </c>
      <c r="D53" s="2" t="s">
        <v>686</v>
      </c>
      <c r="E53" s="2" t="s">
        <v>39</v>
      </c>
      <c r="F53" s="2"/>
      <c r="G53" s="2"/>
      <c r="H53" s="2"/>
      <c r="I53" s="3">
        <f t="shared" si="0"/>
        <v>46</v>
      </c>
    </row>
    <row r="54" spans="1:9" x14ac:dyDescent="0.3">
      <c r="A54" s="2" t="s">
        <v>9570</v>
      </c>
      <c r="B54" s="2" t="s">
        <v>667</v>
      </c>
      <c r="C54" s="2" t="s">
        <v>389</v>
      </c>
      <c r="D54" s="2" t="s">
        <v>668</v>
      </c>
      <c r="E54" s="2"/>
      <c r="F54" s="2"/>
      <c r="G54" s="2"/>
      <c r="H54" s="2"/>
      <c r="I54" s="3">
        <f t="shared" si="0"/>
        <v>46</v>
      </c>
    </row>
    <row r="55" spans="1:9" x14ac:dyDescent="0.3">
      <c r="A55" s="2" t="s">
        <v>9571</v>
      </c>
      <c r="B55" s="2" t="s">
        <v>669</v>
      </c>
      <c r="C55" s="2"/>
      <c r="D55" s="2" t="s">
        <v>670</v>
      </c>
      <c r="E55" s="2" t="s">
        <v>39</v>
      </c>
      <c r="F55" s="2"/>
      <c r="G55" s="2"/>
      <c r="H55" s="2"/>
      <c r="I55" s="3">
        <f t="shared" si="0"/>
        <v>46</v>
      </c>
    </row>
    <row r="56" spans="1:9" x14ac:dyDescent="0.3">
      <c r="A56" s="2" t="s">
        <v>9567</v>
      </c>
      <c r="B56" s="2" t="s">
        <v>697</v>
      </c>
      <c r="C56" s="2" t="s">
        <v>698</v>
      </c>
      <c r="D56" s="2" t="s">
        <v>699</v>
      </c>
      <c r="E56" s="2"/>
      <c r="F56" s="2"/>
      <c r="G56" s="2"/>
      <c r="H56" s="2"/>
      <c r="I56" s="3">
        <f t="shared" si="0"/>
        <v>47</v>
      </c>
    </row>
    <row r="57" spans="1:9" x14ac:dyDescent="0.3">
      <c r="A57" s="2" t="s">
        <v>9567</v>
      </c>
      <c r="B57" s="2" t="s">
        <v>702</v>
      </c>
      <c r="C57" s="2"/>
      <c r="D57" s="2" t="s">
        <v>703</v>
      </c>
      <c r="E57" s="2" t="s">
        <v>39</v>
      </c>
      <c r="F57" s="2"/>
      <c r="G57" s="2"/>
      <c r="H57" s="2" t="s">
        <v>216</v>
      </c>
      <c r="I57" s="3">
        <f t="shared" si="0"/>
        <v>47</v>
      </c>
    </row>
    <row r="58" spans="1:9" x14ac:dyDescent="0.3">
      <c r="A58" s="2" t="s">
        <v>9567</v>
      </c>
      <c r="B58" s="2" t="s">
        <v>705</v>
      </c>
      <c r="C58" s="2"/>
      <c r="D58" s="2" t="s">
        <v>706</v>
      </c>
      <c r="E58" s="2"/>
      <c r="F58" s="2"/>
      <c r="G58" s="2"/>
      <c r="H58" s="2"/>
      <c r="I58" s="3">
        <f t="shared" si="0"/>
        <v>48</v>
      </c>
    </row>
    <row r="59" spans="1:9" x14ac:dyDescent="0.3">
      <c r="A59" s="2" t="s">
        <v>9567</v>
      </c>
      <c r="B59" s="2" t="s">
        <v>707</v>
      </c>
      <c r="C59" s="2"/>
      <c r="D59" s="2" t="s">
        <v>708</v>
      </c>
      <c r="E59" s="2" t="s">
        <v>39</v>
      </c>
      <c r="F59" s="2"/>
      <c r="G59" s="2"/>
      <c r="H59" s="2"/>
      <c r="I59" s="3">
        <f t="shared" si="0"/>
        <v>48</v>
      </c>
    </row>
    <row r="60" spans="1:9" ht="24" x14ac:dyDescent="0.3">
      <c r="A60" s="2" t="s">
        <v>9567</v>
      </c>
      <c r="B60" s="2" t="s">
        <v>715</v>
      </c>
      <c r="C60" s="2" t="s">
        <v>354</v>
      </c>
      <c r="D60" s="2" t="s">
        <v>716</v>
      </c>
      <c r="E60" s="2"/>
      <c r="F60" s="2"/>
      <c r="G60" s="2"/>
      <c r="H60" s="2"/>
      <c r="I60" s="3">
        <f t="shared" si="0"/>
        <v>48</v>
      </c>
    </row>
    <row r="61" spans="1:9" x14ac:dyDescent="0.3">
      <c r="A61" s="2" t="s">
        <v>9567</v>
      </c>
      <c r="B61" s="2" t="s">
        <v>726</v>
      </c>
      <c r="C61" s="2" t="s">
        <v>500</v>
      </c>
      <c r="D61" s="2" t="s">
        <v>727</v>
      </c>
      <c r="E61" s="2" t="s">
        <v>39</v>
      </c>
      <c r="F61" s="2"/>
      <c r="G61" s="2"/>
      <c r="H61" s="2" t="s">
        <v>402</v>
      </c>
      <c r="I61" s="3">
        <f t="shared" si="0"/>
        <v>48</v>
      </c>
    </row>
    <row r="62" spans="1:9" x14ac:dyDescent="0.3">
      <c r="A62" s="2" t="s">
        <v>9567</v>
      </c>
      <c r="B62" s="2" t="s">
        <v>523</v>
      </c>
      <c r="C62" s="2" t="s">
        <v>500</v>
      </c>
      <c r="D62" s="2" t="s">
        <v>737</v>
      </c>
      <c r="E62" s="2" t="s">
        <v>39</v>
      </c>
      <c r="F62" s="2"/>
      <c r="G62" s="2"/>
      <c r="H62" s="2" t="s">
        <v>402</v>
      </c>
      <c r="I62" s="3">
        <f t="shared" si="0"/>
        <v>48</v>
      </c>
    </row>
    <row r="63" spans="1:9" x14ac:dyDescent="0.3">
      <c r="A63" s="2" t="s">
        <v>9567</v>
      </c>
      <c r="B63" s="2" t="s">
        <v>619</v>
      </c>
      <c r="C63" s="2" t="s">
        <v>500</v>
      </c>
      <c r="D63" s="2" t="s">
        <v>738</v>
      </c>
      <c r="E63" s="2" t="s">
        <v>39</v>
      </c>
      <c r="F63" s="2"/>
      <c r="G63" s="2"/>
      <c r="H63" s="2" t="s">
        <v>402</v>
      </c>
      <c r="I63" s="3">
        <f t="shared" si="0"/>
        <v>48</v>
      </c>
    </row>
    <row r="64" spans="1:9" x14ac:dyDescent="0.3">
      <c r="A64" s="2" t="s">
        <v>9571</v>
      </c>
      <c r="B64" s="2" t="s">
        <v>711</v>
      </c>
      <c r="C64" s="2" t="s">
        <v>437</v>
      </c>
      <c r="D64" s="2" t="s">
        <v>712</v>
      </c>
      <c r="E64" s="2" t="s">
        <v>39</v>
      </c>
      <c r="F64" s="2"/>
      <c r="G64" s="2"/>
      <c r="H64" s="2"/>
      <c r="I64" s="3">
        <f t="shared" si="0"/>
        <v>48</v>
      </c>
    </row>
    <row r="65" spans="1:9" x14ac:dyDescent="0.3">
      <c r="A65" s="2" t="s">
        <v>9571</v>
      </c>
      <c r="B65" s="2" t="s">
        <v>719</v>
      </c>
      <c r="C65" s="2"/>
      <c r="D65" s="2" t="s">
        <v>720</v>
      </c>
      <c r="E65" s="2"/>
      <c r="F65" s="2"/>
      <c r="G65" s="2"/>
      <c r="H65" s="2"/>
      <c r="I65" s="3">
        <f t="shared" si="0"/>
        <v>48</v>
      </c>
    </row>
    <row r="66" spans="1:9" x14ac:dyDescent="0.3">
      <c r="A66" s="2" t="s">
        <v>9571</v>
      </c>
      <c r="B66" s="2" t="s">
        <v>329</v>
      </c>
      <c r="C66" s="2" t="s">
        <v>329</v>
      </c>
      <c r="D66" s="2" t="s">
        <v>721</v>
      </c>
      <c r="E66" s="2" t="s">
        <v>39</v>
      </c>
      <c r="F66" s="2"/>
      <c r="G66" s="2"/>
      <c r="H66" s="2"/>
      <c r="I66" s="3">
        <f t="shared" ref="I66:I129" si="1">LEN(D66)</f>
        <v>48</v>
      </c>
    </row>
    <row r="67" spans="1:9" x14ac:dyDescent="0.3">
      <c r="A67" s="2" t="s">
        <v>9567</v>
      </c>
      <c r="B67" s="2" t="s">
        <v>769</v>
      </c>
      <c r="C67" s="2" t="s">
        <v>526</v>
      </c>
      <c r="D67" s="2" t="s">
        <v>770</v>
      </c>
      <c r="E67" s="2"/>
      <c r="F67" s="2"/>
      <c r="G67" s="2"/>
      <c r="H67" s="2"/>
      <c r="I67" s="3">
        <f t="shared" si="1"/>
        <v>49</v>
      </c>
    </row>
    <row r="68" spans="1:9" x14ac:dyDescent="0.3">
      <c r="A68" s="2" t="s">
        <v>9568</v>
      </c>
      <c r="B68" s="2" t="s">
        <v>642</v>
      </c>
      <c r="C68" s="2" t="s">
        <v>268</v>
      </c>
      <c r="D68" s="2" t="s">
        <v>743</v>
      </c>
      <c r="E68" s="2"/>
      <c r="F68" s="2"/>
      <c r="G68" s="2"/>
      <c r="H68" s="2"/>
      <c r="I68" s="3">
        <f t="shared" si="1"/>
        <v>49</v>
      </c>
    </row>
    <row r="69" spans="1:9" x14ac:dyDescent="0.3">
      <c r="A69" s="2" t="s">
        <v>9568</v>
      </c>
      <c r="B69" s="2" t="s">
        <v>775</v>
      </c>
      <c r="C69" s="2" t="s">
        <v>776</v>
      </c>
      <c r="D69" s="2" t="s">
        <v>777</v>
      </c>
      <c r="E69" s="2" t="s">
        <v>39</v>
      </c>
      <c r="F69" s="2"/>
      <c r="G69" s="2"/>
      <c r="H69" s="2"/>
      <c r="I69" s="3">
        <f t="shared" si="1"/>
        <v>49</v>
      </c>
    </row>
    <row r="70" spans="1:9" x14ac:dyDescent="0.3">
      <c r="A70" s="2" t="s">
        <v>9568</v>
      </c>
      <c r="B70" s="2" t="s">
        <v>741</v>
      </c>
      <c r="C70" s="2" t="s">
        <v>186</v>
      </c>
      <c r="D70" s="2" t="s">
        <v>742</v>
      </c>
      <c r="E70" s="2"/>
      <c r="F70" s="2"/>
      <c r="G70" s="2"/>
      <c r="H70" s="2"/>
      <c r="I70" s="3">
        <f t="shared" si="1"/>
        <v>49</v>
      </c>
    </row>
    <row r="71" spans="1:9" ht="24" x14ac:dyDescent="0.3">
      <c r="A71" s="2" t="s">
        <v>9568</v>
      </c>
      <c r="B71" s="2" t="s">
        <v>746</v>
      </c>
      <c r="C71" s="2" t="s">
        <v>747</v>
      </c>
      <c r="D71" s="2" t="s">
        <v>742</v>
      </c>
      <c r="E71" s="2"/>
      <c r="F71" s="2"/>
      <c r="G71" s="2"/>
      <c r="H71" s="2"/>
      <c r="I71" s="3">
        <f t="shared" si="1"/>
        <v>49</v>
      </c>
    </row>
    <row r="72" spans="1:9" x14ac:dyDescent="0.3">
      <c r="A72" s="2" t="s">
        <v>9568</v>
      </c>
      <c r="B72" s="2" t="s">
        <v>748</v>
      </c>
      <c r="C72" s="2" t="s">
        <v>747</v>
      </c>
      <c r="D72" s="2" t="s">
        <v>742</v>
      </c>
      <c r="E72" s="2" t="s">
        <v>39</v>
      </c>
      <c r="F72" s="2"/>
      <c r="G72" s="2"/>
      <c r="H72" s="2"/>
      <c r="I72" s="3">
        <f t="shared" si="1"/>
        <v>49</v>
      </c>
    </row>
    <row r="73" spans="1:9" x14ac:dyDescent="0.3">
      <c r="A73" s="2" t="s">
        <v>9568</v>
      </c>
      <c r="B73" s="2" t="s">
        <v>744</v>
      </c>
      <c r="C73" s="2" t="s">
        <v>342</v>
      </c>
      <c r="D73" s="2" t="s">
        <v>745</v>
      </c>
      <c r="E73" s="2"/>
      <c r="F73" s="2"/>
      <c r="G73" s="2"/>
      <c r="H73" s="2"/>
      <c r="I73" s="3">
        <f t="shared" si="1"/>
        <v>49</v>
      </c>
    </row>
    <row r="74" spans="1:9" x14ac:dyDescent="0.3">
      <c r="A74" s="2" t="s">
        <v>9570</v>
      </c>
      <c r="B74" s="2" t="s">
        <v>756</v>
      </c>
      <c r="C74" s="2" t="s">
        <v>389</v>
      </c>
      <c r="D74" s="2" t="s">
        <v>757</v>
      </c>
      <c r="E74" s="2" t="s">
        <v>39</v>
      </c>
      <c r="F74" s="2"/>
      <c r="G74" s="2"/>
      <c r="H74" s="2"/>
      <c r="I74" s="3">
        <f t="shared" si="1"/>
        <v>49</v>
      </c>
    </row>
    <row r="75" spans="1:9" ht="24" x14ac:dyDescent="0.3">
      <c r="A75" s="2" t="s">
        <v>9571</v>
      </c>
      <c r="B75" s="2" t="s">
        <v>758</v>
      </c>
      <c r="C75" s="2"/>
      <c r="D75" s="2" t="s">
        <v>759</v>
      </c>
      <c r="E75" s="2"/>
      <c r="F75" s="2"/>
      <c r="G75" s="2"/>
      <c r="H75" s="2"/>
      <c r="I75" s="3">
        <f t="shared" si="1"/>
        <v>49</v>
      </c>
    </row>
    <row r="76" spans="1:9" x14ac:dyDescent="0.3">
      <c r="A76" s="2" t="s">
        <v>9571</v>
      </c>
      <c r="B76" s="2" t="s">
        <v>771</v>
      </c>
      <c r="C76" s="2"/>
      <c r="D76" s="2" t="s">
        <v>772</v>
      </c>
      <c r="E76" s="2"/>
      <c r="F76" s="2"/>
      <c r="G76" s="2"/>
      <c r="H76" s="2"/>
      <c r="I76" s="3">
        <f t="shared" si="1"/>
        <v>49</v>
      </c>
    </row>
    <row r="77" spans="1:9" x14ac:dyDescent="0.3">
      <c r="A77" s="2" t="s">
        <v>9567</v>
      </c>
      <c r="B77" s="2" t="s">
        <v>778</v>
      </c>
      <c r="C77" s="2" t="s">
        <v>186</v>
      </c>
      <c r="D77" s="2" t="s">
        <v>779</v>
      </c>
      <c r="E77" s="2"/>
      <c r="F77" s="2"/>
      <c r="G77" s="2"/>
      <c r="H77" s="2"/>
      <c r="I77" s="3">
        <f t="shared" si="1"/>
        <v>50</v>
      </c>
    </row>
    <row r="78" spans="1:9" x14ac:dyDescent="0.3">
      <c r="A78" s="2" t="s">
        <v>9567</v>
      </c>
      <c r="B78" s="2" t="s">
        <v>780</v>
      </c>
      <c r="C78" s="2" t="s">
        <v>253</v>
      </c>
      <c r="D78" s="2" t="s">
        <v>781</v>
      </c>
      <c r="E78" s="2"/>
      <c r="F78" s="2"/>
      <c r="G78" s="2"/>
      <c r="H78" s="2"/>
      <c r="I78" s="3">
        <f t="shared" si="1"/>
        <v>50</v>
      </c>
    </row>
    <row r="79" spans="1:9" x14ac:dyDescent="0.3">
      <c r="A79" s="2" t="s">
        <v>9567</v>
      </c>
      <c r="B79" s="2" t="s">
        <v>792</v>
      </c>
      <c r="C79" s="2" t="s">
        <v>186</v>
      </c>
      <c r="D79" s="2" t="s">
        <v>793</v>
      </c>
      <c r="E79" s="2"/>
      <c r="F79" s="2"/>
      <c r="G79" s="2"/>
      <c r="H79" s="2"/>
      <c r="I79" s="3">
        <f t="shared" si="1"/>
        <v>50</v>
      </c>
    </row>
    <row r="80" spans="1:9" x14ac:dyDescent="0.3">
      <c r="A80" s="2" t="s">
        <v>9567</v>
      </c>
      <c r="B80" s="2" t="s">
        <v>422</v>
      </c>
      <c r="C80" s="2" t="s">
        <v>807</v>
      </c>
      <c r="D80" s="2" t="s">
        <v>808</v>
      </c>
      <c r="E80" s="2"/>
      <c r="F80" s="2"/>
      <c r="G80" s="2"/>
      <c r="H80" s="2"/>
      <c r="I80" s="3">
        <f t="shared" si="1"/>
        <v>50</v>
      </c>
    </row>
    <row r="81" spans="1:9" x14ac:dyDescent="0.3">
      <c r="A81" s="2" t="s">
        <v>9567</v>
      </c>
      <c r="B81" s="2" t="s">
        <v>811</v>
      </c>
      <c r="C81" s="2"/>
      <c r="D81" s="2" t="s">
        <v>812</v>
      </c>
      <c r="E81" s="2"/>
      <c r="F81" s="2"/>
      <c r="G81" s="2"/>
      <c r="H81" s="2"/>
      <c r="I81" s="3">
        <f t="shared" si="1"/>
        <v>50</v>
      </c>
    </row>
    <row r="82" spans="1:9" x14ac:dyDescent="0.3">
      <c r="A82" s="2" t="s">
        <v>9568</v>
      </c>
      <c r="B82" s="2" t="s">
        <v>804</v>
      </c>
      <c r="C82" s="2" t="s">
        <v>222</v>
      </c>
      <c r="D82" s="2" t="s">
        <v>805</v>
      </c>
      <c r="E82" s="2" t="s">
        <v>39</v>
      </c>
      <c r="F82" s="2"/>
      <c r="G82" s="2"/>
      <c r="H82" s="2"/>
      <c r="I82" s="3">
        <f t="shared" si="1"/>
        <v>50</v>
      </c>
    </row>
    <row r="83" spans="1:9" x14ac:dyDescent="0.3">
      <c r="A83" s="2" t="s">
        <v>9568</v>
      </c>
      <c r="B83" s="2" t="s">
        <v>246</v>
      </c>
      <c r="C83" s="2" t="s">
        <v>247</v>
      </c>
      <c r="D83" s="2" t="s">
        <v>806</v>
      </c>
      <c r="E83" s="2" t="s">
        <v>39</v>
      </c>
      <c r="F83" s="2"/>
      <c r="G83" s="2"/>
      <c r="H83" s="2"/>
      <c r="I83" s="3">
        <f t="shared" si="1"/>
        <v>50</v>
      </c>
    </row>
    <row r="84" spans="1:9" x14ac:dyDescent="0.3">
      <c r="A84" s="2" t="s">
        <v>9568</v>
      </c>
      <c r="B84" s="2" t="s">
        <v>813</v>
      </c>
      <c r="C84" s="2" t="s">
        <v>814</v>
      </c>
      <c r="D84" s="2" t="s">
        <v>815</v>
      </c>
      <c r="E84" s="2" t="s">
        <v>39</v>
      </c>
      <c r="F84" s="2"/>
      <c r="G84" s="2"/>
      <c r="H84" s="2"/>
      <c r="I84" s="3">
        <f t="shared" si="1"/>
        <v>50</v>
      </c>
    </row>
    <row r="85" spans="1:9" x14ac:dyDescent="0.3">
      <c r="A85" s="2" t="s">
        <v>9567</v>
      </c>
      <c r="B85" s="2" t="s">
        <v>836</v>
      </c>
      <c r="C85" s="2" t="s">
        <v>691</v>
      </c>
      <c r="D85" s="2" t="s">
        <v>837</v>
      </c>
      <c r="E85" s="2" t="s">
        <v>39</v>
      </c>
      <c r="F85" s="2"/>
      <c r="G85" s="2"/>
      <c r="H85" s="2"/>
      <c r="I85" s="3">
        <f t="shared" si="1"/>
        <v>51</v>
      </c>
    </row>
    <row r="86" spans="1:9" x14ac:dyDescent="0.3">
      <c r="A86" s="2" t="s">
        <v>9567</v>
      </c>
      <c r="B86" s="2" t="s">
        <v>842</v>
      </c>
      <c r="C86" s="2" t="s">
        <v>95</v>
      </c>
      <c r="D86" s="2" t="s">
        <v>843</v>
      </c>
      <c r="E86" s="2"/>
      <c r="F86" s="2"/>
      <c r="G86" s="2"/>
      <c r="H86" s="2"/>
      <c r="I86" s="3">
        <f t="shared" si="1"/>
        <v>51</v>
      </c>
    </row>
    <row r="87" spans="1:9" x14ac:dyDescent="0.3">
      <c r="A87" s="2" t="s">
        <v>9567</v>
      </c>
      <c r="B87" s="2" t="s">
        <v>845</v>
      </c>
      <c r="C87" s="2" t="s">
        <v>354</v>
      </c>
      <c r="D87" s="2" t="s">
        <v>846</v>
      </c>
      <c r="E87" s="2"/>
      <c r="F87" s="2"/>
      <c r="G87" s="2"/>
      <c r="H87" s="2"/>
      <c r="I87" s="3">
        <f t="shared" si="1"/>
        <v>51</v>
      </c>
    </row>
    <row r="88" spans="1:9" x14ac:dyDescent="0.3">
      <c r="A88" s="2" t="s">
        <v>9567</v>
      </c>
      <c r="B88" s="2" t="s">
        <v>847</v>
      </c>
      <c r="C88" s="2" t="s">
        <v>354</v>
      </c>
      <c r="D88" s="2" t="s">
        <v>848</v>
      </c>
      <c r="E88" s="2" t="s">
        <v>39</v>
      </c>
      <c r="F88" s="2"/>
      <c r="G88" s="2"/>
      <c r="H88" s="2"/>
      <c r="I88" s="3">
        <f t="shared" si="1"/>
        <v>51</v>
      </c>
    </row>
    <row r="89" spans="1:9" x14ac:dyDescent="0.3">
      <c r="A89" s="2" t="s">
        <v>9567</v>
      </c>
      <c r="B89" s="2" t="s">
        <v>849</v>
      </c>
      <c r="C89" s="2" t="s">
        <v>354</v>
      </c>
      <c r="D89" s="2" t="s">
        <v>850</v>
      </c>
      <c r="E89" s="2" t="s">
        <v>39</v>
      </c>
      <c r="F89" s="2"/>
      <c r="G89" s="2"/>
      <c r="H89" s="2"/>
      <c r="I89" s="3">
        <f t="shared" si="1"/>
        <v>51</v>
      </c>
    </row>
    <row r="90" spans="1:9" ht="24" x14ac:dyDescent="0.3">
      <c r="A90" s="2" t="s">
        <v>9567</v>
      </c>
      <c r="B90" s="2" t="s">
        <v>715</v>
      </c>
      <c r="C90" s="2" t="s">
        <v>354</v>
      </c>
      <c r="D90" s="2" t="s">
        <v>854</v>
      </c>
      <c r="E90" s="2" t="s">
        <v>39</v>
      </c>
      <c r="F90" s="2"/>
      <c r="G90" s="2"/>
      <c r="H90" s="2"/>
      <c r="I90" s="3">
        <f t="shared" si="1"/>
        <v>51</v>
      </c>
    </row>
    <row r="91" spans="1:9" x14ac:dyDescent="0.3">
      <c r="A91" s="2" t="s">
        <v>9568</v>
      </c>
      <c r="B91" s="2" t="s">
        <v>830</v>
      </c>
      <c r="C91" s="2" t="s">
        <v>268</v>
      </c>
      <c r="D91" s="2" t="s">
        <v>831</v>
      </c>
      <c r="E91" s="2"/>
      <c r="F91" s="2"/>
      <c r="G91" s="2"/>
      <c r="H91" s="2"/>
      <c r="I91" s="3">
        <f t="shared" si="1"/>
        <v>51</v>
      </c>
    </row>
    <row r="92" spans="1:9" x14ac:dyDescent="0.3">
      <c r="A92" s="2" t="s">
        <v>9568</v>
      </c>
      <c r="B92" s="2" t="s">
        <v>827</v>
      </c>
      <c r="C92" s="2" t="s">
        <v>828</v>
      </c>
      <c r="D92" s="2" t="s">
        <v>829</v>
      </c>
      <c r="E92" s="2"/>
      <c r="F92" s="2"/>
      <c r="G92" s="2"/>
      <c r="H92" s="2"/>
      <c r="I92" s="3">
        <f t="shared" si="1"/>
        <v>51</v>
      </c>
    </row>
    <row r="93" spans="1:9" x14ac:dyDescent="0.3">
      <c r="A93" s="2" t="s">
        <v>9569</v>
      </c>
      <c r="B93" s="2" t="s">
        <v>817</v>
      </c>
      <c r="C93" s="2" t="s">
        <v>354</v>
      </c>
      <c r="D93" s="2" t="s">
        <v>818</v>
      </c>
      <c r="E93" s="2"/>
      <c r="F93" s="2"/>
      <c r="G93" s="2"/>
      <c r="H93" s="2"/>
      <c r="I93" s="3">
        <f t="shared" si="1"/>
        <v>51</v>
      </c>
    </row>
    <row r="94" spans="1:9" x14ac:dyDescent="0.3">
      <c r="A94" s="2" t="s">
        <v>9571</v>
      </c>
      <c r="B94" s="2" t="s">
        <v>822</v>
      </c>
      <c r="C94" s="2" t="s">
        <v>823</v>
      </c>
      <c r="D94" s="2" t="s">
        <v>824</v>
      </c>
      <c r="E94" s="2"/>
      <c r="F94" s="2"/>
      <c r="G94" s="2"/>
      <c r="H94" s="2"/>
      <c r="I94" s="3">
        <f t="shared" si="1"/>
        <v>51</v>
      </c>
    </row>
    <row r="95" spans="1:9" x14ac:dyDescent="0.3">
      <c r="A95" s="2" t="s">
        <v>9571</v>
      </c>
      <c r="B95" s="2" t="s">
        <v>825</v>
      </c>
      <c r="C95" s="2" t="s">
        <v>823</v>
      </c>
      <c r="D95" s="2" t="s">
        <v>826</v>
      </c>
      <c r="E95" s="2"/>
      <c r="F95" s="2"/>
      <c r="G95" s="2"/>
      <c r="H95" s="2"/>
      <c r="I95" s="3">
        <f t="shared" si="1"/>
        <v>51</v>
      </c>
    </row>
    <row r="96" spans="1:9" x14ac:dyDescent="0.3">
      <c r="A96" s="2" t="s">
        <v>9571</v>
      </c>
      <c r="B96" s="2" t="s">
        <v>832</v>
      </c>
      <c r="C96" s="2"/>
      <c r="D96" s="2" t="s">
        <v>833</v>
      </c>
      <c r="E96" s="2"/>
      <c r="F96" s="2"/>
      <c r="G96" s="2"/>
      <c r="H96" s="2"/>
      <c r="I96" s="3">
        <f t="shared" si="1"/>
        <v>51</v>
      </c>
    </row>
    <row r="97" spans="1:9" x14ac:dyDescent="0.3">
      <c r="A97" s="2" t="s">
        <v>9571</v>
      </c>
      <c r="B97" s="2" t="s">
        <v>832</v>
      </c>
      <c r="C97" s="2"/>
      <c r="D97" s="2" t="s">
        <v>833</v>
      </c>
      <c r="E97" s="2"/>
      <c r="F97" s="2"/>
      <c r="G97" s="2"/>
      <c r="H97" s="2"/>
      <c r="I97" s="3">
        <f t="shared" si="1"/>
        <v>51</v>
      </c>
    </row>
    <row r="98" spans="1:9" x14ac:dyDescent="0.3">
      <c r="A98" s="2" t="s">
        <v>9567</v>
      </c>
      <c r="B98" s="2" t="s">
        <v>792</v>
      </c>
      <c r="C98" s="2" t="s">
        <v>186</v>
      </c>
      <c r="D98" s="2" t="s">
        <v>864</v>
      </c>
      <c r="E98" s="2"/>
      <c r="F98" s="2"/>
      <c r="G98" s="2"/>
      <c r="H98" s="2"/>
      <c r="I98" s="3">
        <f t="shared" si="1"/>
        <v>52</v>
      </c>
    </row>
    <row r="99" spans="1:9" x14ac:dyDescent="0.3">
      <c r="A99" s="2" t="s">
        <v>9568</v>
      </c>
      <c r="B99" s="2" t="s">
        <v>511</v>
      </c>
      <c r="C99" s="2" t="s">
        <v>268</v>
      </c>
      <c r="D99" s="2" t="s">
        <v>858</v>
      </c>
      <c r="E99" s="2"/>
      <c r="F99" s="2"/>
      <c r="G99" s="2"/>
      <c r="H99" s="2"/>
      <c r="I99" s="3">
        <f t="shared" si="1"/>
        <v>52</v>
      </c>
    </row>
    <row r="100" spans="1:9" x14ac:dyDescent="0.3">
      <c r="A100" s="2" t="s">
        <v>9568</v>
      </c>
      <c r="B100" s="2" t="s">
        <v>859</v>
      </c>
      <c r="C100" s="2" t="s">
        <v>860</v>
      </c>
      <c r="D100" s="2" t="s">
        <v>861</v>
      </c>
      <c r="E100" s="2"/>
      <c r="F100" s="2"/>
      <c r="G100" s="2"/>
      <c r="H100" s="2"/>
      <c r="I100" s="3">
        <f t="shared" si="1"/>
        <v>52</v>
      </c>
    </row>
    <row r="101" spans="1:9" x14ac:dyDescent="0.3">
      <c r="A101" s="2" t="s">
        <v>9568</v>
      </c>
      <c r="B101" s="2" t="s">
        <v>862</v>
      </c>
      <c r="C101" s="2" t="s">
        <v>512</v>
      </c>
      <c r="D101" s="2" t="s">
        <v>863</v>
      </c>
      <c r="E101" s="2"/>
      <c r="F101" s="2"/>
      <c r="G101" s="2"/>
      <c r="H101" s="2"/>
      <c r="I101" s="3">
        <f t="shared" si="1"/>
        <v>52</v>
      </c>
    </row>
    <row r="102" spans="1:9" x14ac:dyDescent="0.3">
      <c r="A102" s="2" t="s">
        <v>9568</v>
      </c>
      <c r="B102" s="2" t="s">
        <v>874</v>
      </c>
      <c r="C102" s="2" t="s">
        <v>875</v>
      </c>
      <c r="D102" s="2" t="s">
        <v>876</v>
      </c>
      <c r="E102" s="2"/>
      <c r="F102" s="2"/>
      <c r="G102" s="2"/>
      <c r="H102" s="2"/>
      <c r="I102" s="3">
        <f t="shared" si="1"/>
        <v>52</v>
      </c>
    </row>
    <row r="103" spans="1:9" x14ac:dyDescent="0.3">
      <c r="A103" s="2" t="s">
        <v>9568</v>
      </c>
      <c r="B103" s="2" t="s">
        <v>890</v>
      </c>
      <c r="C103" s="2" t="s">
        <v>891</v>
      </c>
      <c r="D103" s="2" t="s">
        <v>892</v>
      </c>
      <c r="E103" s="2"/>
      <c r="F103" s="2"/>
      <c r="G103" s="2"/>
      <c r="H103" s="2"/>
      <c r="I103" s="3">
        <f t="shared" si="1"/>
        <v>52</v>
      </c>
    </row>
    <row r="104" spans="1:9" x14ac:dyDescent="0.3">
      <c r="A104" s="2" t="s">
        <v>9567</v>
      </c>
      <c r="B104" s="2" t="s">
        <v>895</v>
      </c>
      <c r="C104" s="2" t="s">
        <v>896</v>
      </c>
      <c r="D104" s="2" t="s">
        <v>897</v>
      </c>
      <c r="E104" s="2"/>
      <c r="F104" s="2"/>
      <c r="G104" s="2"/>
      <c r="H104" s="2" t="s">
        <v>898</v>
      </c>
      <c r="I104" s="3">
        <f t="shared" si="1"/>
        <v>53</v>
      </c>
    </row>
    <row r="105" spans="1:9" x14ac:dyDescent="0.3">
      <c r="A105" s="2" t="s">
        <v>9567</v>
      </c>
      <c r="B105" s="2" t="s">
        <v>923</v>
      </c>
      <c r="C105" s="2" t="s">
        <v>354</v>
      </c>
      <c r="D105" s="2" t="s">
        <v>924</v>
      </c>
      <c r="E105" s="2"/>
      <c r="F105" s="2"/>
      <c r="G105" s="2"/>
      <c r="H105" s="2" t="s">
        <v>646</v>
      </c>
      <c r="I105" s="3">
        <f t="shared" si="1"/>
        <v>53</v>
      </c>
    </row>
    <row r="106" spans="1:9" x14ac:dyDescent="0.3">
      <c r="A106" s="2" t="s">
        <v>9568</v>
      </c>
      <c r="B106" s="2" t="s">
        <v>893</v>
      </c>
      <c r="C106" s="2" t="s">
        <v>268</v>
      </c>
      <c r="D106" s="2" t="s">
        <v>894</v>
      </c>
      <c r="E106" s="2" t="s">
        <v>39</v>
      </c>
      <c r="F106" s="2"/>
      <c r="G106" s="2"/>
      <c r="H106" s="2"/>
      <c r="I106" s="3">
        <f t="shared" si="1"/>
        <v>53</v>
      </c>
    </row>
    <row r="107" spans="1:9" x14ac:dyDescent="0.3">
      <c r="A107" s="2" t="s">
        <v>9568</v>
      </c>
      <c r="B107" s="2" t="s">
        <v>950</v>
      </c>
      <c r="C107" s="2" t="s">
        <v>951</v>
      </c>
      <c r="D107" s="2" t="s">
        <v>952</v>
      </c>
      <c r="E107" s="2" t="s">
        <v>39</v>
      </c>
      <c r="F107" s="2"/>
      <c r="G107" s="2"/>
      <c r="H107" s="2" t="s">
        <v>86</v>
      </c>
      <c r="I107" s="3">
        <f t="shared" si="1"/>
        <v>53</v>
      </c>
    </row>
    <row r="108" spans="1:9" x14ac:dyDescent="0.3">
      <c r="A108" s="2" t="s">
        <v>9569</v>
      </c>
      <c r="B108" s="2" t="s">
        <v>929</v>
      </c>
      <c r="C108" s="2" t="s">
        <v>332</v>
      </c>
      <c r="D108" s="2" t="s">
        <v>930</v>
      </c>
      <c r="E108" s="2"/>
      <c r="F108" s="2"/>
      <c r="G108" s="2"/>
      <c r="H108" s="2"/>
      <c r="I108" s="3">
        <f t="shared" si="1"/>
        <v>53</v>
      </c>
    </row>
    <row r="109" spans="1:9" ht="24" x14ac:dyDescent="0.3">
      <c r="A109" s="2" t="s">
        <v>9570</v>
      </c>
      <c r="B109" s="2" t="s">
        <v>913</v>
      </c>
      <c r="C109" s="2" t="s">
        <v>914</v>
      </c>
      <c r="D109" s="2" t="s">
        <v>915</v>
      </c>
      <c r="E109" s="2"/>
      <c r="F109" s="2"/>
      <c r="G109" s="2"/>
      <c r="H109" s="2"/>
      <c r="I109" s="3">
        <f t="shared" si="1"/>
        <v>53</v>
      </c>
    </row>
    <row r="110" spans="1:9" x14ac:dyDescent="0.3">
      <c r="A110" s="2" t="s">
        <v>9571</v>
      </c>
      <c r="B110" s="2" t="s">
        <v>899</v>
      </c>
      <c r="C110" s="2" t="s">
        <v>240</v>
      </c>
      <c r="D110" s="2" t="s">
        <v>900</v>
      </c>
      <c r="E110" s="2"/>
      <c r="F110" s="2"/>
      <c r="G110" s="2"/>
      <c r="H110" s="2"/>
      <c r="I110" s="3">
        <f t="shared" si="1"/>
        <v>53</v>
      </c>
    </row>
    <row r="111" spans="1:9" x14ac:dyDescent="0.3">
      <c r="A111" s="2" t="s">
        <v>9571</v>
      </c>
      <c r="B111" s="2" t="s">
        <v>634</v>
      </c>
      <c r="C111" s="2"/>
      <c r="D111" s="2" t="s">
        <v>909</v>
      </c>
      <c r="E111" s="2"/>
      <c r="F111" s="2"/>
      <c r="G111" s="2"/>
      <c r="H111" s="2"/>
      <c r="I111" s="3">
        <f t="shared" si="1"/>
        <v>53</v>
      </c>
    </row>
    <row r="112" spans="1:9" x14ac:dyDescent="0.3">
      <c r="A112" s="2" t="s">
        <v>9571</v>
      </c>
      <c r="B112" s="2" t="s">
        <v>945</v>
      </c>
      <c r="C112" s="2" t="s">
        <v>946</v>
      </c>
      <c r="D112" s="2" t="s">
        <v>947</v>
      </c>
      <c r="E112" s="2"/>
      <c r="F112" s="2"/>
      <c r="G112" s="2"/>
      <c r="H112" s="2"/>
      <c r="I112" s="3">
        <f t="shared" si="1"/>
        <v>53</v>
      </c>
    </row>
    <row r="113" spans="1:9" x14ac:dyDescent="0.3">
      <c r="A113" s="2" t="s">
        <v>9571</v>
      </c>
      <c r="B113" s="2" t="s">
        <v>948</v>
      </c>
      <c r="C113" s="2"/>
      <c r="D113" s="2" t="s">
        <v>949</v>
      </c>
      <c r="E113" s="2"/>
      <c r="F113" s="2"/>
      <c r="G113" s="2"/>
      <c r="H113" s="2"/>
      <c r="I113" s="3">
        <f t="shared" si="1"/>
        <v>53</v>
      </c>
    </row>
    <row r="114" spans="1:9" x14ac:dyDescent="0.3">
      <c r="A114" s="2" t="s">
        <v>9567</v>
      </c>
      <c r="B114" s="2" t="s">
        <v>619</v>
      </c>
      <c r="C114" s="2" t="s">
        <v>500</v>
      </c>
      <c r="D114" s="2" t="s">
        <v>960</v>
      </c>
      <c r="E114" s="2" t="s">
        <v>39</v>
      </c>
      <c r="F114" s="2"/>
      <c r="G114" s="2"/>
      <c r="H114" s="2" t="s">
        <v>402</v>
      </c>
      <c r="I114" s="3">
        <f t="shared" si="1"/>
        <v>54</v>
      </c>
    </row>
    <row r="115" spans="1:9" x14ac:dyDescent="0.3">
      <c r="A115" s="2" t="s">
        <v>9567</v>
      </c>
      <c r="B115" s="2" t="s">
        <v>975</v>
      </c>
      <c r="C115" s="2" t="s">
        <v>354</v>
      </c>
      <c r="D115" s="2" t="s">
        <v>976</v>
      </c>
      <c r="E115" s="2" t="s">
        <v>39</v>
      </c>
      <c r="F115" s="2"/>
      <c r="G115" s="2"/>
      <c r="H115" s="2"/>
      <c r="I115" s="3">
        <f t="shared" si="1"/>
        <v>54</v>
      </c>
    </row>
    <row r="116" spans="1:9" x14ac:dyDescent="0.3">
      <c r="A116" s="2" t="s">
        <v>9568</v>
      </c>
      <c r="B116" s="2" t="s">
        <v>981</v>
      </c>
      <c r="C116" s="2" t="s">
        <v>982</v>
      </c>
      <c r="D116" s="2" t="s">
        <v>983</v>
      </c>
      <c r="E116" s="2" t="s">
        <v>39</v>
      </c>
      <c r="F116" s="2"/>
      <c r="G116" s="2"/>
      <c r="H116" s="2"/>
      <c r="I116" s="3">
        <f t="shared" si="1"/>
        <v>54</v>
      </c>
    </row>
    <row r="117" spans="1:9" x14ac:dyDescent="0.3">
      <c r="A117" s="2" t="s">
        <v>9568</v>
      </c>
      <c r="B117" s="2" t="s">
        <v>984</v>
      </c>
      <c r="C117" s="2" t="s">
        <v>985</v>
      </c>
      <c r="D117" s="2" t="s">
        <v>986</v>
      </c>
      <c r="E117" s="2"/>
      <c r="F117" s="2"/>
      <c r="G117" s="2"/>
      <c r="H117" s="2"/>
      <c r="I117" s="3">
        <f t="shared" si="1"/>
        <v>54</v>
      </c>
    </row>
    <row r="118" spans="1:9" x14ac:dyDescent="0.3">
      <c r="A118" s="2" t="s">
        <v>9570</v>
      </c>
      <c r="B118" s="2" t="s">
        <v>953</v>
      </c>
      <c r="C118" s="2" t="s">
        <v>354</v>
      </c>
      <c r="D118" s="2" t="s">
        <v>954</v>
      </c>
      <c r="E118" s="2"/>
      <c r="F118" s="2"/>
      <c r="G118" s="2"/>
      <c r="H118" s="2"/>
      <c r="I118" s="3">
        <f t="shared" si="1"/>
        <v>54</v>
      </c>
    </row>
    <row r="119" spans="1:9" x14ac:dyDescent="0.3">
      <c r="A119" s="2" t="s">
        <v>9570</v>
      </c>
      <c r="B119" s="2" t="s">
        <v>977</v>
      </c>
      <c r="C119" s="2"/>
      <c r="D119" s="2" t="s">
        <v>978</v>
      </c>
      <c r="E119" s="2"/>
      <c r="F119" s="2"/>
      <c r="G119" s="2"/>
      <c r="H119" s="2"/>
      <c r="I119" s="3">
        <f t="shared" si="1"/>
        <v>54</v>
      </c>
    </row>
    <row r="120" spans="1:9" x14ac:dyDescent="0.3">
      <c r="A120" s="2" t="s">
        <v>9567</v>
      </c>
      <c r="B120" s="2" t="s">
        <v>989</v>
      </c>
      <c r="C120" s="2" t="s">
        <v>178</v>
      </c>
      <c r="D120" s="2" t="s">
        <v>990</v>
      </c>
      <c r="E120" s="2" t="s">
        <v>39</v>
      </c>
      <c r="F120" s="2"/>
      <c r="G120" s="2"/>
      <c r="H120" s="2"/>
      <c r="I120" s="3">
        <f t="shared" si="1"/>
        <v>55</v>
      </c>
    </row>
    <row r="121" spans="1:9" x14ac:dyDescent="0.3">
      <c r="A121" s="2" t="s">
        <v>9567</v>
      </c>
      <c r="B121" s="2" t="s">
        <v>399</v>
      </c>
      <c r="C121" s="2" t="s">
        <v>500</v>
      </c>
      <c r="D121" s="2" t="s">
        <v>1002</v>
      </c>
      <c r="E121" s="2" t="s">
        <v>39</v>
      </c>
      <c r="F121" s="2"/>
      <c r="G121" s="2"/>
      <c r="H121" s="2" t="s">
        <v>402</v>
      </c>
      <c r="I121" s="3">
        <f t="shared" si="1"/>
        <v>55</v>
      </c>
    </row>
    <row r="122" spans="1:9" x14ac:dyDescent="0.3">
      <c r="A122" s="2" t="s">
        <v>9567</v>
      </c>
      <c r="B122" s="2" t="s">
        <v>1005</v>
      </c>
      <c r="C122" s="2" t="s">
        <v>590</v>
      </c>
      <c r="D122" s="2" t="s">
        <v>1006</v>
      </c>
      <c r="E122" s="2"/>
      <c r="F122" s="2"/>
      <c r="G122" s="2"/>
      <c r="H122" s="2"/>
      <c r="I122" s="3">
        <f t="shared" si="1"/>
        <v>55</v>
      </c>
    </row>
    <row r="123" spans="1:9" x14ac:dyDescent="0.3">
      <c r="A123" s="2" t="s">
        <v>9568</v>
      </c>
      <c r="B123" s="2" t="s">
        <v>1017</v>
      </c>
      <c r="C123" s="2" t="s">
        <v>1018</v>
      </c>
      <c r="D123" s="2" t="s">
        <v>1019</v>
      </c>
      <c r="E123" s="2"/>
      <c r="F123" s="2"/>
      <c r="G123" s="2"/>
      <c r="H123" s="2"/>
      <c r="I123" s="3">
        <f t="shared" si="1"/>
        <v>55</v>
      </c>
    </row>
    <row r="124" spans="1:9" x14ac:dyDescent="0.3">
      <c r="A124" s="2" t="s">
        <v>9568</v>
      </c>
      <c r="B124" s="2" t="s">
        <v>1017</v>
      </c>
      <c r="C124" s="2" t="s">
        <v>1020</v>
      </c>
      <c r="D124" s="2" t="s">
        <v>1021</v>
      </c>
      <c r="E124" s="2"/>
      <c r="F124" s="2"/>
      <c r="G124" s="2"/>
      <c r="H124" s="2"/>
      <c r="I124" s="3">
        <f t="shared" si="1"/>
        <v>55</v>
      </c>
    </row>
    <row r="125" spans="1:9" x14ac:dyDescent="0.3">
      <c r="A125" s="2" t="s">
        <v>9569</v>
      </c>
      <c r="B125" s="2" t="s">
        <v>987</v>
      </c>
      <c r="C125" s="2" t="s">
        <v>14</v>
      </c>
      <c r="D125" s="2" t="s">
        <v>988</v>
      </c>
      <c r="E125" s="2"/>
      <c r="F125" s="2"/>
      <c r="G125" s="2"/>
      <c r="H125" s="2"/>
      <c r="I125" s="3">
        <f t="shared" si="1"/>
        <v>55</v>
      </c>
    </row>
    <row r="126" spans="1:9" x14ac:dyDescent="0.3">
      <c r="A126" s="2" t="s">
        <v>9571</v>
      </c>
      <c r="B126" s="2" t="s">
        <v>993</v>
      </c>
      <c r="C126" s="2" t="s">
        <v>994</v>
      </c>
      <c r="D126" s="2" t="s">
        <v>995</v>
      </c>
      <c r="E126" s="2"/>
      <c r="F126" s="2"/>
      <c r="G126" s="2"/>
      <c r="H126" s="2"/>
      <c r="I126" s="3">
        <f t="shared" si="1"/>
        <v>55</v>
      </c>
    </row>
    <row r="127" spans="1:9" x14ac:dyDescent="0.3">
      <c r="A127" s="2" t="s">
        <v>9567</v>
      </c>
      <c r="B127" s="2" t="s">
        <v>1026</v>
      </c>
      <c r="C127" s="2" t="s">
        <v>1027</v>
      </c>
      <c r="D127" s="2" t="s">
        <v>1028</v>
      </c>
      <c r="E127" s="2"/>
      <c r="F127" s="2"/>
      <c r="G127" s="2"/>
      <c r="H127" s="2"/>
      <c r="I127" s="3">
        <f t="shared" si="1"/>
        <v>56</v>
      </c>
    </row>
    <row r="128" spans="1:9" x14ac:dyDescent="0.3">
      <c r="A128" s="2" t="s">
        <v>9567</v>
      </c>
      <c r="B128" s="2" t="s">
        <v>1080</v>
      </c>
      <c r="C128" s="2" t="s">
        <v>354</v>
      </c>
      <c r="D128" s="2" t="s">
        <v>1081</v>
      </c>
      <c r="E128" s="2" t="s">
        <v>39</v>
      </c>
      <c r="F128" s="2"/>
      <c r="G128" s="2"/>
      <c r="H128" s="2"/>
      <c r="I128" s="3">
        <f t="shared" si="1"/>
        <v>56</v>
      </c>
    </row>
    <row r="129" spans="1:9" x14ac:dyDescent="0.3">
      <c r="A129" s="2" t="s">
        <v>9568</v>
      </c>
      <c r="B129" s="2" t="s">
        <v>1082</v>
      </c>
      <c r="C129" s="2" t="s">
        <v>1083</v>
      </c>
      <c r="D129" s="2" t="s">
        <v>1084</v>
      </c>
      <c r="E129" s="2"/>
      <c r="F129" s="2"/>
      <c r="G129" s="2"/>
      <c r="H129" s="2"/>
      <c r="I129" s="3">
        <f t="shared" si="1"/>
        <v>56</v>
      </c>
    </row>
    <row r="130" spans="1:9" x14ac:dyDescent="0.3">
      <c r="A130" s="2" t="s">
        <v>9571</v>
      </c>
      <c r="B130" s="2" t="s">
        <v>1043</v>
      </c>
      <c r="C130" s="2"/>
      <c r="D130" s="2" t="s">
        <v>1044</v>
      </c>
      <c r="E130" s="2" t="s">
        <v>39</v>
      </c>
      <c r="F130" s="2"/>
      <c r="G130" s="2"/>
      <c r="H130" s="2"/>
      <c r="I130" s="3">
        <f t="shared" ref="I130:I193" si="2">LEN(D130)</f>
        <v>56</v>
      </c>
    </row>
    <row r="131" spans="1:9" x14ac:dyDescent="0.3">
      <c r="A131" s="2" t="s">
        <v>9571</v>
      </c>
      <c r="B131" s="2" t="s">
        <v>1045</v>
      </c>
      <c r="C131" s="2"/>
      <c r="D131" s="2" t="s">
        <v>1046</v>
      </c>
      <c r="E131" s="2"/>
      <c r="F131" s="2"/>
      <c r="G131" s="2"/>
      <c r="H131" s="2"/>
      <c r="I131" s="3">
        <f t="shared" si="2"/>
        <v>56</v>
      </c>
    </row>
    <row r="132" spans="1:9" x14ac:dyDescent="0.3">
      <c r="A132" s="2" t="s">
        <v>9571</v>
      </c>
      <c r="B132" s="2" t="s">
        <v>1047</v>
      </c>
      <c r="C132" s="2" t="s">
        <v>116</v>
      </c>
      <c r="D132" s="2" t="s">
        <v>1048</v>
      </c>
      <c r="E132" s="2"/>
      <c r="F132" s="2"/>
      <c r="G132" s="2"/>
      <c r="H132" s="2"/>
      <c r="I132" s="3">
        <f t="shared" si="2"/>
        <v>56</v>
      </c>
    </row>
    <row r="133" spans="1:9" x14ac:dyDescent="0.3">
      <c r="A133" s="2" t="s">
        <v>9571</v>
      </c>
      <c r="B133" s="2" t="s">
        <v>1049</v>
      </c>
      <c r="C133" s="2"/>
      <c r="D133" s="2" t="s">
        <v>1050</v>
      </c>
      <c r="E133" s="2"/>
      <c r="F133" s="2"/>
      <c r="G133" s="2"/>
      <c r="H133" s="2"/>
      <c r="I133" s="3">
        <f t="shared" si="2"/>
        <v>56</v>
      </c>
    </row>
    <row r="134" spans="1:9" x14ac:dyDescent="0.3">
      <c r="A134" s="2" t="s">
        <v>9571</v>
      </c>
      <c r="B134" s="2" t="s">
        <v>1051</v>
      </c>
      <c r="C134" s="2"/>
      <c r="D134" s="2" t="s">
        <v>1052</v>
      </c>
      <c r="E134" s="2"/>
      <c r="F134" s="2"/>
      <c r="G134" s="2"/>
      <c r="H134" s="2"/>
      <c r="I134" s="3">
        <f t="shared" si="2"/>
        <v>56</v>
      </c>
    </row>
    <row r="135" spans="1:9" x14ac:dyDescent="0.3">
      <c r="A135" s="2" t="s">
        <v>9571</v>
      </c>
      <c r="B135" s="2" t="s">
        <v>1053</v>
      </c>
      <c r="C135" s="2" t="s">
        <v>1054</v>
      </c>
      <c r="D135" s="2" t="s">
        <v>1055</v>
      </c>
      <c r="E135" s="2"/>
      <c r="F135" s="2"/>
      <c r="G135" s="2"/>
      <c r="H135" s="2"/>
      <c r="I135" s="3">
        <f t="shared" si="2"/>
        <v>56</v>
      </c>
    </row>
    <row r="136" spans="1:9" x14ac:dyDescent="0.3">
      <c r="A136" s="2" t="s">
        <v>9567</v>
      </c>
      <c r="B136" s="2" t="s">
        <v>619</v>
      </c>
      <c r="C136" s="2" t="s">
        <v>500</v>
      </c>
      <c r="D136" s="2" t="s">
        <v>1088</v>
      </c>
      <c r="E136" s="2" t="s">
        <v>39</v>
      </c>
      <c r="F136" s="2"/>
      <c r="G136" s="2"/>
      <c r="H136" s="2" t="s">
        <v>402</v>
      </c>
      <c r="I136" s="3">
        <f t="shared" si="2"/>
        <v>57</v>
      </c>
    </row>
    <row r="137" spans="1:9" x14ac:dyDescent="0.3">
      <c r="A137" s="2" t="s">
        <v>9567</v>
      </c>
      <c r="B137" s="2" t="s">
        <v>1090</v>
      </c>
      <c r="C137" s="2" t="s">
        <v>263</v>
      </c>
      <c r="D137" s="2" t="s">
        <v>1091</v>
      </c>
      <c r="E137" s="2" t="s">
        <v>39</v>
      </c>
      <c r="F137" s="2"/>
      <c r="G137" s="2"/>
      <c r="H137" s="2"/>
      <c r="I137" s="3">
        <f t="shared" si="2"/>
        <v>57</v>
      </c>
    </row>
    <row r="138" spans="1:9" x14ac:dyDescent="0.3">
      <c r="A138" s="2" t="s">
        <v>9568</v>
      </c>
      <c r="B138" s="2" t="s">
        <v>1124</v>
      </c>
      <c r="C138" s="2" t="s">
        <v>1125</v>
      </c>
      <c r="D138" s="2" t="s">
        <v>1126</v>
      </c>
      <c r="E138" s="2"/>
      <c r="F138" s="2"/>
      <c r="G138" s="2"/>
      <c r="H138" s="2"/>
      <c r="I138" s="3">
        <f t="shared" si="2"/>
        <v>57</v>
      </c>
    </row>
    <row r="139" spans="1:9" x14ac:dyDescent="0.3">
      <c r="A139" s="2" t="s">
        <v>9571</v>
      </c>
      <c r="B139" s="2" t="s">
        <v>1094</v>
      </c>
      <c r="C139" s="2"/>
      <c r="D139" s="2" t="s">
        <v>1095</v>
      </c>
      <c r="E139" s="2"/>
      <c r="F139" s="2"/>
      <c r="G139" s="2"/>
      <c r="H139" s="2"/>
      <c r="I139" s="3">
        <f t="shared" si="2"/>
        <v>57</v>
      </c>
    </row>
    <row r="140" spans="1:9" x14ac:dyDescent="0.3">
      <c r="A140" s="2" t="s">
        <v>9571</v>
      </c>
      <c r="B140" s="2" t="s">
        <v>1092</v>
      </c>
      <c r="C140" s="2"/>
      <c r="D140" s="2" t="s">
        <v>1093</v>
      </c>
      <c r="E140" s="2" t="s">
        <v>39</v>
      </c>
      <c r="F140" s="2"/>
      <c r="G140" s="2"/>
      <c r="H140" s="2"/>
      <c r="I140" s="3">
        <f t="shared" si="2"/>
        <v>57</v>
      </c>
    </row>
    <row r="141" spans="1:9" x14ac:dyDescent="0.3">
      <c r="A141" s="2" t="s">
        <v>9567</v>
      </c>
      <c r="B141" s="2" t="s">
        <v>509</v>
      </c>
      <c r="C141" s="2" t="s">
        <v>500</v>
      </c>
      <c r="D141" s="2" t="s">
        <v>1135</v>
      </c>
      <c r="E141" s="2" t="s">
        <v>39</v>
      </c>
      <c r="F141" s="2"/>
      <c r="G141" s="2"/>
      <c r="H141" s="2" t="s">
        <v>402</v>
      </c>
      <c r="I141" s="3">
        <f t="shared" si="2"/>
        <v>58</v>
      </c>
    </row>
    <row r="142" spans="1:9" x14ac:dyDescent="0.3">
      <c r="A142" s="2" t="s">
        <v>9567</v>
      </c>
      <c r="B142" s="2" t="s">
        <v>1136</v>
      </c>
      <c r="C142" s="2"/>
      <c r="D142" s="2" t="s">
        <v>1137</v>
      </c>
      <c r="E142" s="2" t="s">
        <v>39</v>
      </c>
      <c r="F142" s="2"/>
      <c r="G142" s="2"/>
      <c r="H142" s="2"/>
      <c r="I142" s="3">
        <f t="shared" si="2"/>
        <v>58</v>
      </c>
    </row>
    <row r="143" spans="1:9" x14ac:dyDescent="0.3">
      <c r="A143" s="2" t="s">
        <v>9567</v>
      </c>
      <c r="B143" s="2" t="s">
        <v>1141</v>
      </c>
      <c r="C143" s="2" t="s">
        <v>1142</v>
      </c>
      <c r="D143" s="2" t="s">
        <v>1143</v>
      </c>
      <c r="E143" s="2"/>
      <c r="F143" s="2"/>
      <c r="G143" s="2"/>
      <c r="H143" s="2"/>
      <c r="I143" s="3">
        <f t="shared" si="2"/>
        <v>58</v>
      </c>
    </row>
    <row r="144" spans="1:9" x14ac:dyDescent="0.3">
      <c r="A144" s="2" t="s">
        <v>9567</v>
      </c>
      <c r="B144" s="2" t="s">
        <v>1144</v>
      </c>
      <c r="C144" s="2"/>
      <c r="D144" s="2" t="s">
        <v>1145</v>
      </c>
      <c r="E144" s="2" t="s">
        <v>39</v>
      </c>
      <c r="F144" s="2"/>
      <c r="G144" s="2"/>
      <c r="H144" s="2"/>
      <c r="I144" s="3">
        <f t="shared" si="2"/>
        <v>58</v>
      </c>
    </row>
    <row r="145" spans="1:9" x14ac:dyDescent="0.3">
      <c r="A145" s="2" t="s">
        <v>9567</v>
      </c>
      <c r="B145" s="2" t="s">
        <v>1163</v>
      </c>
      <c r="C145" s="2" t="s">
        <v>354</v>
      </c>
      <c r="D145" s="2" t="s">
        <v>1164</v>
      </c>
      <c r="E145" s="2" t="s">
        <v>39</v>
      </c>
      <c r="F145" s="2"/>
      <c r="G145" s="2"/>
      <c r="H145" s="2"/>
      <c r="I145" s="3">
        <f t="shared" si="2"/>
        <v>58</v>
      </c>
    </row>
    <row r="146" spans="1:9" x14ac:dyDescent="0.3">
      <c r="A146" s="2" t="s">
        <v>9567</v>
      </c>
      <c r="B146" s="2" t="s">
        <v>1167</v>
      </c>
      <c r="C146" s="2" t="s">
        <v>354</v>
      </c>
      <c r="D146" s="2" t="s">
        <v>1168</v>
      </c>
      <c r="E146" s="2" t="s">
        <v>39</v>
      </c>
      <c r="F146" s="2"/>
      <c r="G146" s="2"/>
      <c r="H146" s="2"/>
      <c r="I146" s="3">
        <f t="shared" si="2"/>
        <v>58</v>
      </c>
    </row>
    <row r="147" spans="1:9" x14ac:dyDescent="0.3">
      <c r="A147" s="2" t="s">
        <v>9568</v>
      </c>
      <c r="B147" s="2" t="s">
        <v>308</v>
      </c>
      <c r="C147" s="2" t="s">
        <v>222</v>
      </c>
      <c r="D147" s="2" t="s">
        <v>1162</v>
      </c>
      <c r="E147" s="2"/>
      <c r="F147" s="2"/>
      <c r="G147" s="2"/>
      <c r="H147" s="2"/>
      <c r="I147" s="3">
        <f t="shared" si="2"/>
        <v>58</v>
      </c>
    </row>
    <row r="148" spans="1:9" x14ac:dyDescent="0.3">
      <c r="A148" s="2" t="s">
        <v>9568</v>
      </c>
      <c r="B148" s="2" t="s">
        <v>1169</v>
      </c>
      <c r="C148" s="2" t="s">
        <v>1170</v>
      </c>
      <c r="D148" s="2" t="s">
        <v>1171</v>
      </c>
      <c r="E148" s="2"/>
      <c r="F148" s="2"/>
      <c r="G148" s="2"/>
      <c r="H148" s="2"/>
      <c r="I148" s="3">
        <f t="shared" si="2"/>
        <v>58</v>
      </c>
    </row>
    <row r="149" spans="1:9" x14ac:dyDescent="0.3">
      <c r="A149" s="2" t="s">
        <v>9569</v>
      </c>
      <c r="B149" s="2" t="s">
        <v>1146</v>
      </c>
      <c r="C149" s="2" t="s">
        <v>332</v>
      </c>
      <c r="D149" s="2" t="s">
        <v>1147</v>
      </c>
      <c r="E149" s="2"/>
      <c r="F149" s="2"/>
      <c r="G149" s="2"/>
      <c r="H149" s="2"/>
      <c r="I149" s="3">
        <f t="shared" si="2"/>
        <v>58</v>
      </c>
    </row>
    <row r="150" spans="1:9" x14ac:dyDescent="0.3">
      <c r="A150" s="2" t="s">
        <v>9570</v>
      </c>
      <c r="B150" s="2" t="s">
        <v>1129</v>
      </c>
      <c r="C150" s="2"/>
      <c r="D150" s="2" t="s">
        <v>1130</v>
      </c>
      <c r="E150" s="2"/>
      <c r="F150" s="2"/>
      <c r="G150" s="2"/>
      <c r="H150" s="2"/>
      <c r="I150" s="3">
        <f t="shared" si="2"/>
        <v>58</v>
      </c>
    </row>
    <row r="151" spans="1:9" x14ac:dyDescent="0.3">
      <c r="A151" s="2" t="s">
        <v>9570</v>
      </c>
      <c r="B151" s="2" t="s">
        <v>1131</v>
      </c>
      <c r="C151" s="2"/>
      <c r="D151" s="2" t="s">
        <v>1132</v>
      </c>
      <c r="E151" s="2"/>
      <c r="F151" s="2"/>
      <c r="G151" s="2"/>
      <c r="H151" s="2"/>
      <c r="I151" s="3">
        <f t="shared" si="2"/>
        <v>58</v>
      </c>
    </row>
    <row r="152" spans="1:9" x14ac:dyDescent="0.3">
      <c r="A152" s="2" t="s">
        <v>9571</v>
      </c>
      <c r="B152" s="2" t="s">
        <v>1133</v>
      </c>
      <c r="C152" s="2"/>
      <c r="D152" s="2" t="s">
        <v>1134</v>
      </c>
      <c r="E152" s="2" t="s">
        <v>39</v>
      </c>
      <c r="F152" s="2"/>
      <c r="G152" s="2"/>
      <c r="H152" s="2"/>
      <c r="I152" s="3">
        <f t="shared" si="2"/>
        <v>58</v>
      </c>
    </row>
    <row r="153" spans="1:9" x14ac:dyDescent="0.3">
      <c r="A153" s="2" t="s">
        <v>9571</v>
      </c>
      <c r="B153" s="2" t="s">
        <v>1165</v>
      </c>
      <c r="C153" s="2" t="s">
        <v>240</v>
      </c>
      <c r="D153" s="2" t="s">
        <v>1166</v>
      </c>
      <c r="E153" s="2"/>
      <c r="F153" s="2"/>
      <c r="G153" s="2"/>
      <c r="H153" s="2"/>
      <c r="I153" s="3">
        <f t="shared" si="2"/>
        <v>58</v>
      </c>
    </row>
    <row r="154" spans="1:9" ht="24" x14ac:dyDescent="0.3">
      <c r="A154" s="2" t="s">
        <v>9567</v>
      </c>
      <c r="B154" s="2" t="s">
        <v>1182</v>
      </c>
      <c r="C154" s="2" t="s">
        <v>500</v>
      </c>
      <c r="D154" s="2" t="s">
        <v>1183</v>
      </c>
      <c r="E154" s="2" t="s">
        <v>39</v>
      </c>
      <c r="F154" s="2"/>
      <c r="G154" s="2"/>
      <c r="H154" s="2" t="s">
        <v>402</v>
      </c>
      <c r="I154" s="3">
        <f t="shared" si="2"/>
        <v>59</v>
      </c>
    </row>
    <row r="155" spans="1:9" x14ac:dyDescent="0.3">
      <c r="A155" s="2" t="s">
        <v>9567</v>
      </c>
      <c r="B155" s="2" t="s">
        <v>1184</v>
      </c>
      <c r="C155" s="2" t="s">
        <v>354</v>
      </c>
      <c r="D155" s="2" t="s">
        <v>1185</v>
      </c>
      <c r="E155" s="2" t="s">
        <v>39</v>
      </c>
      <c r="F155" s="2"/>
      <c r="G155" s="2"/>
      <c r="H155" s="2"/>
      <c r="I155" s="3">
        <f t="shared" si="2"/>
        <v>59</v>
      </c>
    </row>
    <row r="156" spans="1:9" ht="24" x14ac:dyDescent="0.3">
      <c r="A156" s="2" t="s">
        <v>9567</v>
      </c>
      <c r="B156" s="2" t="s">
        <v>1231</v>
      </c>
      <c r="C156" s="2" t="s">
        <v>222</v>
      </c>
      <c r="D156" s="2" t="s">
        <v>1232</v>
      </c>
      <c r="E156" s="2"/>
      <c r="F156" s="2"/>
      <c r="G156" s="2"/>
      <c r="H156" s="2"/>
      <c r="I156" s="3">
        <f t="shared" si="2"/>
        <v>59</v>
      </c>
    </row>
    <row r="157" spans="1:9" x14ac:dyDescent="0.3">
      <c r="A157" s="2" t="s">
        <v>9568</v>
      </c>
      <c r="B157" s="2" t="s">
        <v>1177</v>
      </c>
      <c r="C157" s="2" t="s">
        <v>1178</v>
      </c>
      <c r="D157" s="2" t="s">
        <v>1179</v>
      </c>
      <c r="E157" s="2"/>
      <c r="F157" s="2"/>
      <c r="G157" s="2"/>
      <c r="H157" s="2"/>
      <c r="I157" s="3">
        <f t="shared" si="2"/>
        <v>59</v>
      </c>
    </row>
    <row r="158" spans="1:9" x14ac:dyDescent="0.3">
      <c r="A158" s="2" t="s">
        <v>9568</v>
      </c>
      <c r="B158" s="2" t="s">
        <v>1209</v>
      </c>
      <c r="C158" s="2" t="s">
        <v>875</v>
      </c>
      <c r="D158" s="2" t="s">
        <v>1210</v>
      </c>
      <c r="E158" s="2"/>
      <c r="F158" s="2"/>
      <c r="G158" s="2"/>
      <c r="H158" s="2"/>
      <c r="I158" s="3">
        <f t="shared" si="2"/>
        <v>59</v>
      </c>
    </row>
    <row r="159" spans="1:9" x14ac:dyDescent="0.3">
      <c r="A159" s="2" t="s">
        <v>9568</v>
      </c>
      <c r="B159" s="2" t="s">
        <v>1238</v>
      </c>
      <c r="C159" s="2" t="s">
        <v>1239</v>
      </c>
      <c r="D159" s="2" t="s">
        <v>1240</v>
      </c>
      <c r="E159" s="2" t="s">
        <v>39</v>
      </c>
      <c r="F159" s="2"/>
      <c r="G159" s="2"/>
      <c r="H159" s="2"/>
      <c r="I159" s="3">
        <f t="shared" si="2"/>
        <v>59</v>
      </c>
    </row>
    <row r="160" spans="1:9" x14ac:dyDescent="0.3">
      <c r="A160" s="2" t="s">
        <v>9569</v>
      </c>
      <c r="B160" s="2" t="s">
        <v>1193</v>
      </c>
      <c r="C160" s="2" t="s">
        <v>14</v>
      </c>
      <c r="D160" s="2" t="s">
        <v>1194</v>
      </c>
      <c r="E160" s="2"/>
      <c r="F160" s="2"/>
      <c r="G160" s="2"/>
      <c r="H160" s="2"/>
      <c r="I160" s="3">
        <f t="shared" si="2"/>
        <v>59</v>
      </c>
    </row>
    <row r="161" spans="1:9" x14ac:dyDescent="0.3">
      <c r="A161" s="2" t="s">
        <v>9570</v>
      </c>
      <c r="B161" s="2" t="s">
        <v>1172</v>
      </c>
      <c r="C161" s="2" t="s">
        <v>491</v>
      </c>
      <c r="D161" s="2" t="s">
        <v>1173</v>
      </c>
      <c r="E161" s="2"/>
      <c r="F161" s="2"/>
      <c r="G161" s="2"/>
      <c r="H161" s="2"/>
      <c r="I161" s="3">
        <f t="shared" si="2"/>
        <v>59</v>
      </c>
    </row>
    <row r="162" spans="1:9" x14ac:dyDescent="0.3">
      <c r="A162" s="2" t="s">
        <v>9570</v>
      </c>
      <c r="B162" s="2" t="s">
        <v>1174</v>
      </c>
      <c r="C162" s="2" t="s">
        <v>389</v>
      </c>
      <c r="D162" s="2" t="s">
        <v>1175</v>
      </c>
      <c r="E162" s="2"/>
      <c r="F162" s="2"/>
      <c r="G162" s="2"/>
      <c r="H162" s="2" t="s">
        <v>1176</v>
      </c>
      <c r="I162" s="3">
        <f t="shared" si="2"/>
        <v>59</v>
      </c>
    </row>
    <row r="163" spans="1:9" x14ac:dyDescent="0.3">
      <c r="A163" s="2" t="s">
        <v>9571</v>
      </c>
      <c r="B163" s="2" t="s">
        <v>1191</v>
      </c>
      <c r="C163" s="2"/>
      <c r="D163" s="2" t="s">
        <v>1192</v>
      </c>
      <c r="E163" s="2"/>
      <c r="F163" s="2"/>
      <c r="G163" s="2"/>
      <c r="H163" s="2" t="s">
        <v>194</v>
      </c>
      <c r="I163" s="3">
        <f t="shared" si="2"/>
        <v>59</v>
      </c>
    </row>
    <row r="164" spans="1:9" ht="24" x14ac:dyDescent="0.3">
      <c r="A164" s="2" t="s">
        <v>9571</v>
      </c>
      <c r="B164" s="2" t="s">
        <v>1211</v>
      </c>
      <c r="C164" s="2" t="s">
        <v>329</v>
      </c>
      <c r="D164" s="2" t="s">
        <v>1212</v>
      </c>
      <c r="E164" s="2"/>
      <c r="F164" s="2"/>
      <c r="G164" s="2"/>
      <c r="H164" s="2"/>
      <c r="I164" s="3">
        <f t="shared" si="2"/>
        <v>59</v>
      </c>
    </row>
    <row r="165" spans="1:9" x14ac:dyDescent="0.3">
      <c r="A165" s="2" t="s">
        <v>9571</v>
      </c>
      <c r="B165" s="2" t="s">
        <v>1195</v>
      </c>
      <c r="C165" s="2" t="s">
        <v>206</v>
      </c>
      <c r="D165" s="2" t="s">
        <v>1196</v>
      </c>
      <c r="E165" s="2"/>
      <c r="F165" s="2"/>
      <c r="G165" s="2"/>
      <c r="H165" s="2" t="s">
        <v>194</v>
      </c>
      <c r="I165" s="3">
        <f t="shared" si="2"/>
        <v>59</v>
      </c>
    </row>
    <row r="166" spans="1:9" x14ac:dyDescent="0.3">
      <c r="A166" s="2" t="s">
        <v>9571</v>
      </c>
      <c r="B166" s="2" t="s">
        <v>1203</v>
      </c>
      <c r="C166" s="2" t="s">
        <v>14</v>
      </c>
      <c r="D166" s="2" t="s">
        <v>1204</v>
      </c>
      <c r="E166" s="2"/>
      <c r="F166" s="2"/>
      <c r="G166" s="2"/>
      <c r="H166" s="2"/>
      <c r="I166" s="3">
        <f t="shared" si="2"/>
        <v>59</v>
      </c>
    </row>
    <row r="167" spans="1:9" x14ac:dyDescent="0.3">
      <c r="A167" s="2" t="s">
        <v>9567</v>
      </c>
      <c r="B167" s="2" t="s">
        <v>1241</v>
      </c>
      <c r="C167" s="2" t="s">
        <v>1027</v>
      </c>
      <c r="D167" s="2" t="s">
        <v>1242</v>
      </c>
      <c r="E167" s="2"/>
      <c r="F167" s="2"/>
      <c r="G167" s="2"/>
      <c r="H167" s="2"/>
      <c r="I167" s="3">
        <f t="shared" si="2"/>
        <v>60</v>
      </c>
    </row>
    <row r="168" spans="1:9" x14ac:dyDescent="0.3">
      <c r="A168" s="2" t="s">
        <v>9567</v>
      </c>
      <c r="B168" s="2" t="s">
        <v>1243</v>
      </c>
      <c r="C168" s="2" t="s">
        <v>1244</v>
      </c>
      <c r="D168" s="2" t="s">
        <v>1245</v>
      </c>
      <c r="E168" s="2" t="s">
        <v>39</v>
      </c>
      <c r="F168" s="2"/>
      <c r="G168" s="2"/>
      <c r="H168" s="2"/>
      <c r="I168" s="3">
        <f t="shared" si="2"/>
        <v>60</v>
      </c>
    </row>
    <row r="169" spans="1:9" x14ac:dyDescent="0.3">
      <c r="A169" s="2" t="s">
        <v>9567</v>
      </c>
      <c r="B169" s="2" t="s">
        <v>1246</v>
      </c>
      <c r="C169" s="2" t="s">
        <v>354</v>
      </c>
      <c r="D169" s="2" t="s">
        <v>1247</v>
      </c>
      <c r="E169" s="2"/>
      <c r="F169" s="2"/>
      <c r="G169" s="2"/>
      <c r="H169" s="2"/>
      <c r="I169" s="3">
        <f t="shared" si="2"/>
        <v>60</v>
      </c>
    </row>
    <row r="170" spans="1:9" x14ac:dyDescent="0.3">
      <c r="A170" s="2" t="s">
        <v>9567</v>
      </c>
      <c r="B170" s="2" t="s">
        <v>1257</v>
      </c>
      <c r="C170" s="2" t="s">
        <v>354</v>
      </c>
      <c r="D170" s="2" t="s">
        <v>1258</v>
      </c>
      <c r="E170" s="2"/>
      <c r="F170" s="2"/>
      <c r="G170" s="2"/>
      <c r="H170" s="2"/>
      <c r="I170" s="3">
        <f t="shared" si="2"/>
        <v>60</v>
      </c>
    </row>
    <row r="171" spans="1:9" x14ac:dyDescent="0.3">
      <c r="A171" s="2" t="s">
        <v>9567</v>
      </c>
      <c r="B171" s="2" t="s">
        <v>399</v>
      </c>
      <c r="C171" s="2" t="s">
        <v>500</v>
      </c>
      <c r="D171" s="2" t="s">
        <v>1266</v>
      </c>
      <c r="E171" s="2" t="s">
        <v>39</v>
      </c>
      <c r="F171" s="2"/>
      <c r="G171" s="2"/>
      <c r="H171" s="2" t="s">
        <v>402</v>
      </c>
      <c r="I171" s="3">
        <f t="shared" si="2"/>
        <v>60</v>
      </c>
    </row>
    <row r="172" spans="1:9" x14ac:dyDescent="0.3">
      <c r="A172" s="2" t="s">
        <v>9567</v>
      </c>
      <c r="B172" s="2" t="s">
        <v>1273</v>
      </c>
      <c r="C172" s="2" t="s">
        <v>354</v>
      </c>
      <c r="D172" s="2" t="s">
        <v>1274</v>
      </c>
      <c r="E172" s="2" t="s">
        <v>39</v>
      </c>
      <c r="F172" s="2"/>
      <c r="G172" s="2"/>
      <c r="H172" s="2"/>
      <c r="I172" s="3">
        <f t="shared" si="2"/>
        <v>60</v>
      </c>
    </row>
    <row r="173" spans="1:9" x14ac:dyDescent="0.3">
      <c r="A173" s="2" t="s">
        <v>9567</v>
      </c>
      <c r="B173" s="2" t="s">
        <v>1281</v>
      </c>
      <c r="C173" s="2" t="s">
        <v>263</v>
      </c>
      <c r="D173" s="2" t="s">
        <v>1282</v>
      </c>
      <c r="E173" s="2" t="s">
        <v>39</v>
      </c>
      <c r="F173" s="2"/>
      <c r="G173" s="2"/>
      <c r="H173" s="2"/>
      <c r="I173" s="3">
        <f t="shared" si="2"/>
        <v>60</v>
      </c>
    </row>
    <row r="174" spans="1:9" x14ac:dyDescent="0.3">
      <c r="A174" s="2" t="s">
        <v>9568</v>
      </c>
      <c r="B174" s="2" t="s">
        <v>1248</v>
      </c>
      <c r="C174" s="2" t="s">
        <v>1249</v>
      </c>
      <c r="D174" s="2" t="s">
        <v>1250</v>
      </c>
      <c r="E174" s="2"/>
      <c r="F174" s="2"/>
      <c r="G174" s="2"/>
      <c r="H174" s="2"/>
      <c r="I174" s="3">
        <f t="shared" si="2"/>
        <v>60</v>
      </c>
    </row>
    <row r="175" spans="1:9" x14ac:dyDescent="0.3">
      <c r="A175" s="2" t="s">
        <v>9568</v>
      </c>
      <c r="B175" s="2" t="s">
        <v>1286</v>
      </c>
      <c r="C175" s="2" t="s">
        <v>1244</v>
      </c>
      <c r="D175" s="2" t="s">
        <v>1287</v>
      </c>
      <c r="E175" s="2"/>
      <c r="F175" s="2"/>
      <c r="G175" s="2"/>
      <c r="H175" s="2"/>
      <c r="I175" s="3">
        <f t="shared" si="2"/>
        <v>60</v>
      </c>
    </row>
    <row r="176" spans="1:9" x14ac:dyDescent="0.3">
      <c r="A176" s="2" t="s">
        <v>9570</v>
      </c>
      <c r="B176" s="2" t="s">
        <v>1251</v>
      </c>
      <c r="C176" s="2" t="s">
        <v>1252</v>
      </c>
      <c r="D176" s="2" t="s">
        <v>1253</v>
      </c>
      <c r="E176" s="2" t="s">
        <v>39</v>
      </c>
      <c r="F176" s="2"/>
      <c r="G176" s="2"/>
      <c r="H176" s="2"/>
      <c r="I176" s="3">
        <f t="shared" si="2"/>
        <v>60</v>
      </c>
    </row>
    <row r="177" spans="1:9" x14ac:dyDescent="0.3">
      <c r="A177" s="2" t="s">
        <v>9571</v>
      </c>
      <c r="B177" s="2" t="s">
        <v>1045</v>
      </c>
      <c r="C177" s="2"/>
      <c r="D177" s="2" t="s">
        <v>1265</v>
      </c>
      <c r="E177" s="2"/>
      <c r="F177" s="2"/>
      <c r="G177" s="2"/>
      <c r="H177" s="2"/>
      <c r="I177" s="3">
        <f t="shared" si="2"/>
        <v>60</v>
      </c>
    </row>
    <row r="178" spans="1:9" x14ac:dyDescent="0.3">
      <c r="A178" s="2" t="s">
        <v>9571</v>
      </c>
      <c r="B178" s="2" t="s">
        <v>1263</v>
      </c>
      <c r="C178" s="2"/>
      <c r="D178" s="2" t="s">
        <v>1264</v>
      </c>
      <c r="E178" s="2"/>
      <c r="F178" s="2"/>
      <c r="G178" s="2"/>
      <c r="H178" s="2"/>
      <c r="I178" s="3">
        <f t="shared" si="2"/>
        <v>60</v>
      </c>
    </row>
    <row r="179" spans="1:9" x14ac:dyDescent="0.3">
      <c r="A179" s="2" t="s">
        <v>9567</v>
      </c>
      <c r="B179" s="2" t="s">
        <v>1303</v>
      </c>
      <c r="C179" s="2" t="s">
        <v>500</v>
      </c>
      <c r="D179" s="2" t="s">
        <v>1304</v>
      </c>
      <c r="E179" s="2" t="s">
        <v>39</v>
      </c>
      <c r="F179" s="2"/>
      <c r="G179" s="2"/>
      <c r="H179" s="2" t="s">
        <v>402</v>
      </c>
      <c r="I179" s="3">
        <f t="shared" si="2"/>
        <v>61</v>
      </c>
    </row>
    <row r="180" spans="1:9" x14ac:dyDescent="0.3">
      <c r="A180" s="2" t="s">
        <v>9567</v>
      </c>
      <c r="B180" s="2" t="s">
        <v>1312</v>
      </c>
      <c r="C180" s="2" t="s">
        <v>1313</v>
      </c>
      <c r="D180" s="2" t="s">
        <v>1314</v>
      </c>
      <c r="E180" s="2" t="s">
        <v>39</v>
      </c>
      <c r="F180" s="2"/>
      <c r="G180" s="2"/>
      <c r="H180" s="2"/>
      <c r="I180" s="3">
        <f t="shared" si="2"/>
        <v>61</v>
      </c>
    </row>
    <row r="181" spans="1:9" x14ac:dyDescent="0.3">
      <c r="A181" s="2" t="s">
        <v>9567</v>
      </c>
      <c r="B181" s="2" t="s">
        <v>1323</v>
      </c>
      <c r="C181" s="2" t="s">
        <v>354</v>
      </c>
      <c r="D181" s="2" t="s">
        <v>1324</v>
      </c>
      <c r="E181" s="2"/>
      <c r="F181" s="2"/>
      <c r="G181" s="2"/>
      <c r="H181" s="2"/>
      <c r="I181" s="3">
        <f t="shared" si="2"/>
        <v>61</v>
      </c>
    </row>
    <row r="182" spans="1:9" x14ac:dyDescent="0.3">
      <c r="A182" s="2" t="s">
        <v>9568</v>
      </c>
      <c r="B182" s="2" t="s">
        <v>1292</v>
      </c>
      <c r="C182" s="2" t="s">
        <v>1293</v>
      </c>
      <c r="D182" s="2" t="s">
        <v>1294</v>
      </c>
      <c r="E182" s="2" t="s">
        <v>39</v>
      </c>
      <c r="F182" s="2"/>
      <c r="G182" s="2"/>
      <c r="H182" s="2"/>
      <c r="I182" s="3">
        <f t="shared" si="2"/>
        <v>61</v>
      </c>
    </row>
    <row r="183" spans="1:9" x14ac:dyDescent="0.3">
      <c r="A183" s="2" t="s">
        <v>9568</v>
      </c>
      <c r="B183" s="2" t="s">
        <v>323</v>
      </c>
      <c r="C183" s="2" t="s">
        <v>875</v>
      </c>
      <c r="D183" s="2" t="s">
        <v>1309</v>
      </c>
      <c r="E183" s="2"/>
      <c r="F183" s="2"/>
      <c r="G183" s="2"/>
      <c r="H183" s="2"/>
      <c r="I183" s="3">
        <f t="shared" si="2"/>
        <v>61</v>
      </c>
    </row>
    <row r="184" spans="1:9" x14ac:dyDescent="0.3">
      <c r="A184" s="2" t="s">
        <v>9568</v>
      </c>
      <c r="B184" s="2" t="s">
        <v>1328</v>
      </c>
      <c r="C184" s="2" t="s">
        <v>1329</v>
      </c>
      <c r="D184" s="2" t="s">
        <v>1330</v>
      </c>
      <c r="E184" s="2"/>
      <c r="F184" s="2"/>
      <c r="G184" s="2"/>
      <c r="H184" s="2"/>
      <c r="I184" s="3">
        <f t="shared" si="2"/>
        <v>61</v>
      </c>
    </row>
    <row r="185" spans="1:9" x14ac:dyDescent="0.3">
      <c r="A185" s="2" t="s">
        <v>9568</v>
      </c>
      <c r="B185" s="2" t="s">
        <v>1331</v>
      </c>
      <c r="C185" s="2" t="s">
        <v>1332</v>
      </c>
      <c r="D185" s="2" t="s">
        <v>1333</v>
      </c>
      <c r="E185" s="2" t="s">
        <v>39</v>
      </c>
      <c r="F185" s="2"/>
      <c r="G185" s="2"/>
      <c r="H185" s="2"/>
      <c r="I185" s="3">
        <f t="shared" si="2"/>
        <v>61</v>
      </c>
    </row>
    <row r="186" spans="1:9" x14ac:dyDescent="0.3">
      <c r="A186" s="2" t="s">
        <v>9571</v>
      </c>
      <c r="B186" s="2" t="s">
        <v>899</v>
      </c>
      <c r="C186" s="2" t="s">
        <v>186</v>
      </c>
      <c r="D186" s="2" t="s">
        <v>1295</v>
      </c>
      <c r="E186" s="2"/>
      <c r="F186" s="2"/>
      <c r="G186" s="2"/>
      <c r="H186" s="2"/>
      <c r="I186" s="3">
        <f t="shared" si="2"/>
        <v>61</v>
      </c>
    </row>
    <row r="187" spans="1:9" x14ac:dyDescent="0.3">
      <c r="A187" s="2" t="s">
        <v>9571</v>
      </c>
      <c r="B187" s="2" t="s">
        <v>899</v>
      </c>
      <c r="C187" s="2" t="s">
        <v>186</v>
      </c>
      <c r="D187" s="2" t="s">
        <v>1299</v>
      </c>
      <c r="E187" s="2"/>
      <c r="F187" s="2"/>
      <c r="G187" s="2"/>
      <c r="H187" s="2"/>
      <c r="I187" s="3">
        <f t="shared" si="2"/>
        <v>61</v>
      </c>
    </row>
    <row r="188" spans="1:9" x14ac:dyDescent="0.3">
      <c r="A188" s="2" t="s">
        <v>9567</v>
      </c>
      <c r="B188" s="2" t="s">
        <v>336</v>
      </c>
      <c r="C188" s="2" t="s">
        <v>1341</v>
      </c>
      <c r="D188" s="2" t="s">
        <v>1342</v>
      </c>
      <c r="E188" s="2"/>
      <c r="F188" s="2"/>
      <c r="G188" s="2"/>
      <c r="H188" s="2"/>
      <c r="I188" s="3">
        <f t="shared" si="2"/>
        <v>62</v>
      </c>
    </row>
    <row r="189" spans="1:9" x14ac:dyDescent="0.3">
      <c r="A189" s="2" t="s">
        <v>9567</v>
      </c>
      <c r="B189" s="2" t="s">
        <v>1348</v>
      </c>
      <c r="C189" s="2" t="s">
        <v>354</v>
      </c>
      <c r="D189" s="2" t="s">
        <v>1349</v>
      </c>
      <c r="E189" s="2" t="s">
        <v>393</v>
      </c>
      <c r="F189" s="2"/>
      <c r="G189" s="2"/>
      <c r="H189" s="2"/>
      <c r="I189" s="3">
        <f t="shared" si="2"/>
        <v>62</v>
      </c>
    </row>
    <row r="190" spans="1:9" x14ac:dyDescent="0.3">
      <c r="A190" s="2" t="s">
        <v>9567</v>
      </c>
      <c r="B190" s="2" t="s">
        <v>792</v>
      </c>
      <c r="C190" s="2" t="s">
        <v>1379</v>
      </c>
      <c r="D190" s="2" t="s">
        <v>1380</v>
      </c>
      <c r="E190" s="2"/>
      <c r="F190" s="2"/>
      <c r="G190" s="2"/>
      <c r="H190" s="2" t="s">
        <v>646</v>
      </c>
      <c r="I190" s="3">
        <f t="shared" si="2"/>
        <v>62</v>
      </c>
    </row>
    <row r="191" spans="1:9" x14ac:dyDescent="0.3">
      <c r="A191" s="2" t="s">
        <v>9567</v>
      </c>
      <c r="B191" s="2" t="s">
        <v>1390</v>
      </c>
      <c r="C191" s="2" t="s">
        <v>354</v>
      </c>
      <c r="D191" s="2" t="s">
        <v>1391</v>
      </c>
      <c r="E191" s="2" t="s">
        <v>39</v>
      </c>
      <c r="F191" s="2"/>
      <c r="G191" s="2"/>
      <c r="H191" s="2"/>
      <c r="I191" s="3">
        <f t="shared" si="2"/>
        <v>62</v>
      </c>
    </row>
    <row r="192" spans="1:9" x14ac:dyDescent="0.3">
      <c r="A192" s="2" t="s">
        <v>9567</v>
      </c>
      <c r="B192" s="2" t="s">
        <v>1404</v>
      </c>
      <c r="C192" s="2" t="s">
        <v>354</v>
      </c>
      <c r="D192" s="2" t="s">
        <v>1405</v>
      </c>
      <c r="E192" s="2" t="s">
        <v>39</v>
      </c>
      <c r="F192" s="2"/>
      <c r="G192" s="2"/>
      <c r="H192" s="2"/>
      <c r="I192" s="3">
        <f t="shared" si="2"/>
        <v>62</v>
      </c>
    </row>
    <row r="193" spans="1:9" x14ac:dyDescent="0.3">
      <c r="A193" s="2" t="s">
        <v>9568</v>
      </c>
      <c r="B193" s="2" t="s">
        <v>177</v>
      </c>
      <c r="C193" s="2" t="s">
        <v>178</v>
      </c>
      <c r="D193" s="2" t="s">
        <v>1340</v>
      </c>
      <c r="E193" s="2" t="s">
        <v>39</v>
      </c>
      <c r="F193" s="2"/>
      <c r="G193" s="2"/>
      <c r="H193" s="2"/>
      <c r="I193" s="3">
        <f t="shared" si="2"/>
        <v>62</v>
      </c>
    </row>
    <row r="194" spans="1:9" x14ac:dyDescent="0.3">
      <c r="A194" s="2" t="s">
        <v>9568</v>
      </c>
      <c r="B194" s="2" t="s">
        <v>1350</v>
      </c>
      <c r="C194" s="2" t="s">
        <v>1351</v>
      </c>
      <c r="D194" s="2" t="s">
        <v>1352</v>
      </c>
      <c r="E194" s="2"/>
      <c r="F194" s="2"/>
      <c r="G194" s="2"/>
      <c r="H194" s="2"/>
      <c r="I194" s="3">
        <f t="shared" ref="I194:I257" si="3">LEN(D194)</f>
        <v>62</v>
      </c>
    </row>
    <row r="195" spans="1:9" x14ac:dyDescent="0.3">
      <c r="A195" s="2" t="s">
        <v>9568</v>
      </c>
      <c r="B195" s="2" t="s">
        <v>1364</v>
      </c>
      <c r="C195" s="2" t="s">
        <v>875</v>
      </c>
      <c r="D195" s="2" t="s">
        <v>1365</v>
      </c>
      <c r="E195" s="2"/>
      <c r="F195" s="2"/>
      <c r="G195" s="2"/>
      <c r="H195" s="2"/>
      <c r="I195" s="3">
        <f t="shared" si="3"/>
        <v>62</v>
      </c>
    </row>
    <row r="196" spans="1:9" x14ac:dyDescent="0.3">
      <c r="A196" s="2" t="s">
        <v>9568</v>
      </c>
      <c r="B196" s="2" t="s">
        <v>1370</v>
      </c>
      <c r="C196" s="2" t="s">
        <v>1371</v>
      </c>
      <c r="D196" s="2" t="s">
        <v>1372</v>
      </c>
      <c r="E196" s="2" t="s">
        <v>39</v>
      </c>
      <c r="F196" s="2"/>
      <c r="G196" s="2"/>
      <c r="H196" s="2"/>
      <c r="I196" s="3">
        <f t="shared" si="3"/>
        <v>62</v>
      </c>
    </row>
    <row r="197" spans="1:9" x14ac:dyDescent="0.3">
      <c r="A197" s="2" t="s">
        <v>9568</v>
      </c>
      <c r="B197" s="2" t="s">
        <v>1358</v>
      </c>
      <c r="C197" s="2" t="s">
        <v>1359</v>
      </c>
      <c r="D197" s="2" t="s">
        <v>1360</v>
      </c>
      <c r="E197" s="2"/>
      <c r="F197" s="2"/>
      <c r="G197" s="2"/>
      <c r="H197" s="2"/>
      <c r="I197" s="3">
        <f t="shared" si="3"/>
        <v>62</v>
      </c>
    </row>
    <row r="198" spans="1:9" x14ac:dyDescent="0.3">
      <c r="A198" s="2" t="s">
        <v>9568</v>
      </c>
      <c r="B198" s="2" t="s">
        <v>1406</v>
      </c>
      <c r="C198" s="2" t="s">
        <v>856</v>
      </c>
      <c r="D198" s="2" t="s">
        <v>1407</v>
      </c>
      <c r="E198" s="2"/>
      <c r="F198" s="2"/>
      <c r="G198" s="2"/>
      <c r="H198" s="2"/>
      <c r="I198" s="3">
        <f t="shared" si="3"/>
        <v>62</v>
      </c>
    </row>
    <row r="199" spans="1:9" x14ac:dyDescent="0.3">
      <c r="A199" s="2" t="s">
        <v>9568</v>
      </c>
      <c r="B199" s="2" t="s">
        <v>1362</v>
      </c>
      <c r="C199" s="2" t="s">
        <v>828</v>
      </c>
      <c r="D199" s="2" t="s">
        <v>1363</v>
      </c>
      <c r="E199" s="2"/>
      <c r="F199" s="2"/>
      <c r="G199" s="2"/>
      <c r="H199" s="2"/>
      <c r="I199" s="3">
        <f t="shared" si="3"/>
        <v>62</v>
      </c>
    </row>
    <row r="200" spans="1:9" x14ac:dyDescent="0.3">
      <c r="A200" s="2" t="s">
        <v>9569</v>
      </c>
      <c r="B200" s="2" t="s">
        <v>1336</v>
      </c>
      <c r="C200" s="2"/>
      <c r="D200" s="2" t="s">
        <v>1337</v>
      </c>
      <c r="E200" s="2"/>
      <c r="F200" s="2"/>
      <c r="G200" s="2"/>
      <c r="H200" s="2"/>
      <c r="I200" s="3">
        <f t="shared" si="3"/>
        <v>62</v>
      </c>
    </row>
    <row r="201" spans="1:9" x14ac:dyDescent="0.3">
      <c r="A201" s="2" t="s">
        <v>9569</v>
      </c>
      <c r="B201" s="2" t="s">
        <v>1345</v>
      </c>
      <c r="C201" s="2"/>
      <c r="D201" s="2" t="s">
        <v>1346</v>
      </c>
      <c r="E201" s="2"/>
      <c r="F201" s="2"/>
      <c r="G201" s="2"/>
      <c r="H201" s="2"/>
      <c r="I201" s="3">
        <f t="shared" si="3"/>
        <v>62</v>
      </c>
    </row>
    <row r="202" spans="1:9" ht="24" x14ac:dyDescent="0.3">
      <c r="A202" s="2" t="s">
        <v>9571</v>
      </c>
      <c r="B202" s="2" t="s">
        <v>1356</v>
      </c>
      <c r="C202" s="2"/>
      <c r="D202" s="2" t="s">
        <v>1357</v>
      </c>
      <c r="E202" s="2"/>
      <c r="F202" s="2"/>
      <c r="G202" s="2"/>
      <c r="H202" s="2"/>
      <c r="I202" s="3">
        <f t="shared" si="3"/>
        <v>62</v>
      </c>
    </row>
    <row r="203" spans="1:9" x14ac:dyDescent="0.3">
      <c r="A203" s="2" t="s">
        <v>9571</v>
      </c>
      <c r="B203" s="2" t="s">
        <v>1049</v>
      </c>
      <c r="C203" s="2"/>
      <c r="D203" s="2" t="s">
        <v>1361</v>
      </c>
      <c r="E203" s="2"/>
      <c r="F203" s="2"/>
      <c r="G203" s="2"/>
      <c r="H203" s="2"/>
      <c r="I203" s="3">
        <f t="shared" si="3"/>
        <v>62</v>
      </c>
    </row>
    <row r="204" spans="1:9" x14ac:dyDescent="0.3">
      <c r="A204" s="2" t="s">
        <v>9571</v>
      </c>
      <c r="B204" s="2" t="s">
        <v>1353</v>
      </c>
      <c r="C204" s="2" t="s">
        <v>1354</v>
      </c>
      <c r="D204" s="2" t="s">
        <v>1355</v>
      </c>
      <c r="E204" s="2"/>
      <c r="F204" s="2"/>
      <c r="G204" s="2"/>
      <c r="H204" s="2" t="s">
        <v>194</v>
      </c>
      <c r="I204" s="3">
        <f t="shared" si="3"/>
        <v>62</v>
      </c>
    </row>
    <row r="205" spans="1:9" x14ac:dyDescent="0.3">
      <c r="A205" s="2" t="s">
        <v>9567</v>
      </c>
      <c r="B205" s="2" t="s">
        <v>1427</v>
      </c>
      <c r="C205" s="2" t="s">
        <v>500</v>
      </c>
      <c r="D205" s="2" t="s">
        <v>1428</v>
      </c>
      <c r="E205" s="2" t="s">
        <v>39</v>
      </c>
      <c r="F205" s="2"/>
      <c r="G205" s="2"/>
      <c r="H205" s="2" t="s">
        <v>402</v>
      </c>
      <c r="I205" s="3">
        <f t="shared" si="3"/>
        <v>63</v>
      </c>
    </row>
    <row r="206" spans="1:9" x14ac:dyDescent="0.3">
      <c r="A206" s="2" t="s">
        <v>9567</v>
      </c>
      <c r="B206" s="2" t="s">
        <v>1445</v>
      </c>
      <c r="C206" s="2" t="s">
        <v>1446</v>
      </c>
      <c r="D206" s="2" t="s">
        <v>1447</v>
      </c>
      <c r="E206" s="2"/>
      <c r="F206" s="2"/>
      <c r="G206" s="2"/>
      <c r="H206" s="2"/>
      <c r="I206" s="3">
        <f t="shared" si="3"/>
        <v>63</v>
      </c>
    </row>
    <row r="207" spans="1:9" x14ac:dyDescent="0.3">
      <c r="A207" s="2" t="s">
        <v>9567</v>
      </c>
      <c r="B207" s="2" t="s">
        <v>1455</v>
      </c>
      <c r="C207" s="2" t="s">
        <v>354</v>
      </c>
      <c r="D207" s="2" t="s">
        <v>1456</v>
      </c>
      <c r="E207" s="2" t="s">
        <v>39</v>
      </c>
      <c r="F207" s="2"/>
      <c r="G207" s="2"/>
      <c r="H207" s="2"/>
      <c r="I207" s="3">
        <f t="shared" si="3"/>
        <v>63</v>
      </c>
    </row>
    <row r="208" spans="1:9" ht="24" x14ac:dyDescent="0.3">
      <c r="A208" s="2" t="s">
        <v>9568</v>
      </c>
      <c r="B208" s="2" t="s">
        <v>1450</v>
      </c>
      <c r="C208" s="2" t="s">
        <v>1451</v>
      </c>
      <c r="D208" s="2" t="s">
        <v>1452</v>
      </c>
      <c r="E208" s="2"/>
      <c r="F208" s="2"/>
      <c r="G208" s="2"/>
      <c r="H208" s="2"/>
      <c r="I208" s="3">
        <f t="shared" si="3"/>
        <v>63</v>
      </c>
    </row>
    <row r="209" spans="1:9" x14ac:dyDescent="0.3">
      <c r="A209" s="2" t="s">
        <v>9568</v>
      </c>
      <c r="B209" s="2" t="s">
        <v>1474</v>
      </c>
      <c r="C209" s="2" t="s">
        <v>1475</v>
      </c>
      <c r="D209" s="2" t="s">
        <v>1476</v>
      </c>
      <c r="E209" s="2"/>
      <c r="F209" s="2"/>
      <c r="G209" s="2"/>
      <c r="H209" s="2"/>
      <c r="I209" s="3">
        <f t="shared" si="3"/>
        <v>63</v>
      </c>
    </row>
    <row r="210" spans="1:9" ht="24" x14ac:dyDescent="0.3">
      <c r="A210" s="2" t="s">
        <v>9569</v>
      </c>
      <c r="B210" s="2" t="s">
        <v>1448</v>
      </c>
      <c r="C210" s="2" t="s">
        <v>590</v>
      </c>
      <c r="D210" s="2" t="s">
        <v>1449</v>
      </c>
      <c r="E210" s="2"/>
      <c r="F210" s="2"/>
      <c r="G210" s="2"/>
      <c r="H210" s="2"/>
      <c r="I210" s="3">
        <f t="shared" si="3"/>
        <v>63</v>
      </c>
    </row>
    <row r="211" spans="1:9" x14ac:dyDescent="0.3">
      <c r="A211" s="2" t="s">
        <v>9571</v>
      </c>
      <c r="B211" s="2" t="s">
        <v>1422</v>
      </c>
      <c r="C211" s="2"/>
      <c r="D211" s="2" t="s">
        <v>1423</v>
      </c>
      <c r="E211" s="2"/>
      <c r="F211" s="2"/>
      <c r="G211" s="2"/>
      <c r="H211" s="2"/>
      <c r="I211" s="3">
        <f t="shared" si="3"/>
        <v>63</v>
      </c>
    </row>
    <row r="212" spans="1:9" x14ac:dyDescent="0.3">
      <c r="A212" s="2" t="s">
        <v>9567</v>
      </c>
      <c r="B212" s="2" t="s">
        <v>1491</v>
      </c>
      <c r="C212" s="2" t="s">
        <v>500</v>
      </c>
      <c r="D212" s="2" t="s">
        <v>1492</v>
      </c>
      <c r="E212" s="2" t="s">
        <v>39</v>
      </c>
      <c r="F212" s="2"/>
      <c r="G212" s="2"/>
      <c r="H212" s="2" t="s">
        <v>402</v>
      </c>
      <c r="I212" s="3">
        <f t="shared" si="3"/>
        <v>64</v>
      </c>
    </row>
    <row r="213" spans="1:9" x14ac:dyDescent="0.3">
      <c r="A213" s="2" t="s">
        <v>9567</v>
      </c>
      <c r="B213" s="2" t="s">
        <v>1499</v>
      </c>
      <c r="C213" s="2"/>
      <c r="D213" s="2" t="s">
        <v>1500</v>
      </c>
      <c r="E213" s="2" t="s">
        <v>39</v>
      </c>
      <c r="F213" s="2"/>
      <c r="G213" s="2"/>
      <c r="H213" s="2"/>
      <c r="I213" s="3">
        <f t="shared" si="3"/>
        <v>64</v>
      </c>
    </row>
    <row r="214" spans="1:9" x14ac:dyDescent="0.3">
      <c r="A214" s="2" t="s">
        <v>9567</v>
      </c>
      <c r="B214" s="2" t="s">
        <v>1520</v>
      </c>
      <c r="C214" s="2"/>
      <c r="D214" s="2" t="s">
        <v>1521</v>
      </c>
      <c r="E214" s="2"/>
      <c r="F214" s="2"/>
      <c r="G214" s="2"/>
      <c r="H214" s="2"/>
      <c r="I214" s="3">
        <f t="shared" si="3"/>
        <v>64</v>
      </c>
    </row>
    <row r="215" spans="1:9" ht="24" x14ac:dyDescent="0.3">
      <c r="A215" s="2" t="s">
        <v>9567</v>
      </c>
      <c r="B215" s="2" t="s">
        <v>1522</v>
      </c>
      <c r="C215" s="2" t="s">
        <v>354</v>
      </c>
      <c r="D215" s="2" t="s">
        <v>1523</v>
      </c>
      <c r="E215" s="2"/>
      <c r="F215" s="2"/>
      <c r="G215" s="2"/>
      <c r="H215" s="2"/>
      <c r="I215" s="3">
        <f t="shared" si="3"/>
        <v>64</v>
      </c>
    </row>
    <row r="216" spans="1:9" x14ac:dyDescent="0.3">
      <c r="A216" s="2" t="s">
        <v>9567</v>
      </c>
      <c r="B216" s="2" t="s">
        <v>1526</v>
      </c>
      <c r="C216" s="2"/>
      <c r="D216" s="2" t="s">
        <v>1527</v>
      </c>
      <c r="E216" s="2" t="s">
        <v>39</v>
      </c>
      <c r="F216" s="2"/>
      <c r="G216" s="2"/>
      <c r="H216" s="2"/>
      <c r="I216" s="3">
        <f t="shared" si="3"/>
        <v>64</v>
      </c>
    </row>
    <row r="217" spans="1:9" x14ac:dyDescent="0.3">
      <c r="A217" s="2" t="s">
        <v>9568</v>
      </c>
      <c r="B217" s="2" t="s">
        <v>1528</v>
      </c>
      <c r="C217" s="2" t="s">
        <v>1529</v>
      </c>
      <c r="D217" s="2" t="s">
        <v>1530</v>
      </c>
      <c r="E217" s="2" t="s">
        <v>39</v>
      </c>
      <c r="F217" s="2"/>
      <c r="G217" s="2"/>
      <c r="H217" s="2"/>
      <c r="I217" s="3">
        <f t="shared" si="3"/>
        <v>64</v>
      </c>
    </row>
    <row r="218" spans="1:9" x14ac:dyDescent="0.3">
      <c r="A218" s="2" t="s">
        <v>9568</v>
      </c>
      <c r="B218" s="2" t="s">
        <v>748</v>
      </c>
      <c r="C218" s="2" t="s">
        <v>951</v>
      </c>
      <c r="D218" s="2" t="s">
        <v>1531</v>
      </c>
      <c r="E218" s="2" t="s">
        <v>39</v>
      </c>
      <c r="F218" s="2"/>
      <c r="G218" s="2"/>
      <c r="H218" s="2"/>
      <c r="I218" s="3">
        <f t="shared" si="3"/>
        <v>64</v>
      </c>
    </row>
    <row r="219" spans="1:9" x14ac:dyDescent="0.3">
      <c r="A219" s="2" t="s">
        <v>9568</v>
      </c>
      <c r="B219" s="2" t="s">
        <v>1532</v>
      </c>
      <c r="C219" s="2" t="s">
        <v>1533</v>
      </c>
      <c r="D219" s="2" t="s">
        <v>1534</v>
      </c>
      <c r="E219" s="2"/>
      <c r="F219" s="2"/>
      <c r="G219" s="2"/>
      <c r="H219" s="2"/>
      <c r="I219" s="3">
        <f t="shared" si="3"/>
        <v>64</v>
      </c>
    </row>
    <row r="220" spans="1:9" x14ac:dyDescent="0.3">
      <c r="A220" s="2" t="s">
        <v>9569</v>
      </c>
      <c r="B220" s="2" t="s">
        <v>929</v>
      </c>
      <c r="C220" s="2" t="s">
        <v>332</v>
      </c>
      <c r="D220" s="2" t="s">
        <v>1509</v>
      </c>
      <c r="E220" s="2" t="s">
        <v>1510</v>
      </c>
      <c r="F220" s="2"/>
      <c r="G220" s="2"/>
      <c r="H220" s="2"/>
      <c r="I220" s="3">
        <f t="shared" si="3"/>
        <v>64</v>
      </c>
    </row>
    <row r="221" spans="1:9" x14ac:dyDescent="0.3">
      <c r="A221" s="2" t="s">
        <v>9570</v>
      </c>
      <c r="B221" s="2" t="s">
        <v>1483</v>
      </c>
      <c r="C221" s="2"/>
      <c r="D221" s="2" t="s">
        <v>1484</v>
      </c>
      <c r="E221" s="2" t="s">
        <v>39</v>
      </c>
      <c r="F221" s="2"/>
      <c r="G221" s="2"/>
      <c r="H221" s="2"/>
      <c r="I221" s="3">
        <f t="shared" si="3"/>
        <v>64</v>
      </c>
    </row>
    <row r="222" spans="1:9" x14ac:dyDescent="0.3">
      <c r="A222" s="2" t="s">
        <v>9570</v>
      </c>
      <c r="B222" s="2" t="s">
        <v>1485</v>
      </c>
      <c r="C222" s="2"/>
      <c r="D222" s="2" t="s">
        <v>1486</v>
      </c>
      <c r="E222" s="2" t="s">
        <v>39</v>
      </c>
      <c r="F222" s="2"/>
      <c r="G222" s="2"/>
      <c r="H222" s="2"/>
      <c r="I222" s="3">
        <f t="shared" si="3"/>
        <v>64</v>
      </c>
    </row>
    <row r="223" spans="1:9" x14ac:dyDescent="0.3">
      <c r="A223" s="2" t="s">
        <v>9571</v>
      </c>
      <c r="B223" s="2" t="s">
        <v>1503</v>
      </c>
      <c r="C223" s="2" t="s">
        <v>1504</v>
      </c>
      <c r="D223" s="2" t="s">
        <v>1505</v>
      </c>
      <c r="E223" s="2"/>
      <c r="F223" s="2"/>
      <c r="G223" s="2"/>
      <c r="H223" s="2" t="s">
        <v>194</v>
      </c>
      <c r="I223" s="3">
        <f t="shared" si="3"/>
        <v>64</v>
      </c>
    </row>
    <row r="224" spans="1:9" x14ac:dyDescent="0.3">
      <c r="A224" s="2" t="s">
        <v>9571</v>
      </c>
      <c r="B224" s="2" t="s">
        <v>1524</v>
      </c>
      <c r="C224" s="2" t="s">
        <v>186</v>
      </c>
      <c r="D224" s="2" t="s">
        <v>1525</v>
      </c>
      <c r="E224" s="2" t="s">
        <v>39</v>
      </c>
      <c r="F224" s="2"/>
      <c r="G224" s="2"/>
      <c r="H224" s="2"/>
      <c r="I224" s="3">
        <f t="shared" si="3"/>
        <v>64</v>
      </c>
    </row>
    <row r="225" spans="1:9" x14ac:dyDescent="0.3">
      <c r="A225" s="2" t="s">
        <v>9567</v>
      </c>
      <c r="B225" s="2" t="s">
        <v>1535</v>
      </c>
      <c r="C225" s="2" t="s">
        <v>500</v>
      </c>
      <c r="D225" s="2" t="s">
        <v>1536</v>
      </c>
      <c r="E225" s="2" t="s">
        <v>39</v>
      </c>
      <c r="F225" s="2"/>
      <c r="G225" s="2"/>
      <c r="H225" s="2" t="s">
        <v>402</v>
      </c>
      <c r="I225" s="3">
        <f t="shared" si="3"/>
        <v>65</v>
      </c>
    </row>
    <row r="226" spans="1:9" x14ac:dyDescent="0.3">
      <c r="A226" s="2" t="s">
        <v>9568</v>
      </c>
      <c r="B226" s="2" t="s">
        <v>1281</v>
      </c>
      <c r="C226" s="2" t="s">
        <v>263</v>
      </c>
      <c r="D226" s="2" t="s">
        <v>1543</v>
      </c>
      <c r="E226" s="2" t="s">
        <v>379</v>
      </c>
      <c r="F226" s="2"/>
      <c r="G226" s="2"/>
      <c r="H226" s="2"/>
      <c r="I226" s="3">
        <f t="shared" si="3"/>
        <v>65</v>
      </c>
    </row>
    <row r="227" spans="1:9" x14ac:dyDescent="0.3">
      <c r="A227" s="2" t="s">
        <v>9567</v>
      </c>
      <c r="B227" s="2" t="s">
        <v>1546</v>
      </c>
      <c r="C227" s="2" t="s">
        <v>354</v>
      </c>
      <c r="D227" s="2" t="s">
        <v>1547</v>
      </c>
      <c r="E227" s="2"/>
      <c r="F227" s="2"/>
      <c r="G227" s="2"/>
      <c r="H227" s="2" t="s">
        <v>194</v>
      </c>
      <c r="I227" s="3">
        <f t="shared" si="3"/>
        <v>65</v>
      </c>
    </row>
    <row r="228" spans="1:9" x14ac:dyDescent="0.3">
      <c r="A228" s="2" t="s">
        <v>9567</v>
      </c>
      <c r="B228" s="2" t="s">
        <v>1560</v>
      </c>
      <c r="C228" s="2" t="s">
        <v>354</v>
      </c>
      <c r="D228" s="2" t="s">
        <v>1561</v>
      </c>
      <c r="E228" s="2" t="s">
        <v>39</v>
      </c>
      <c r="F228" s="2"/>
      <c r="G228" s="2"/>
      <c r="H228" s="2"/>
      <c r="I228" s="3">
        <f t="shared" si="3"/>
        <v>65</v>
      </c>
    </row>
    <row r="229" spans="1:9" x14ac:dyDescent="0.3">
      <c r="A229" s="2" t="s">
        <v>9567</v>
      </c>
      <c r="B229" s="2" t="s">
        <v>619</v>
      </c>
      <c r="C229" s="2" t="s">
        <v>500</v>
      </c>
      <c r="D229" s="2" t="s">
        <v>1584</v>
      </c>
      <c r="E229" s="2" t="s">
        <v>39</v>
      </c>
      <c r="F229" s="2"/>
      <c r="G229" s="2"/>
      <c r="H229" s="2" t="s">
        <v>402</v>
      </c>
      <c r="I229" s="3">
        <f t="shared" si="3"/>
        <v>65</v>
      </c>
    </row>
    <row r="230" spans="1:9" x14ac:dyDescent="0.3">
      <c r="A230" s="2" t="s">
        <v>9568</v>
      </c>
      <c r="B230" s="2" t="s">
        <v>1574</v>
      </c>
      <c r="C230" s="2" t="s">
        <v>1575</v>
      </c>
      <c r="D230" s="2" t="s">
        <v>1576</v>
      </c>
      <c r="E230" s="2" t="s">
        <v>39</v>
      </c>
      <c r="F230" s="2"/>
      <c r="G230" s="2"/>
      <c r="H230" s="2"/>
      <c r="I230" s="3">
        <f t="shared" si="3"/>
        <v>65</v>
      </c>
    </row>
    <row r="231" spans="1:9" x14ac:dyDescent="0.3">
      <c r="A231" s="2" t="s">
        <v>9568</v>
      </c>
      <c r="B231" s="2" t="s">
        <v>1577</v>
      </c>
      <c r="C231" s="2" t="s">
        <v>1244</v>
      </c>
      <c r="D231" s="2" t="s">
        <v>1578</v>
      </c>
      <c r="E231" s="2" t="s">
        <v>39</v>
      </c>
      <c r="F231" s="2"/>
      <c r="G231" s="2"/>
      <c r="H231" s="2"/>
      <c r="I231" s="3">
        <f t="shared" si="3"/>
        <v>65</v>
      </c>
    </row>
    <row r="232" spans="1:9" x14ac:dyDescent="0.3">
      <c r="A232" s="2" t="s">
        <v>9568</v>
      </c>
      <c r="B232" s="2" t="s">
        <v>1579</v>
      </c>
      <c r="C232" s="2" t="s">
        <v>1580</v>
      </c>
      <c r="D232" s="2" t="s">
        <v>1581</v>
      </c>
      <c r="E232" s="2" t="s">
        <v>39</v>
      </c>
      <c r="F232" s="2"/>
      <c r="G232" s="2"/>
      <c r="H232" s="2"/>
      <c r="I232" s="3">
        <f t="shared" si="3"/>
        <v>65</v>
      </c>
    </row>
    <row r="233" spans="1:9" x14ac:dyDescent="0.3">
      <c r="A233" s="2" t="s">
        <v>9568</v>
      </c>
      <c r="B233" s="2" t="s">
        <v>1577</v>
      </c>
      <c r="C233" s="2" t="s">
        <v>1244</v>
      </c>
      <c r="D233" s="2" t="s">
        <v>1582</v>
      </c>
      <c r="E233" s="2" t="s">
        <v>39</v>
      </c>
      <c r="F233" s="2"/>
      <c r="G233" s="2"/>
      <c r="H233" s="2"/>
      <c r="I233" s="3">
        <f t="shared" si="3"/>
        <v>65</v>
      </c>
    </row>
    <row r="234" spans="1:9" x14ac:dyDescent="0.3">
      <c r="A234" s="2" t="s">
        <v>9568</v>
      </c>
      <c r="B234" s="2" t="s">
        <v>950</v>
      </c>
      <c r="C234" s="2" t="s">
        <v>951</v>
      </c>
      <c r="D234" s="2" t="s">
        <v>1583</v>
      </c>
      <c r="E234" s="2"/>
      <c r="F234" s="2"/>
      <c r="G234" s="2"/>
      <c r="H234" s="2" t="s">
        <v>86</v>
      </c>
      <c r="I234" s="3">
        <f t="shared" si="3"/>
        <v>65</v>
      </c>
    </row>
    <row r="235" spans="1:9" x14ac:dyDescent="0.3">
      <c r="A235" s="2" t="s">
        <v>9569</v>
      </c>
      <c r="B235" s="2" t="s">
        <v>1572</v>
      </c>
      <c r="C235" s="2" t="s">
        <v>125</v>
      </c>
      <c r="D235" s="2" t="s">
        <v>1573</v>
      </c>
      <c r="E235" s="2"/>
      <c r="F235" s="2"/>
      <c r="G235" s="2"/>
      <c r="H235" s="2"/>
      <c r="I235" s="3">
        <f t="shared" si="3"/>
        <v>65</v>
      </c>
    </row>
    <row r="236" spans="1:9" x14ac:dyDescent="0.3">
      <c r="A236" s="2" t="s">
        <v>9570</v>
      </c>
      <c r="B236" s="2" t="s">
        <v>1539</v>
      </c>
      <c r="C236" s="2"/>
      <c r="D236" s="2" t="s">
        <v>1540</v>
      </c>
      <c r="E236" s="2" t="s">
        <v>39</v>
      </c>
      <c r="F236" s="2"/>
      <c r="G236" s="2"/>
      <c r="H236" s="2"/>
      <c r="I236" s="3">
        <f t="shared" si="3"/>
        <v>65</v>
      </c>
    </row>
    <row r="237" spans="1:9" x14ac:dyDescent="0.3">
      <c r="A237" s="2" t="s">
        <v>9570</v>
      </c>
      <c r="B237" s="2" t="s">
        <v>1541</v>
      </c>
      <c r="C237" s="2"/>
      <c r="D237" s="2" t="s">
        <v>1542</v>
      </c>
      <c r="E237" s="2" t="s">
        <v>39</v>
      </c>
      <c r="F237" s="2"/>
      <c r="G237" s="2"/>
      <c r="H237" s="2"/>
      <c r="I237" s="3">
        <f t="shared" si="3"/>
        <v>65</v>
      </c>
    </row>
    <row r="238" spans="1:9" x14ac:dyDescent="0.3">
      <c r="A238" s="2" t="s">
        <v>9571</v>
      </c>
      <c r="B238" s="2" t="s">
        <v>1544</v>
      </c>
      <c r="C238" s="2"/>
      <c r="D238" s="2" t="s">
        <v>1545</v>
      </c>
      <c r="E238" s="2"/>
      <c r="F238" s="2"/>
      <c r="G238" s="2"/>
      <c r="H238" s="2" t="s">
        <v>194</v>
      </c>
      <c r="I238" s="3">
        <f t="shared" si="3"/>
        <v>65</v>
      </c>
    </row>
    <row r="239" spans="1:9" x14ac:dyDescent="0.3">
      <c r="A239" s="2" t="s">
        <v>9571</v>
      </c>
      <c r="B239" s="2" t="s">
        <v>1321</v>
      </c>
      <c r="C239" s="2" t="s">
        <v>14</v>
      </c>
      <c r="D239" s="2" t="s">
        <v>1548</v>
      </c>
      <c r="E239" s="2"/>
      <c r="F239" s="2"/>
      <c r="G239" s="2"/>
      <c r="H239" s="2"/>
      <c r="I239" s="3">
        <f t="shared" si="3"/>
        <v>65</v>
      </c>
    </row>
    <row r="240" spans="1:9" x14ac:dyDescent="0.3">
      <c r="A240" s="2" t="s">
        <v>9567</v>
      </c>
      <c r="B240" s="2" t="s">
        <v>1597</v>
      </c>
      <c r="C240" s="2" t="s">
        <v>354</v>
      </c>
      <c r="D240" s="2" t="s">
        <v>1598</v>
      </c>
      <c r="E240" s="2" t="s">
        <v>39</v>
      </c>
      <c r="F240" s="2"/>
      <c r="G240" s="2"/>
      <c r="H240" s="2"/>
      <c r="I240" s="3">
        <f t="shared" si="3"/>
        <v>66</v>
      </c>
    </row>
    <row r="241" spans="1:9" x14ac:dyDescent="0.3">
      <c r="A241" s="2" t="s">
        <v>9567</v>
      </c>
      <c r="B241" s="2" t="s">
        <v>1628</v>
      </c>
      <c r="C241" s="2" t="s">
        <v>354</v>
      </c>
      <c r="D241" s="2" t="s">
        <v>1629</v>
      </c>
      <c r="E241" s="2"/>
      <c r="F241" s="2"/>
      <c r="G241" s="2"/>
      <c r="H241" s="2"/>
      <c r="I241" s="3">
        <f t="shared" si="3"/>
        <v>66</v>
      </c>
    </row>
    <row r="242" spans="1:9" x14ac:dyDescent="0.3">
      <c r="A242" s="2" t="s">
        <v>9570</v>
      </c>
      <c r="B242" s="2" t="s">
        <v>1591</v>
      </c>
      <c r="C242" s="2"/>
      <c r="D242" s="2" t="s">
        <v>1592</v>
      </c>
      <c r="E242" s="2"/>
      <c r="F242" s="2"/>
      <c r="G242" s="2"/>
      <c r="H242" s="2"/>
      <c r="I242" s="3">
        <f t="shared" si="3"/>
        <v>66</v>
      </c>
    </row>
    <row r="243" spans="1:9" ht="24" x14ac:dyDescent="0.3">
      <c r="A243" s="2" t="s">
        <v>9570</v>
      </c>
      <c r="B243" s="2" t="s">
        <v>1593</v>
      </c>
      <c r="C243" s="2"/>
      <c r="D243" s="2" t="s">
        <v>1594</v>
      </c>
      <c r="E243" s="2"/>
      <c r="F243" s="2"/>
      <c r="G243" s="2"/>
      <c r="H243" s="2"/>
      <c r="I243" s="3">
        <f t="shared" si="3"/>
        <v>66</v>
      </c>
    </row>
    <row r="244" spans="1:9" x14ac:dyDescent="0.3">
      <c r="A244" s="2" t="s">
        <v>9571</v>
      </c>
      <c r="B244" s="2" t="s">
        <v>1585</v>
      </c>
      <c r="C244" s="2" t="s">
        <v>354</v>
      </c>
      <c r="D244" s="2" t="s">
        <v>1586</v>
      </c>
      <c r="E244" s="2" t="s">
        <v>39</v>
      </c>
      <c r="F244" s="2"/>
      <c r="G244" s="2"/>
      <c r="H244" s="2"/>
      <c r="I244" s="3">
        <f t="shared" si="3"/>
        <v>66</v>
      </c>
    </row>
    <row r="245" spans="1:9" x14ac:dyDescent="0.3">
      <c r="A245" s="2" t="s">
        <v>9571</v>
      </c>
      <c r="B245" s="2" t="s">
        <v>1595</v>
      </c>
      <c r="C245" s="2"/>
      <c r="D245" s="2" t="s">
        <v>1596</v>
      </c>
      <c r="E245" s="2"/>
      <c r="F245" s="2"/>
      <c r="G245" s="2"/>
      <c r="H245" s="2"/>
      <c r="I245" s="3">
        <f t="shared" si="3"/>
        <v>66</v>
      </c>
    </row>
    <row r="246" spans="1:9" x14ac:dyDescent="0.3">
      <c r="A246" s="2" t="s">
        <v>9571</v>
      </c>
      <c r="B246" s="2" t="s">
        <v>1601</v>
      </c>
      <c r="C246" s="2"/>
      <c r="D246" s="2" t="s">
        <v>1602</v>
      </c>
      <c r="E246" s="2"/>
      <c r="F246" s="2"/>
      <c r="G246" s="2"/>
      <c r="H246" s="2"/>
      <c r="I246" s="3">
        <f t="shared" si="3"/>
        <v>66</v>
      </c>
    </row>
    <row r="247" spans="1:9" x14ac:dyDescent="0.3">
      <c r="A247" s="2" t="s">
        <v>9567</v>
      </c>
      <c r="B247" s="2" t="s">
        <v>1646</v>
      </c>
      <c r="C247" s="2" t="s">
        <v>1647</v>
      </c>
      <c r="D247" s="2" t="s">
        <v>1648</v>
      </c>
      <c r="E247" s="2"/>
      <c r="F247" s="2"/>
      <c r="G247" s="2"/>
      <c r="H247" s="2"/>
      <c r="I247" s="3">
        <f t="shared" si="3"/>
        <v>67</v>
      </c>
    </row>
    <row r="248" spans="1:9" x14ac:dyDescent="0.3">
      <c r="A248" s="2" t="s">
        <v>9567</v>
      </c>
      <c r="B248" s="2" t="s">
        <v>1688</v>
      </c>
      <c r="C248" s="2" t="s">
        <v>178</v>
      </c>
      <c r="D248" s="2" t="s">
        <v>1689</v>
      </c>
      <c r="E248" s="2"/>
      <c r="F248" s="2"/>
      <c r="G248" s="2"/>
      <c r="H248" s="2"/>
      <c r="I248" s="3">
        <f t="shared" si="3"/>
        <v>67</v>
      </c>
    </row>
    <row r="249" spans="1:9" x14ac:dyDescent="0.3">
      <c r="A249" s="2" t="s">
        <v>9567</v>
      </c>
      <c r="B249" s="2" t="s">
        <v>399</v>
      </c>
      <c r="C249" s="2" t="s">
        <v>500</v>
      </c>
      <c r="D249" s="2" t="s">
        <v>1698</v>
      </c>
      <c r="E249" s="2" t="s">
        <v>39</v>
      </c>
      <c r="F249" s="2"/>
      <c r="G249" s="2"/>
      <c r="H249" s="2" t="s">
        <v>194</v>
      </c>
      <c r="I249" s="3">
        <f t="shared" si="3"/>
        <v>67</v>
      </c>
    </row>
    <row r="250" spans="1:9" x14ac:dyDescent="0.3">
      <c r="A250" s="2" t="s">
        <v>9567</v>
      </c>
      <c r="B250" s="2" t="s">
        <v>619</v>
      </c>
      <c r="C250" s="2" t="s">
        <v>500</v>
      </c>
      <c r="D250" s="2" t="s">
        <v>1699</v>
      </c>
      <c r="E250" s="2" t="s">
        <v>39</v>
      </c>
      <c r="F250" s="2"/>
      <c r="G250" s="2"/>
      <c r="H250" s="2" t="s">
        <v>402</v>
      </c>
      <c r="I250" s="3">
        <f t="shared" si="3"/>
        <v>67</v>
      </c>
    </row>
    <row r="251" spans="1:9" x14ac:dyDescent="0.3">
      <c r="A251" s="2" t="s">
        <v>9568</v>
      </c>
      <c r="B251" s="2" t="s">
        <v>1634</v>
      </c>
      <c r="C251" s="2" t="s">
        <v>345</v>
      </c>
      <c r="D251" s="2" t="s">
        <v>1635</v>
      </c>
      <c r="E251" s="2"/>
      <c r="F251" s="2"/>
      <c r="G251" s="2"/>
      <c r="H251" s="2"/>
      <c r="I251" s="3">
        <f t="shared" si="3"/>
        <v>67</v>
      </c>
    </row>
    <row r="252" spans="1:9" x14ac:dyDescent="0.3">
      <c r="A252" s="2" t="s">
        <v>9568</v>
      </c>
      <c r="B252" s="2" t="s">
        <v>1641</v>
      </c>
      <c r="C252" s="2" t="s">
        <v>1642</v>
      </c>
      <c r="D252" s="2" t="s">
        <v>1643</v>
      </c>
      <c r="E252" s="2"/>
      <c r="F252" s="2"/>
      <c r="G252" s="2"/>
      <c r="H252" s="2" t="s">
        <v>1644</v>
      </c>
      <c r="I252" s="3">
        <f t="shared" si="3"/>
        <v>67</v>
      </c>
    </row>
    <row r="253" spans="1:9" x14ac:dyDescent="0.3">
      <c r="A253" s="2" t="s">
        <v>9568</v>
      </c>
      <c r="B253" s="2" t="s">
        <v>1649</v>
      </c>
      <c r="C253" s="2" t="s">
        <v>828</v>
      </c>
      <c r="D253" s="2" t="s">
        <v>1650</v>
      </c>
      <c r="E253" s="2"/>
      <c r="F253" s="2"/>
      <c r="G253" s="2"/>
      <c r="H253" s="2"/>
      <c r="I253" s="3">
        <f t="shared" si="3"/>
        <v>67</v>
      </c>
    </row>
    <row r="254" spans="1:9" x14ac:dyDescent="0.3">
      <c r="A254" s="2" t="s">
        <v>9568</v>
      </c>
      <c r="B254" s="2" t="s">
        <v>1683</v>
      </c>
      <c r="C254" s="2" t="s">
        <v>1684</v>
      </c>
      <c r="D254" s="2" t="s">
        <v>1685</v>
      </c>
      <c r="E254" s="2"/>
      <c r="F254" s="2"/>
      <c r="G254" s="2"/>
      <c r="H254" s="2"/>
      <c r="I254" s="3">
        <f t="shared" si="3"/>
        <v>67</v>
      </c>
    </row>
    <row r="255" spans="1:9" x14ac:dyDescent="0.3">
      <c r="A255" s="2" t="s">
        <v>9568</v>
      </c>
      <c r="B255" s="2" t="s">
        <v>1690</v>
      </c>
      <c r="C255" s="2" t="s">
        <v>875</v>
      </c>
      <c r="D255" s="2" t="s">
        <v>1691</v>
      </c>
      <c r="E255" s="2" t="s">
        <v>1692</v>
      </c>
      <c r="F255" s="2"/>
      <c r="G255" s="2"/>
      <c r="H255" s="2"/>
      <c r="I255" s="3">
        <f t="shared" si="3"/>
        <v>67</v>
      </c>
    </row>
    <row r="256" spans="1:9" x14ac:dyDescent="0.3">
      <c r="A256" s="2" t="s">
        <v>9568</v>
      </c>
      <c r="B256" s="2" t="s">
        <v>1693</v>
      </c>
      <c r="C256" s="2" t="s">
        <v>1694</v>
      </c>
      <c r="D256" s="2" t="s">
        <v>1695</v>
      </c>
      <c r="E256" s="2" t="s">
        <v>39</v>
      </c>
      <c r="F256" s="2"/>
      <c r="G256" s="2"/>
      <c r="H256" s="2"/>
      <c r="I256" s="3">
        <f t="shared" si="3"/>
        <v>67</v>
      </c>
    </row>
    <row r="257" spans="1:9" x14ac:dyDescent="0.3">
      <c r="A257" s="2" t="s">
        <v>9568</v>
      </c>
      <c r="B257" s="2" t="s">
        <v>1696</v>
      </c>
      <c r="C257" s="2" t="s">
        <v>1244</v>
      </c>
      <c r="D257" s="2" t="s">
        <v>1697</v>
      </c>
      <c r="E257" s="2" t="s">
        <v>39</v>
      </c>
      <c r="F257" s="2"/>
      <c r="G257" s="2"/>
      <c r="H257" s="2"/>
      <c r="I257" s="3">
        <f t="shared" si="3"/>
        <v>67</v>
      </c>
    </row>
    <row r="258" spans="1:9" x14ac:dyDescent="0.3">
      <c r="A258" s="2" t="s">
        <v>9568</v>
      </c>
      <c r="B258" s="2" t="s">
        <v>1638</v>
      </c>
      <c r="C258" s="2" t="s">
        <v>1639</v>
      </c>
      <c r="D258" s="2" t="s">
        <v>1640</v>
      </c>
      <c r="E258" s="2"/>
      <c r="F258" s="2"/>
      <c r="G258" s="2"/>
      <c r="H258" s="2"/>
      <c r="I258" s="3">
        <f t="shared" ref="I258:I321" si="4">LEN(D258)</f>
        <v>67</v>
      </c>
    </row>
    <row r="259" spans="1:9" x14ac:dyDescent="0.3">
      <c r="A259" s="2" t="s">
        <v>9570</v>
      </c>
      <c r="B259" s="2" t="s">
        <v>1636</v>
      </c>
      <c r="C259" s="2" t="s">
        <v>389</v>
      </c>
      <c r="D259" s="2" t="s">
        <v>1637</v>
      </c>
      <c r="E259" s="2" t="s">
        <v>39</v>
      </c>
      <c r="F259" s="2"/>
      <c r="G259" s="2"/>
      <c r="H259" s="2"/>
      <c r="I259" s="3">
        <f t="shared" si="4"/>
        <v>67</v>
      </c>
    </row>
    <row r="260" spans="1:9" x14ac:dyDescent="0.3">
      <c r="A260" s="2" t="s">
        <v>9571</v>
      </c>
      <c r="B260" s="2" t="s">
        <v>1686</v>
      </c>
      <c r="C260" s="2" t="s">
        <v>354</v>
      </c>
      <c r="D260" s="2" t="s">
        <v>1687</v>
      </c>
      <c r="E260" s="2" t="s">
        <v>39</v>
      </c>
      <c r="F260" s="2"/>
      <c r="G260" s="2"/>
      <c r="H260" s="2"/>
      <c r="I260" s="3">
        <f t="shared" si="4"/>
        <v>67</v>
      </c>
    </row>
    <row r="261" spans="1:9" x14ac:dyDescent="0.3">
      <c r="A261" s="2" t="s">
        <v>9567</v>
      </c>
      <c r="B261" s="2" t="s">
        <v>1704</v>
      </c>
      <c r="C261" s="2" t="s">
        <v>354</v>
      </c>
      <c r="D261" s="2" t="s">
        <v>1705</v>
      </c>
      <c r="E261" s="2"/>
      <c r="F261" s="2"/>
      <c r="G261" s="2"/>
      <c r="H261" s="2"/>
      <c r="I261" s="3">
        <f t="shared" si="4"/>
        <v>68</v>
      </c>
    </row>
    <row r="262" spans="1:9" x14ac:dyDescent="0.3">
      <c r="A262" s="2" t="s">
        <v>9567</v>
      </c>
      <c r="B262" s="2" t="s">
        <v>1722</v>
      </c>
      <c r="C262" s="2" t="s">
        <v>691</v>
      </c>
      <c r="D262" s="2" t="s">
        <v>1723</v>
      </c>
      <c r="E262" s="2"/>
      <c r="F262" s="2"/>
      <c r="G262" s="2"/>
      <c r="H262" s="2"/>
      <c r="I262" s="3">
        <f t="shared" si="4"/>
        <v>68</v>
      </c>
    </row>
    <row r="263" spans="1:9" x14ac:dyDescent="0.3">
      <c r="A263" s="2" t="s">
        <v>9567</v>
      </c>
      <c r="B263" s="2" t="s">
        <v>1740</v>
      </c>
      <c r="C263" s="2" t="s">
        <v>1504</v>
      </c>
      <c r="D263" s="2" t="s">
        <v>1741</v>
      </c>
      <c r="E263" s="2"/>
      <c r="F263" s="2"/>
      <c r="G263" s="2"/>
      <c r="H263" s="2" t="s">
        <v>194</v>
      </c>
      <c r="I263" s="3">
        <f t="shared" si="4"/>
        <v>68</v>
      </c>
    </row>
    <row r="264" spans="1:9" x14ac:dyDescent="0.3">
      <c r="A264" s="2" t="s">
        <v>9567</v>
      </c>
      <c r="B264" s="2" t="s">
        <v>1744</v>
      </c>
      <c r="C264" s="2" t="s">
        <v>144</v>
      </c>
      <c r="D264" s="2" t="s">
        <v>1745</v>
      </c>
      <c r="E264" s="2" t="s">
        <v>39</v>
      </c>
      <c r="F264" s="2"/>
      <c r="G264" s="2"/>
      <c r="H264" s="2"/>
      <c r="I264" s="3">
        <f t="shared" si="4"/>
        <v>68</v>
      </c>
    </row>
    <row r="265" spans="1:9" x14ac:dyDescent="0.3">
      <c r="A265" s="2" t="s">
        <v>9568</v>
      </c>
      <c r="B265" s="2" t="s">
        <v>830</v>
      </c>
      <c r="C265" s="2" t="s">
        <v>1702</v>
      </c>
      <c r="D265" s="2" t="s">
        <v>1703</v>
      </c>
      <c r="E265" s="2"/>
      <c r="F265" s="2"/>
      <c r="G265" s="2"/>
      <c r="H265" s="2"/>
      <c r="I265" s="3">
        <f t="shared" si="4"/>
        <v>68</v>
      </c>
    </row>
    <row r="266" spans="1:9" x14ac:dyDescent="0.3">
      <c r="A266" s="2" t="s">
        <v>9568</v>
      </c>
      <c r="B266" s="2" t="s">
        <v>1746</v>
      </c>
      <c r="C266" s="2" t="s">
        <v>268</v>
      </c>
      <c r="D266" s="2" t="s">
        <v>1747</v>
      </c>
      <c r="E266" s="2" t="s">
        <v>39</v>
      </c>
      <c r="F266" s="2"/>
      <c r="G266" s="2"/>
      <c r="H266" s="2"/>
      <c r="I266" s="3">
        <f t="shared" si="4"/>
        <v>68</v>
      </c>
    </row>
    <row r="267" spans="1:9" ht="24" x14ac:dyDescent="0.3">
      <c r="A267" s="2" t="s">
        <v>9569</v>
      </c>
      <c r="B267" s="2" t="s">
        <v>1726</v>
      </c>
      <c r="C267" s="2" t="s">
        <v>590</v>
      </c>
      <c r="D267" s="2" t="s">
        <v>1727</v>
      </c>
      <c r="E267" s="2"/>
      <c r="F267" s="2"/>
      <c r="G267" s="2"/>
      <c r="H267" s="2"/>
      <c r="I267" s="3">
        <f t="shared" si="4"/>
        <v>68</v>
      </c>
    </row>
    <row r="268" spans="1:9" x14ac:dyDescent="0.3">
      <c r="A268" s="2" t="s">
        <v>9571</v>
      </c>
      <c r="B268" s="2" t="s">
        <v>1711</v>
      </c>
      <c r="C268" s="2"/>
      <c r="D268" s="2" t="s">
        <v>1712</v>
      </c>
      <c r="E268" s="2"/>
      <c r="F268" s="2"/>
      <c r="G268" s="2"/>
      <c r="H268" s="2"/>
      <c r="I268" s="3">
        <f t="shared" si="4"/>
        <v>68</v>
      </c>
    </row>
    <row r="269" spans="1:9" x14ac:dyDescent="0.3">
      <c r="A269" s="2" t="s">
        <v>9571</v>
      </c>
      <c r="B269" s="2" t="s">
        <v>1713</v>
      </c>
      <c r="C269" s="2" t="s">
        <v>1244</v>
      </c>
      <c r="D269" s="2" t="s">
        <v>1714</v>
      </c>
      <c r="E269" s="2" t="s">
        <v>39</v>
      </c>
      <c r="F269" s="2"/>
      <c r="G269" s="2"/>
      <c r="H269" s="2"/>
      <c r="I269" s="3">
        <f t="shared" si="4"/>
        <v>68</v>
      </c>
    </row>
    <row r="270" spans="1:9" x14ac:dyDescent="0.3">
      <c r="A270" s="2" t="s">
        <v>9571</v>
      </c>
      <c r="B270" s="2" t="s">
        <v>1734</v>
      </c>
      <c r="C270" s="2"/>
      <c r="D270" s="2" t="s">
        <v>1735</v>
      </c>
      <c r="E270" s="2"/>
      <c r="F270" s="2"/>
      <c r="G270" s="2"/>
      <c r="H270" s="2"/>
      <c r="I270" s="3">
        <f t="shared" si="4"/>
        <v>68</v>
      </c>
    </row>
    <row r="271" spans="1:9" x14ac:dyDescent="0.3">
      <c r="A271" s="2" t="s">
        <v>9571</v>
      </c>
      <c r="B271" s="2" t="s">
        <v>1737</v>
      </c>
      <c r="C271" s="2"/>
      <c r="D271" s="2" t="s">
        <v>1738</v>
      </c>
      <c r="E271" s="2"/>
      <c r="F271" s="2"/>
      <c r="G271" s="2"/>
      <c r="H271" s="2"/>
      <c r="I271" s="3">
        <f t="shared" si="4"/>
        <v>68</v>
      </c>
    </row>
    <row r="272" spans="1:9" x14ac:dyDescent="0.3">
      <c r="A272" s="2" t="s">
        <v>9571</v>
      </c>
      <c r="B272" s="2" t="s">
        <v>1524</v>
      </c>
      <c r="C272" s="2" t="s">
        <v>186</v>
      </c>
      <c r="D272" s="2" t="s">
        <v>1739</v>
      </c>
      <c r="E272" s="2" t="s">
        <v>39</v>
      </c>
      <c r="F272" s="2"/>
      <c r="G272" s="2"/>
      <c r="H272" s="2"/>
      <c r="I272" s="3">
        <f t="shared" si="4"/>
        <v>68</v>
      </c>
    </row>
    <row r="273" spans="1:9" x14ac:dyDescent="0.3">
      <c r="A273" s="2" t="s">
        <v>9567</v>
      </c>
      <c r="B273" s="2" t="s">
        <v>1751</v>
      </c>
      <c r="C273" s="2" t="s">
        <v>354</v>
      </c>
      <c r="D273" s="2" t="s">
        <v>1752</v>
      </c>
      <c r="E273" s="2"/>
      <c r="F273" s="2"/>
      <c r="G273" s="2"/>
      <c r="H273" s="2"/>
      <c r="I273" s="3">
        <f t="shared" si="4"/>
        <v>69</v>
      </c>
    </row>
    <row r="274" spans="1:9" x14ac:dyDescent="0.3">
      <c r="A274" s="2" t="s">
        <v>9567</v>
      </c>
      <c r="B274" s="2" t="s">
        <v>1763</v>
      </c>
      <c r="C274" s="2" t="s">
        <v>354</v>
      </c>
      <c r="D274" s="2" t="s">
        <v>1764</v>
      </c>
      <c r="E274" s="2" t="s">
        <v>39</v>
      </c>
      <c r="F274" s="2"/>
      <c r="G274" s="2"/>
      <c r="H274" s="2"/>
      <c r="I274" s="3">
        <f t="shared" si="4"/>
        <v>69</v>
      </c>
    </row>
    <row r="275" spans="1:9" x14ac:dyDescent="0.3">
      <c r="A275" s="2" t="s">
        <v>9567</v>
      </c>
      <c r="B275" s="2" t="s">
        <v>1769</v>
      </c>
      <c r="C275" s="2" t="s">
        <v>354</v>
      </c>
      <c r="D275" s="2" t="s">
        <v>1770</v>
      </c>
      <c r="E275" s="2" t="s">
        <v>39</v>
      </c>
      <c r="F275" s="2"/>
      <c r="G275" s="2"/>
      <c r="H275" s="2"/>
      <c r="I275" s="3">
        <f t="shared" si="4"/>
        <v>69</v>
      </c>
    </row>
    <row r="276" spans="1:9" x14ac:dyDescent="0.3">
      <c r="A276" s="2" t="s">
        <v>9567</v>
      </c>
      <c r="B276" s="2" t="s">
        <v>9574</v>
      </c>
      <c r="C276" s="2" t="s">
        <v>354</v>
      </c>
      <c r="D276" s="2" t="s">
        <v>1775</v>
      </c>
      <c r="E276" s="2" t="s">
        <v>1776</v>
      </c>
      <c r="F276" s="2"/>
      <c r="G276" s="2"/>
      <c r="H276" s="2"/>
      <c r="I276" s="3">
        <f t="shared" si="4"/>
        <v>69</v>
      </c>
    </row>
    <row r="277" spans="1:9" x14ac:dyDescent="0.3">
      <c r="A277" s="2" t="s">
        <v>9567</v>
      </c>
      <c r="B277" s="2" t="s">
        <v>1800</v>
      </c>
      <c r="C277" s="2" t="s">
        <v>354</v>
      </c>
      <c r="D277" s="2" t="s">
        <v>1801</v>
      </c>
      <c r="E277" s="2" t="s">
        <v>39</v>
      </c>
      <c r="F277" s="2"/>
      <c r="G277" s="2"/>
      <c r="H277" s="2" t="s">
        <v>194</v>
      </c>
      <c r="I277" s="3">
        <f t="shared" si="4"/>
        <v>69</v>
      </c>
    </row>
    <row r="278" spans="1:9" x14ac:dyDescent="0.3">
      <c r="A278" s="2" t="s">
        <v>9568</v>
      </c>
      <c r="B278" s="2" t="s">
        <v>1804</v>
      </c>
      <c r="C278" s="2" t="s">
        <v>1805</v>
      </c>
      <c r="D278" s="2" t="s">
        <v>1806</v>
      </c>
      <c r="E278" s="2" t="s">
        <v>39</v>
      </c>
      <c r="F278" s="2"/>
      <c r="G278" s="2"/>
      <c r="H278" s="2"/>
      <c r="I278" s="3">
        <f t="shared" si="4"/>
        <v>69</v>
      </c>
    </row>
    <row r="279" spans="1:9" ht="24" x14ac:dyDescent="0.3">
      <c r="A279" s="2" t="s">
        <v>9568</v>
      </c>
      <c r="B279" s="2" t="s">
        <v>1807</v>
      </c>
      <c r="C279" s="2" t="s">
        <v>1808</v>
      </c>
      <c r="D279" s="2" t="s">
        <v>1809</v>
      </c>
      <c r="E279" s="2"/>
      <c r="F279" s="2"/>
      <c r="G279" s="2"/>
      <c r="H279" s="2" t="s">
        <v>86</v>
      </c>
      <c r="I279" s="3">
        <f t="shared" si="4"/>
        <v>69</v>
      </c>
    </row>
    <row r="280" spans="1:9" x14ac:dyDescent="0.3">
      <c r="A280" s="2" t="s">
        <v>9569</v>
      </c>
      <c r="B280" s="2" t="s">
        <v>1146</v>
      </c>
      <c r="C280" s="2" t="s">
        <v>332</v>
      </c>
      <c r="D280" s="2" t="s">
        <v>1784</v>
      </c>
      <c r="E280" s="2" t="s">
        <v>1510</v>
      </c>
      <c r="F280" s="2"/>
      <c r="G280" s="2"/>
      <c r="H280" s="2"/>
      <c r="I280" s="3">
        <f t="shared" si="4"/>
        <v>69</v>
      </c>
    </row>
    <row r="281" spans="1:9" x14ac:dyDescent="0.3">
      <c r="A281" s="2" t="s">
        <v>9570</v>
      </c>
      <c r="B281" s="2" t="s">
        <v>1753</v>
      </c>
      <c r="C281" s="2" t="s">
        <v>1754</v>
      </c>
      <c r="D281" s="2" t="s">
        <v>1755</v>
      </c>
      <c r="E281" s="2"/>
      <c r="F281" s="2"/>
      <c r="G281" s="2"/>
      <c r="H281" s="2"/>
      <c r="I281" s="3">
        <f t="shared" si="4"/>
        <v>69</v>
      </c>
    </row>
    <row r="282" spans="1:9" x14ac:dyDescent="0.3">
      <c r="A282" s="2" t="s">
        <v>9570</v>
      </c>
      <c r="B282" s="2" t="s">
        <v>1756</v>
      </c>
      <c r="C282" s="2" t="s">
        <v>1757</v>
      </c>
      <c r="D282" s="2" t="s">
        <v>1758</v>
      </c>
      <c r="E282" s="2"/>
      <c r="F282" s="2"/>
      <c r="G282" s="2"/>
      <c r="H282" s="2"/>
      <c r="I282" s="3">
        <f t="shared" si="4"/>
        <v>69</v>
      </c>
    </row>
    <row r="283" spans="1:9" x14ac:dyDescent="0.3">
      <c r="A283" s="2" t="s">
        <v>9571</v>
      </c>
      <c r="B283" s="2" t="s">
        <v>329</v>
      </c>
      <c r="C283" s="2" t="s">
        <v>329</v>
      </c>
      <c r="D283" s="2" t="s">
        <v>1781</v>
      </c>
      <c r="E283" s="2"/>
      <c r="F283" s="2"/>
      <c r="G283" s="2"/>
      <c r="H283" s="2"/>
      <c r="I283" s="3">
        <f t="shared" si="4"/>
        <v>69</v>
      </c>
    </row>
    <row r="284" spans="1:9" x14ac:dyDescent="0.3">
      <c r="A284" s="2" t="s">
        <v>9571</v>
      </c>
      <c r="B284" s="2" t="s">
        <v>1771</v>
      </c>
      <c r="C284" s="2" t="s">
        <v>1772</v>
      </c>
      <c r="D284" s="2" t="s">
        <v>1773</v>
      </c>
      <c r="E284" s="2"/>
      <c r="F284" s="2"/>
      <c r="G284" s="2"/>
      <c r="H284" s="2"/>
      <c r="I284" s="3">
        <f t="shared" si="4"/>
        <v>69</v>
      </c>
    </row>
    <row r="285" spans="1:9" x14ac:dyDescent="0.3">
      <c r="A285" s="2" t="s">
        <v>9567</v>
      </c>
      <c r="B285" s="2" t="s">
        <v>1751</v>
      </c>
      <c r="C285" s="2" t="s">
        <v>354</v>
      </c>
      <c r="D285" s="2" t="s">
        <v>1812</v>
      </c>
      <c r="E285" s="2"/>
      <c r="F285" s="2"/>
      <c r="G285" s="2"/>
      <c r="H285" s="2"/>
      <c r="I285" s="3">
        <f t="shared" si="4"/>
        <v>70</v>
      </c>
    </row>
    <row r="286" spans="1:9" ht="24" x14ac:dyDescent="0.3">
      <c r="A286" s="2" t="s">
        <v>9567</v>
      </c>
      <c r="B286" s="2" t="s">
        <v>1816</v>
      </c>
      <c r="C286" s="2" t="s">
        <v>389</v>
      </c>
      <c r="D286" s="2" t="s">
        <v>1817</v>
      </c>
      <c r="E286" s="2"/>
      <c r="F286" s="2"/>
      <c r="G286" s="2"/>
      <c r="H286" s="2" t="s">
        <v>194</v>
      </c>
      <c r="I286" s="3">
        <f t="shared" si="4"/>
        <v>70</v>
      </c>
    </row>
    <row r="287" spans="1:9" x14ac:dyDescent="0.3">
      <c r="A287" s="2" t="s">
        <v>9567</v>
      </c>
      <c r="B287" s="2" t="s">
        <v>1818</v>
      </c>
      <c r="C287" s="2" t="s">
        <v>389</v>
      </c>
      <c r="D287" s="2" t="s">
        <v>1828</v>
      </c>
      <c r="E287" s="2"/>
      <c r="F287" s="2"/>
      <c r="G287" s="2"/>
      <c r="H287" s="2"/>
      <c r="I287" s="3">
        <f t="shared" si="4"/>
        <v>70</v>
      </c>
    </row>
    <row r="288" spans="1:9" x14ac:dyDescent="0.3">
      <c r="A288" s="2" t="s">
        <v>9567</v>
      </c>
      <c r="B288" s="2" t="s">
        <v>847</v>
      </c>
      <c r="C288" s="2" t="s">
        <v>354</v>
      </c>
      <c r="D288" s="2" t="s">
        <v>1835</v>
      </c>
      <c r="E288" s="2" t="s">
        <v>39</v>
      </c>
      <c r="F288" s="2"/>
      <c r="G288" s="2"/>
      <c r="H288" s="2"/>
      <c r="I288" s="3">
        <f t="shared" si="4"/>
        <v>70</v>
      </c>
    </row>
    <row r="289" spans="1:9" x14ac:dyDescent="0.3">
      <c r="A289" s="2" t="s">
        <v>9567</v>
      </c>
      <c r="B289" s="2" t="s">
        <v>1842</v>
      </c>
      <c r="C289" s="2" t="s">
        <v>500</v>
      </c>
      <c r="D289" s="2" t="s">
        <v>1843</v>
      </c>
      <c r="E289" s="2" t="s">
        <v>39</v>
      </c>
      <c r="F289" s="2"/>
      <c r="G289" s="2"/>
      <c r="H289" s="2" t="s">
        <v>402</v>
      </c>
      <c r="I289" s="3">
        <f t="shared" si="4"/>
        <v>70</v>
      </c>
    </row>
    <row r="290" spans="1:9" x14ac:dyDescent="0.3">
      <c r="A290" s="2" t="s">
        <v>9567</v>
      </c>
      <c r="B290" s="2" t="s">
        <v>619</v>
      </c>
      <c r="C290" s="2" t="s">
        <v>500</v>
      </c>
      <c r="D290" s="2" t="s">
        <v>1844</v>
      </c>
      <c r="E290" s="2" t="s">
        <v>39</v>
      </c>
      <c r="F290" s="2"/>
      <c r="G290" s="2"/>
      <c r="H290" s="2" t="s">
        <v>402</v>
      </c>
      <c r="I290" s="3">
        <f t="shared" si="4"/>
        <v>70</v>
      </c>
    </row>
    <row r="291" spans="1:9" x14ac:dyDescent="0.3">
      <c r="A291" s="2" t="s">
        <v>9568</v>
      </c>
      <c r="B291" s="2" t="s">
        <v>1825</v>
      </c>
      <c r="C291" s="2" t="s">
        <v>1826</v>
      </c>
      <c r="D291" s="2" t="s">
        <v>1827</v>
      </c>
      <c r="E291" s="2" t="s">
        <v>39</v>
      </c>
      <c r="F291" s="2"/>
      <c r="G291" s="2"/>
      <c r="H291" s="2"/>
      <c r="I291" s="3">
        <f t="shared" si="4"/>
        <v>70</v>
      </c>
    </row>
    <row r="292" spans="1:9" ht="24" x14ac:dyDescent="0.3">
      <c r="A292" s="2" t="s">
        <v>9568</v>
      </c>
      <c r="B292" s="2" t="s">
        <v>1450</v>
      </c>
      <c r="C292" s="2" t="s">
        <v>1451</v>
      </c>
      <c r="D292" s="2" t="s">
        <v>1852</v>
      </c>
      <c r="E292" s="2"/>
      <c r="F292" s="2"/>
      <c r="G292" s="2"/>
      <c r="H292" s="2"/>
      <c r="I292" s="3">
        <f t="shared" si="4"/>
        <v>70</v>
      </c>
    </row>
    <row r="293" spans="1:9" x14ac:dyDescent="0.3">
      <c r="A293" s="2" t="s">
        <v>9568</v>
      </c>
      <c r="B293" s="2" t="s">
        <v>1867</v>
      </c>
      <c r="C293" s="2" t="s">
        <v>259</v>
      </c>
      <c r="D293" s="2" t="s">
        <v>1868</v>
      </c>
      <c r="E293" s="2"/>
      <c r="F293" s="2"/>
      <c r="G293" s="2"/>
      <c r="H293" s="2"/>
      <c r="I293" s="3">
        <f t="shared" si="4"/>
        <v>70</v>
      </c>
    </row>
    <row r="294" spans="1:9" x14ac:dyDescent="0.3">
      <c r="A294" s="2" t="s">
        <v>9570</v>
      </c>
      <c r="B294" s="2" t="s">
        <v>1813</v>
      </c>
      <c r="C294" s="2" t="s">
        <v>1814</v>
      </c>
      <c r="D294" s="2" t="s">
        <v>1815</v>
      </c>
      <c r="E294" s="2"/>
      <c r="F294" s="2"/>
      <c r="G294" s="2"/>
      <c r="H294" s="2"/>
      <c r="I294" s="3">
        <f t="shared" si="4"/>
        <v>70</v>
      </c>
    </row>
    <row r="295" spans="1:9" x14ac:dyDescent="0.3">
      <c r="A295" s="2" t="s">
        <v>9570</v>
      </c>
      <c r="B295" s="2" t="s">
        <v>1818</v>
      </c>
      <c r="C295" s="2" t="s">
        <v>389</v>
      </c>
      <c r="D295" s="2" t="s">
        <v>1819</v>
      </c>
      <c r="E295" s="2"/>
      <c r="F295" s="2"/>
      <c r="G295" s="2"/>
      <c r="H295" s="2"/>
      <c r="I295" s="3">
        <f t="shared" si="4"/>
        <v>70</v>
      </c>
    </row>
    <row r="296" spans="1:9" ht="24" x14ac:dyDescent="0.3">
      <c r="A296" s="2" t="s">
        <v>9570</v>
      </c>
      <c r="B296" s="2" t="s">
        <v>1833</v>
      </c>
      <c r="C296" s="2"/>
      <c r="D296" s="2" t="s">
        <v>1834</v>
      </c>
      <c r="E296" s="2"/>
      <c r="F296" s="2"/>
      <c r="G296" s="2"/>
      <c r="H296" s="2"/>
      <c r="I296" s="3">
        <f t="shared" si="4"/>
        <v>70</v>
      </c>
    </row>
    <row r="297" spans="1:9" ht="24" x14ac:dyDescent="0.3">
      <c r="A297" s="2" t="s">
        <v>9571</v>
      </c>
      <c r="B297" s="2" t="s">
        <v>1836</v>
      </c>
      <c r="C297" s="2"/>
      <c r="D297" s="2" t="s">
        <v>1837</v>
      </c>
      <c r="E297" s="2"/>
      <c r="F297" s="2"/>
      <c r="G297" s="2"/>
      <c r="H297" s="2"/>
      <c r="I297" s="3">
        <f t="shared" si="4"/>
        <v>70</v>
      </c>
    </row>
    <row r="298" spans="1:9" x14ac:dyDescent="0.3">
      <c r="A298" s="2" t="s">
        <v>9571</v>
      </c>
      <c r="B298" s="2" t="s">
        <v>1838</v>
      </c>
      <c r="C298" s="2" t="s">
        <v>81</v>
      </c>
      <c r="D298" s="2" t="s">
        <v>1839</v>
      </c>
      <c r="E298" s="2"/>
      <c r="F298" s="2"/>
      <c r="G298" s="2"/>
      <c r="H298" s="2"/>
      <c r="I298" s="3">
        <f t="shared" si="4"/>
        <v>70</v>
      </c>
    </row>
    <row r="299" spans="1:9" x14ac:dyDescent="0.3">
      <c r="A299" s="2" t="s">
        <v>9567</v>
      </c>
      <c r="B299" s="2" t="s">
        <v>1873</v>
      </c>
      <c r="C299" s="2" t="s">
        <v>354</v>
      </c>
      <c r="D299" s="2" t="s">
        <v>1874</v>
      </c>
      <c r="E299" s="2" t="s">
        <v>39</v>
      </c>
      <c r="F299" s="2"/>
      <c r="G299" s="2"/>
      <c r="H299" s="2"/>
      <c r="I299" s="3">
        <f t="shared" si="4"/>
        <v>71</v>
      </c>
    </row>
    <row r="300" spans="1:9" x14ac:dyDescent="0.3">
      <c r="A300" s="2" t="s">
        <v>9567</v>
      </c>
      <c r="B300" s="2" t="s">
        <v>1924</v>
      </c>
      <c r="C300" s="2" t="s">
        <v>263</v>
      </c>
      <c r="D300" s="2" t="s">
        <v>1925</v>
      </c>
      <c r="E300" s="2" t="s">
        <v>39</v>
      </c>
      <c r="F300" s="2"/>
      <c r="G300" s="2"/>
      <c r="H300" s="2"/>
      <c r="I300" s="3">
        <f t="shared" si="4"/>
        <v>71</v>
      </c>
    </row>
    <row r="301" spans="1:9" x14ac:dyDescent="0.3">
      <c r="A301" s="2" t="s">
        <v>9567</v>
      </c>
      <c r="B301" s="2" t="s">
        <v>1926</v>
      </c>
      <c r="C301" s="2" t="s">
        <v>354</v>
      </c>
      <c r="D301" s="2" t="s">
        <v>1927</v>
      </c>
      <c r="E301" s="2" t="s">
        <v>39</v>
      </c>
      <c r="F301" s="2"/>
      <c r="G301" s="2"/>
      <c r="H301" s="2"/>
      <c r="I301" s="3">
        <f t="shared" si="4"/>
        <v>71</v>
      </c>
    </row>
    <row r="302" spans="1:9" x14ac:dyDescent="0.3">
      <c r="A302" s="2" t="s">
        <v>9567</v>
      </c>
      <c r="B302" s="2" t="s">
        <v>509</v>
      </c>
      <c r="C302" s="2" t="s">
        <v>500</v>
      </c>
      <c r="D302" s="2" t="s">
        <v>1934</v>
      </c>
      <c r="E302" s="2" t="s">
        <v>39</v>
      </c>
      <c r="F302" s="2"/>
      <c r="G302" s="2"/>
      <c r="H302" s="2" t="s">
        <v>402</v>
      </c>
      <c r="I302" s="3">
        <f t="shared" si="4"/>
        <v>71</v>
      </c>
    </row>
    <row r="303" spans="1:9" x14ac:dyDescent="0.3">
      <c r="A303" s="2" t="s">
        <v>9568</v>
      </c>
      <c r="B303" s="2" t="s">
        <v>1638</v>
      </c>
      <c r="C303" s="2" t="s">
        <v>1935</v>
      </c>
      <c r="D303" s="2" t="s">
        <v>1936</v>
      </c>
      <c r="E303" s="2"/>
      <c r="F303" s="2"/>
      <c r="G303" s="2"/>
      <c r="H303" s="2" t="s">
        <v>86</v>
      </c>
      <c r="I303" s="3">
        <f t="shared" si="4"/>
        <v>71</v>
      </c>
    </row>
    <row r="304" spans="1:9" x14ac:dyDescent="0.3">
      <c r="A304" s="2" t="s">
        <v>9568</v>
      </c>
      <c r="B304" s="2" t="s">
        <v>1937</v>
      </c>
      <c r="C304" s="2" t="s">
        <v>1938</v>
      </c>
      <c r="D304" s="2" t="s">
        <v>1939</v>
      </c>
      <c r="E304" s="2"/>
      <c r="F304" s="2"/>
      <c r="G304" s="2"/>
      <c r="H304" s="2"/>
      <c r="I304" s="3">
        <f t="shared" si="4"/>
        <v>71</v>
      </c>
    </row>
    <row r="305" spans="1:9" x14ac:dyDescent="0.3">
      <c r="A305" s="2" t="s">
        <v>9570</v>
      </c>
      <c r="B305" s="2" t="s">
        <v>1871</v>
      </c>
      <c r="C305" s="2" t="s">
        <v>1293</v>
      </c>
      <c r="D305" s="2" t="s">
        <v>1872</v>
      </c>
      <c r="E305" s="2"/>
      <c r="F305" s="2"/>
      <c r="G305" s="2"/>
      <c r="H305" s="2"/>
      <c r="I305" s="3">
        <f t="shared" si="4"/>
        <v>71</v>
      </c>
    </row>
    <row r="306" spans="1:9" ht="24" x14ac:dyDescent="0.3">
      <c r="A306" s="2" t="s">
        <v>9570</v>
      </c>
      <c r="B306" s="2" t="s">
        <v>1885</v>
      </c>
      <c r="C306" s="2"/>
      <c r="D306" s="2" t="s">
        <v>1886</v>
      </c>
      <c r="E306" s="2"/>
      <c r="F306" s="2"/>
      <c r="G306" s="2"/>
      <c r="H306" s="2"/>
      <c r="I306" s="3">
        <f t="shared" si="4"/>
        <v>71</v>
      </c>
    </row>
    <row r="307" spans="1:9" x14ac:dyDescent="0.3">
      <c r="A307" s="2" t="s">
        <v>9571</v>
      </c>
      <c r="B307" s="2" t="s">
        <v>1889</v>
      </c>
      <c r="C307" s="2" t="s">
        <v>1890</v>
      </c>
      <c r="D307" s="2" t="s">
        <v>1891</v>
      </c>
      <c r="E307" s="2"/>
      <c r="F307" s="2"/>
      <c r="G307" s="2"/>
      <c r="H307" s="2"/>
      <c r="I307" s="3">
        <f t="shared" si="4"/>
        <v>71</v>
      </c>
    </row>
    <row r="308" spans="1:9" x14ac:dyDescent="0.3">
      <c r="A308" s="2" t="s">
        <v>9571</v>
      </c>
      <c r="B308" s="2" t="s">
        <v>1524</v>
      </c>
      <c r="C308" s="2" t="s">
        <v>186</v>
      </c>
      <c r="D308" s="2" t="s">
        <v>1881</v>
      </c>
      <c r="E308" s="2"/>
      <c r="F308" s="2"/>
      <c r="G308" s="2"/>
      <c r="H308" s="2"/>
      <c r="I308" s="3">
        <f t="shared" si="4"/>
        <v>71</v>
      </c>
    </row>
    <row r="309" spans="1:9" x14ac:dyDescent="0.3">
      <c r="A309" s="2" t="s">
        <v>9571</v>
      </c>
      <c r="B309" s="2" t="s">
        <v>1197</v>
      </c>
      <c r="C309" s="2" t="s">
        <v>1451</v>
      </c>
      <c r="D309" s="2" t="s">
        <v>1933</v>
      </c>
      <c r="E309" s="2"/>
      <c r="F309" s="2"/>
      <c r="G309" s="2"/>
      <c r="H309" s="2"/>
      <c r="I309" s="3">
        <f t="shared" si="4"/>
        <v>71</v>
      </c>
    </row>
    <row r="310" spans="1:9" x14ac:dyDescent="0.3">
      <c r="A310" s="2" t="s">
        <v>9567</v>
      </c>
      <c r="B310" s="2" t="s">
        <v>509</v>
      </c>
      <c r="C310" s="2" t="s">
        <v>500</v>
      </c>
      <c r="D310" s="2" t="s">
        <v>1957</v>
      </c>
      <c r="E310" s="2" t="s">
        <v>39</v>
      </c>
      <c r="F310" s="2"/>
      <c r="G310" s="2"/>
      <c r="H310" s="2" t="s">
        <v>402</v>
      </c>
      <c r="I310" s="3">
        <f t="shared" si="4"/>
        <v>72</v>
      </c>
    </row>
    <row r="311" spans="1:9" x14ac:dyDescent="0.3">
      <c r="A311" s="2" t="s">
        <v>9567</v>
      </c>
      <c r="B311" s="2" t="s">
        <v>619</v>
      </c>
      <c r="C311" s="2" t="s">
        <v>500</v>
      </c>
      <c r="D311" s="2" t="s">
        <v>1969</v>
      </c>
      <c r="E311" s="2" t="s">
        <v>39</v>
      </c>
      <c r="F311" s="2"/>
      <c r="G311" s="2"/>
      <c r="H311" s="2" t="s">
        <v>402</v>
      </c>
      <c r="I311" s="3">
        <f t="shared" si="4"/>
        <v>72</v>
      </c>
    </row>
    <row r="312" spans="1:9" x14ac:dyDescent="0.3">
      <c r="A312" s="2" t="s">
        <v>9568</v>
      </c>
      <c r="B312" s="2" t="s">
        <v>1974</v>
      </c>
      <c r="C312" s="2" t="s">
        <v>178</v>
      </c>
      <c r="D312" s="2" t="s">
        <v>1975</v>
      </c>
      <c r="E312" s="2" t="s">
        <v>39</v>
      </c>
      <c r="F312" s="2"/>
      <c r="G312" s="2"/>
      <c r="H312" s="2"/>
      <c r="I312" s="3">
        <f t="shared" si="4"/>
        <v>72</v>
      </c>
    </row>
    <row r="313" spans="1:9" x14ac:dyDescent="0.3">
      <c r="A313" s="2" t="s">
        <v>9568</v>
      </c>
      <c r="B313" s="2" t="s">
        <v>1577</v>
      </c>
      <c r="C313" s="2" t="s">
        <v>1244</v>
      </c>
      <c r="D313" s="2" t="s">
        <v>1977</v>
      </c>
      <c r="E313" s="2" t="s">
        <v>39</v>
      </c>
      <c r="F313" s="2"/>
      <c r="G313" s="2"/>
      <c r="H313" s="2"/>
      <c r="I313" s="3">
        <f t="shared" si="4"/>
        <v>72</v>
      </c>
    </row>
    <row r="314" spans="1:9" x14ac:dyDescent="0.3">
      <c r="A314" s="2" t="s">
        <v>9570</v>
      </c>
      <c r="B314" s="2" t="s">
        <v>1940</v>
      </c>
      <c r="C314" s="2" t="s">
        <v>389</v>
      </c>
      <c r="D314" s="2" t="s">
        <v>1941</v>
      </c>
      <c r="E314" s="2"/>
      <c r="F314" s="2"/>
      <c r="G314" s="2"/>
      <c r="H314" s="2"/>
      <c r="I314" s="3">
        <f t="shared" si="4"/>
        <v>72</v>
      </c>
    </row>
    <row r="315" spans="1:9" ht="24" x14ac:dyDescent="0.3">
      <c r="A315" s="2" t="s">
        <v>9571</v>
      </c>
      <c r="B315" s="2" t="s">
        <v>1955</v>
      </c>
      <c r="C315" s="2"/>
      <c r="D315" s="2" t="s">
        <v>1956</v>
      </c>
      <c r="E315" s="2"/>
      <c r="F315" s="2"/>
      <c r="G315" s="2"/>
      <c r="H315" s="2"/>
      <c r="I315" s="3">
        <f t="shared" si="4"/>
        <v>72</v>
      </c>
    </row>
    <row r="316" spans="1:9" x14ac:dyDescent="0.3">
      <c r="A316" s="2" t="s">
        <v>9571</v>
      </c>
      <c r="B316" s="2" t="s">
        <v>1949</v>
      </c>
      <c r="C316" s="2" t="s">
        <v>35</v>
      </c>
      <c r="D316" s="2" t="s">
        <v>1950</v>
      </c>
      <c r="E316" s="2" t="s">
        <v>39</v>
      </c>
      <c r="F316" s="2"/>
      <c r="G316" s="2"/>
      <c r="H316" s="2"/>
      <c r="I316" s="3">
        <f t="shared" si="4"/>
        <v>72</v>
      </c>
    </row>
    <row r="317" spans="1:9" x14ac:dyDescent="0.3">
      <c r="A317" s="2" t="s">
        <v>9571</v>
      </c>
      <c r="B317" s="2" t="s">
        <v>1951</v>
      </c>
      <c r="C317" s="2" t="s">
        <v>14</v>
      </c>
      <c r="D317" s="2" t="s">
        <v>1952</v>
      </c>
      <c r="E317" s="2"/>
      <c r="F317" s="2"/>
      <c r="G317" s="2"/>
      <c r="H317" s="2"/>
      <c r="I317" s="3">
        <f t="shared" si="4"/>
        <v>72</v>
      </c>
    </row>
    <row r="318" spans="1:9" x14ac:dyDescent="0.3">
      <c r="A318" s="2" t="s">
        <v>9567</v>
      </c>
      <c r="B318" s="2" t="s">
        <v>1980</v>
      </c>
      <c r="C318" s="2" t="s">
        <v>354</v>
      </c>
      <c r="D318" s="2" t="s">
        <v>1981</v>
      </c>
      <c r="E318" s="2" t="s">
        <v>39</v>
      </c>
      <c r="F318" s="2"/>
      <c r="G318" s="2"/>
      <c r="H318" s="2"/>
      <c r="I318" s="3">
        <f t="shared" si="4"/>
        <v>73</v>
      </c>
    </row>
    <row r="319" spans="1:9" x14ac:dyDescent="0.3">
      <c r="A319" s="2" t="s">
        <v>9567</v>
      </c>
      <c r="B319" s="2" t="s">
        <v>9573</v>
      </c>
      <c r="C319" s="2" t="s">
        <v>354</v>
      </c>
      <c r="D319" s="2" t="s">
        <v>1998</v>
      </c>
      <c r="E319" s="2" t="s">
        <v>1776</v>
      </c>
      <c r="F319" s="2"/>
      <c r="G319" s="2"/>
      <c r="H319" s="2"/>
      <c r="I319" s="3">
        <f t="shared" si="4"/>
        <v>73</v>
      </c>
    </row>
    <row r="320" spans="1:9" ht="24" x14ac:dyDescent="0.3">
      <c r="A320" s="2" t="s">
        <v>9567</v>
      </c>
      <c r="B320" s="2" t="s">
        <v>2003</v>
      </c>
      <c r="C320" s="2" t="s">
        <v>500</v>
      </c>
      <c r="D320" s="2" t="s">
        <v>2004</v>
      </c>
      <c r="E320" s="2" t="s">
        <v>39</v>
      </c>
      <c r="F320" s="2"/>
      <c r="G320" s="2"/>
      <c r="H320" s="2" t="s">
        <v>402</v>
      </c>
      <c r="I320" s="3">
        <f t="shared" si="4"/>
        <v>73</v>
      </c>
    </row>
    <row r="321" spans="1:9" ht="24" x14ac:dyDescent="0.3">
      <c r="A321" s="2" t="s">
        <v>9567</v>
      </c>
      <c r="B321" s="2" t="s">
        <v>2036</v>
      </c>
      <c r="C321" s="2" t="s">
        <v>263</v>
      </c>
      <c r="D321" s="2" t="s">
        <v>2037</v>
      </c>
      <c r="E321" s="2" t="s">
        <v>39</v>
      </c>
      <c r="F321" s="2"/>
      <c r="G321" s="2"/>
      <c r="H321" s="2"/>
      <c r="I321" s="3">
        <f t="shared" si="4"/>
        <v>73</v>
      </c>
    </row>
    <row r="322" spans="1:9" x14ac:dyDescent="0.3">
      <c r="A322" s="2" t="s">
        <v>9567</v>
      </c>
      <c r="B322" s="2" t="s">
        <v>2038</v>
      </c>
      <c r="C322" s="2" t="s">
        <v>354</v>
      </c>
      <c r="D322" s="2" t="s">
        <v>2039</v>
      </c>
      <c r="E322" s="2"/>
      <c r="F322" s="2"/>
      <c r="G322" s="2"/>
      <c r="H322" s="2"/>
      <c r="I322" s="3">
        <f t="shared" ref="I322:I385" si="5">LEN(D322)</f>
        <v>73</v>
      </c>
    </row>
    <row r="323" spans="1:9" x14ac:dyDescent="0.3">
      <c r="A323" s="2" t="s">
        <v>9567</v>
      </c>
      <c r="B323" s="2" t="s">
        <v>2051</v>
      </c>
      <c r="C323" s="2"/>
      <c r="D323" s="2" t="s">
        <v>2052</v>
      </c>
      <c r="E323" s="2" t="s">
        <v>39</v>
      </c>
      <c r="F323" s="2"/>
      <c r="G323" s="2"/>
      <c r="H323" s="2" t="s">
        <v>402</v>
      </c>
      <c r="I323" s="3">
        <f t="shared" si="5"/>
        <v>73</v>
      </c>
    </row>
    <row r="324" spans="1:9" x14ac:dyDescent="0.3">
      <c r="A324" s="2" t="s">
        <v>9568</v>
      </c>
      <c r="B324" s="2" t="s">
        <v>1982</v>
      </c>
      <c r="C324" s="2" t="s">
        <v>1983</v>
      </c>
      <c r="D324" s="2" t="s">
        <v>1984</v>
      </c>
      <c r="E324" s="2" t="s">
        <v>242</v>
      </c>
      <c r="F324" s="2"/>
      <c r="G324" s="2"/>
      <c r="H324" s="2"/>
      <c r="I324" s="3">
        <f t="shared" si="5"/>
        <v>73</v>
      </c>
    </row>
    <row r="325" spans="1:9" x14ac:dyDescent="0.3">
      <c r="A325" s="2" t="s">
        <v>9568</v>
      </c>
      <c r="B325" s="2" t="s">
        <v>1991</v>
      </c>
      <c r="C325" s="2" t="s">
        <v>1992</v>
      </c>
      <c r="D325" s="2" t="s">
        <v>1993</v>
      </c>
      <c r="E325" s="2" t="s">
        <v>39</v>
      </c>
      <c r="F325" s="2"/>
      <c r="G325" s="2"/>
      <c r="H325" s="2"/>
      <c r="I325" s="3">
        <f t="shared" si="5"/>
        <v>73</v>
      </c>
    </row>
    <row r="326" spans="1:9" ht="24" x14ac:dyDescent="0.3">
      <c r="A326" s="2" t="s">
        <v>9568</v>
      </c>
      <c r="B326" s="2" t="s">
        <v>2045</v>
      </c>
      <c r="C326" s="2" t="s">
        <v>186</v>
      </c>
      <c r="D326" s="2" t="s">
        <v>2046</v>
      </c>
      <c r="E326" s="2"/>
      <c r="F326" s="2"/>
      <c r="G326" s="2"/>
      <c r="H326" s="2" t="s">
        <v>194</v>
      </c>
      <c r="I326" s="3">
        <f t="shared" si="5"/>
        <v>73</v>
      </c>
    </row>
    <row r="327" spans="1:9" x14ac:dyDescent="0.3">
      <c r="A327" s="2" t="s">
        <v>9568</v>
      </c>
      <c r="B327" s="2" t="s">
        <v>2047</v>
      </c>
      <c r="C327" s="2" t="s">
        <v>1313</v>
      </c>
      <c r="D327" s="2" t="s">
        <v>2048</v>
      </c>
      <c r="E327" s="2"/>
      <c r="F327" s="2"/>
      <c r="G327" s="2"/>
      <c r="H327" s="2" t="s">
        <v>194</v>
      </c>
      <c r="I327" s="3">
        <f t="shared" si="5"/>
        <v>73</v>
      </c>
    </row>
    <row r="328" spans="1:9" x14ac:dyDescent="0.3">
      <c r="A328" s="2" t="s">
        <v>9569</v>
      </c>
      <c r="B328" s="2" t="s">
        <v>2005</v>
      </c>
      <c r="C328" s="2" t="s">
        <v>408</v>
      </c>
      <c r="D328" s="2" t="s">
        <v>2006</v>
      </c>
      <c r="E328" s="2"/>
      <c r="F328" s="2"/>
      <c r="G328" s="2"/>
      <c r="H328" s="2"/>
      <c r="I328" s="3">
        <f t="shared" si="5"/>
        <v>73</v>
      </c>
    </row>
    <row r="329" spans="1:9" x14ac:dyDescent="0.3">
      <c r="A329" s="2" t="s">
        <v>9570</v>
      </c>
      <c r="B329" s="2" t="s">
        <v>1978</v>
      </c>
      <c r="C329" s="2" t="s">
        <v>823</v>
      </c>
      <c r="D329" s="2" t="s">
        <v>1979</v>
      </c>
      <c r="E329" s="2"/>
      <c r="F329" s="2"/>
      <c r="G329" s="2"/>
      <c r="H329" s="2"/>
      <c r="I329" s="3">
        <f t="shared" si="5"/>
        <v>73</v>
      </c>
    </row>
    <row r="330" spans="1:9" ht="24" x14ac:dyDescent="0.3">
      <c r="A330" s="2" t="s">
        <v>9570</v>
      </c>
      <c r="B330" s="2" t="s">
        <v>1994</v>
      </c>
      <c r="C330" s="2"/>
      <c r="D330" s="2" t="s">
        <v>1995</v>
      </c>
      <c r="E330" s="2" t="s">
        <v>39</v>
      </c>
      <c r="F330" s="2"/>
      <c r="G330" s="2"/>
      <c r="H330" s="2"/>
      <c r="I330" s="3">
        <f t="shared" si="5"/>
        <v>73</v>
      </c>
    </row>
    <row r="331" spans="1:9" ht="24" x14ac:dyDescent="0.3">
      <c r="A331" s="2" t="s">
        <v>9570</v>
      </c>
      <c r="B331" s="2" t="s">
        <v>1996</v>
      </c>
      <c r="C331" s="2"/>
      <c r="D331" s="2" t="s">
        <v>1997</v>
      </c>
      <c r="E331" s="2" t="s">
        <v>39</v>
      </c>
      <c r="F331" s="2"/>
      <c r="G331" s="2"/>
      <c r="H331" s="2"/>
      <c r="I331" s="3">
        <f t="shared" si="5"/>
        <v>73</v>
      </c>
    </row>
    <row r="332" spans="1:9" ht="24" x14ac:dyDescent="0.3">
      <c r="A332" s="2" t="s">
        <v>9571</v>
      </c>
      <c r="B332" s="2" t="s">
        <v>1999</v>
      </c>
      <c r="C332" s="2"/>
      <c r="D332" s="2" t="s">
        <v>2000</v>
      </c>
      <c r="E332" s="2"/>
      <c r="F332" s="2"/>
      <c r="G332" s="2"/>
      <c r="H332" s="2"/>
      <c r="I332" s="3">
        <f t="shared" si="5"/>
        <v>73</v>
      </c>
    </row>
    <row r="333" spans="1:9" ht="24" x14ac:dyDescent="0.3">
      <c r="A333" s="2" t="s">
        <v>9571</v>
      </c>
      <c r="B333" s="2" t="s">
        <v>2001</v>
      </c>
      <c r="C333" s="2"/>
      <c r="D333" s="2" t="s">
        <v>2002</v>
      </c>
      <c r="E333" s="2"/>
      <c r="F333" s="2"/>
      <c r="G333" s="2"/>
      <c r="H333" s="2"/>
      <c r="I333" s="3">
        <f t="shared" si="5"/>
        <v>73</v>
      </c>
    </row>
    <row r="334" spans="1:9" x14ac:dyDescent="0.3">
      <c r="A334" s="2" t="s">
        <v>9571</v>
      </c>
      <c r="B334" s="2" t="s">
        <v>2007</v>
      </c>
      <c r="C334" s="2"/>
      <c r="D334" s="2" t="s">
        <v>2008</v>
      </c>
      <c r="E334" s="2"/>
      <c r="F334" s="2"/>
      <c r="G334" s="2"/>
      <c r="H334" s="2"/>
      <c r="I334" s="3">
        <f t="shared" si="5"/>
        <v>73</v>
      </c>
    </row>
    <row r="335" spans="1:9" x14ac:dyDescent="0.3">
      <c r="A335" s="2" t="s">
        <v>9567</v>
      </c>
      <c r="B335" s="2" t="s">
        <v>2078</v>
      </c>
      <c r="C335" s="2" t="s">
        <v>691</v>
      </c>
      <c r="D335" s="2" t="s">
        <v>2079</v>
      </c>
      <c r="E335" s="2" t="s">
        <v>39</v>
      </c>
      <c r="F335" s="2"/>
      <c r="G335" s="2"/>
      <c r="H335" s="2"/>
      <c r="I335" s="3">
        <f t="shared" si="5"/>
        <v>74</v>
      </c>
    </row>
    <row r="336" spans="1:9" x14ac:dyDescent="0.3">
      <c r="A336" s="2" t="s">
        <v>9567</v>
      </c>
      <c r="B336" s="2" t="s">
        <v>2100</v>
      </c>
      <c r="C336" s="2" t="s">
        <v>354</v>
      </c>
      <c r="D336" s="2" t="s">
        <v>2101</v>
      </c>
      <c r="E336" s="2"/>
      <c r="F336" s="2"/>
      <c r="G336" s="2"/>
      <c r="H336" s="2"/>
      <c r="I336" s="3">
        <f t="shared" si="5"/>
        <v>74</v>
      </c>
    </row>
    <row r="337" spans="1:9" x14ac:dyDescent="0.3">
      <c r="A337" s="2" t="s">
        <v>9568</v>
      </c>
      <c r="B337" s="2" t="s">
        <v>2053</v>
      </c>
      <c r="C337" s="2" t="s">
        <v>2054</v>
      </c>
      <c r="D337" s="2" t="s">
        <v>2055</v>
      </c>
      <c r="E337" s="2"/>
      <c r="F337" s="2"/>
      <c r="G337" s="2"/>
      <c r="H337" s="2"/>
      <c r="I337" s="3">
        <f t="shared" si="5"/>
        <v>74</v>
      </c>
    </row>
    <row r="338" spans="1:9" ht="24" x14ac:dyDescent="0.3">
      <c r="A338" s="2" t="s">
        <v>9568</v>
      </c>
      <c r="B338" s="2" t="s">
        <v>2072</v>
      </c>
      <c r="C338" s="2" t="s">
        <v>2073</v>
      </c>
      <c r="D338" s="2" t="s">
        <v>2074</v>
      </c>
      <c r="E338" s="2"/>
      <c r="F338" s="2"/>
      <c r="G338" s="2"/>
      <c r="H338" s="2"/>
      <c r="I338" s="3">
        <f t="shared" si="5"/>
        <v>74</v>
      </c>
    </row>
    <row r="339" spans="1:9" x14ac:dyDescent="0.3">
      <c r="A339" s="2" t="s">
        <v>9568</v>
      </c>
      <c r="B339" s="2" t="s">
        <v>2076</v>
      </c>
      <c r="C339" s="2" t="s">
        <v>1639</v>
      </c>
      <c r="D339" s="2" t="s">
        <v>2077</v>
      </c>
      <c r="E339" s="2" t="s">
        <v>1960</v>
      </c>
      <c r="F339" s="2"/>
      <c r="G339" s="2"/>
      <c r="H339" s="2"/>
      <c r="I339" s="3">
        <f t="shared" si="5"/>
        <v>74</v>
      </c>
    </row>
    <row r="340" spans="1:9" x14ac:dyDescent="0.3">
      <c r="A340" s="2" t="s">
        <v>9568</v>
      </c>
      <c r="B340" s="2" t="s">
        <v>2113</v>
      </c>
      <c r="C340" s="2" t="s">
        <v>222</v>
      </c>
      <c r="D340" s="2" t="s">
        <v>2114</v>
      </c>
      <c r="E340" s="2" t="s">
        <v>1510</v>
      </c>
      <c r="F340" s="2"/>
      <c r="G340" s="2"/>
      <c r="H340" s="2"/>
      <c r="I340" s="3">
        <f t="shared" si="5"/>
        <v>74</v>
      </c>
    </row>
    <row r="341" spans="1:9" x14ac:dyDescent="0.3">
      <c r="A341" s="2" t="s">
        <v>9568</v>
      </c>
      <c r="B341" s="2" t="s">
        <v>2115</v>
      </c>
      <c r="C341" s="2" t="s">
        <v>1639</v>
      </c>
      <c r="D341" s="2" t="s">
        <v>2116</v>
      </c>
      <c r="E341" s="2"/>
      <c r="F341" s="2"/>
      <c r="G341" s="2"/>
      <c r="H341" s="2"/>
      <c r="I341" s="3">
        <f t="shared" si="5"/>
        <v>74</v>
      </c>
    </row>
    <row r="342" spans="1:9" ht="24" x14ac:dyDescent="0.3">
      <c r="A342" s="2" t="s">
        <v>9569</v>
      </c>
      <c r="B342" s="2" t="s">
        <v>1448</v>
      </c>
      <c r="C342" s="2" t="s">
        <v>590</v>
      </c>
      <c r="D342" s="2" t="s">
        <v>2084</v>
      </c>
      <c r="E342" s="2" t="s">
        <v>1510</v>
      </c>
      <c r="F342" s="2"/>
      <c r="G342" s="2"/>
      <c r="H342" s="2"/>
      <c r="I342" s="3">
        <f t="shared" si="5"/>
        <v>74</v>
      </c>
    </row>
    <row r="343" spans="1:9" ht="24" x14ac:dyDescent="0.3">
      <c r="A343" s="2" t="s">
        <v>9570</v>
      </c>
      <c r="B343" s="2" t="s">
        <v>2065</v>
      </c>
      <c r="C343" s="2"/>
      <c r="D343" s="2" t="s">
        <v>2066</v>
      </c>
      <c r="E343" s="2"/>
      <c r="F343" s="2"/>
      <c r="G343" s="2"/>
      <c r="H343" s="2"/>
      <c r="I343" s="3">
        <f t="shared" si="5"/>
        <v>74</v>
      </c>
    </row>
    <row r="344" spans="1:9" ht="24" x14ac:dyDescent="0.3">
      <c r="A344" s="2" t="s">
        <v>9570</v>
      </c>
      <c r="B344" s="2" t="s">
        <v>2067</v>
      </c>
      <c r="C344" s="2"/>
      <c r="D344" s="2" t="s">
        <v>2068</v>
      </c>
      <c r="E344" s="2"/>
      <c r="F344" s="2"/>
      <c r="G344" s="2"/>
      <c r="H344" s="2"/>
      <c r="I344" s="3">
        <f t="shared" si="5"/>
        <v>74</v>
      </c>
    </row>
    <row r="345" spans="1:9" x14ac:dyDescent="0.3">
      <c r="A345" s="2" t="s">
        <v>9571</v>
      </c>
      <c r="B345" s="2" t="s">
        <v>2102</v>
      </c>
      <c r="C345" s="2" t="s">
        <v>240</v>
      </c>
      <c r="D345" s="2" t="s">
        <v>2103</v>
      </c>
      <c r="E345" s="2"/>
      <c r="F345" s="2"/>
      <c r="G345" s="2"/>
      <c r="H345" s="2"/>
      <c r="I345" s="3">
        <f t="shared" si="5"/>
        <v>74</v>
      </c>
    </row>
    <row r="346" spans="1:9" x14ac:dyDescent="0.3">
      <c r="A346" s="2" t="s">
        <v>9571</v>
      </c>
      <c r="B346" s="2" t="s">
        <v>2104</v>
      </c>
      <c r="C346" s="2" t="s">
        <v>389</v>
      </c>
      <c r="D346" s="2" t="s">
        <v>2105</v>
      </c>
      <c r="E346" s="2"/>
      <c r="F346" s="2"/>
      <c r="G346" s="2"/>
      <c r="H346" s="2"/>
      <c r="I346" s="3">
        <f t="shared" si="5"/>
        <v>74</v>
      </c>
    </row>
    <row r="347" spans="1:9" x14ac:dyDescent="0.3">
      <c r="A347" s="2" t="s">
        <v>9567</v>
      </c>
      <c r="B347" s="2" t="s">
        <v>2125</v>
      </c>
      <c r="C347" s="2" t="s">
        <v>354</v>
      </c>
      <c r="D347" s="2" t="s">
        <v>2126</v>
      </c>
      <c r="E347" s="2" t="s">
        <v>39</v>
      </c>
      <c r="F347" s="2"/>
      <c r="G347" s="2"/>
      <c r="H347" s="2"/>
      <c r="I347" s="3">
        <f t="shared" si="5"/>
        <v>75</v>
      </c>
    </row>
    <row r="348" spans="1:9" x14ac:dyDescent="0.3">
      <c r="A348" s="2" t="s">
        <v>9567</v>
      </c>
      <c r="B348" s="2" t="s">
        <v>2131</v>
      </c>
      <c r="C348" s="2" t="s">
        <v>268</v>
      </c>
      <c r="D348" s="2" t="s">
        <v>2132</v>
      </c>
      <c r="E348" s="2"/>
      <c r="F348" s="2"/>
      <c r="G348" s="2"/>
      <c r="H348" s="2"/>
      <c r="I348" s="3">
        <f t="shared" si="5"/>
        <v>75</v>
      </c>
    </row>
    <row r="349" spans="1:9" x14ac:dyDescent="0.3">
      <c r="A349" s="2" t="s">
        <v>9567</v>
      </c>
      <c r="B349" s="2" t="s">
        <v>619</v>
      </c>
      <c r="C349" s="2" t="s">
        <v>500</v>
      </c>
      <c r="D349" s="2" t="s">
        <v>2134</v>
      </c>
      <c r="E349" s="2" t="s">
        <v>39</v>
      </c>
      <c r="F349" s="2"/>
      <c r="G349" s="2"/>
      <c r="H349" s="2" t="s">
        <v>402</v>
      </c>
      <c r="I349" s="3">
        <f t="shared" si="5"/>
        <v>75</v>
      </c>
    </row>
    <row r="350" spans="1:9" x14ac:dyDescent="0.3">
      <c r="A350" s="2" t="s">
        <v>9567</v>
      </c>
      <c r="B350" s="2" t="s">
        <v>2141</v>
      </c>
      <c r="C350" s="2" t="s">
        <v>354</v>
      </c>
      <c r="D350" s="2" t="s">
        <v>2142</v>
      </c>
      <c r="E350" s="2" t="s">
        <v>39</v>
      </c>
      <c r="F350" s="2"/>
      <c r="G350" s="2"/>
      <c r="H350" s="2"/>
      <c r="I350" s="3">
        <f t="shared" si="5"/>
        <v>75</v>
      </c>
    </row>
    <row r="351" spans="1:9" x14ac:dyDescent="0.3">
      <c r="A351" s="2" t="s">
        <v>9567</v>
      </c>
      <c r="B351" s="2" t="s">
        <v>2167</v>
      </c>
      <c r="C351" s="2" t="s">
        <v>1647</v>
      </c>
      <c r="D351" s="2" t="s">
        <v>2168</v>
      </c>
      <c r="E351" s="2"/>
      <c r="F351" s="2"/>
      <c r="G351" s="2"/>
      <c r="H351" s="2" t="s">
        <v>1644</v>
      </c>
      <c r="I351" s="3">
        <f t="shared" si="5"/>
        <v>75</v>
      </c>
    </row>
    <row r="352" spans="1:9" x14ac:dyDescent="0.3">
      <c r="A352" s="2" t="s">
        <v>9567</v>
      </c>
      <c r="B352" s="2" t="s">
        <v>2171</v>
      </c>
      <c r="C352" s="2" t="s">
        <v>263</v>
      </c>
      <c r="D352" s="2" t="s">
        <v>2172</v>
      </c>
      <c r="E352" s="2" t="s">
        <v>39</v>
      </c>
      <c r="F352" s="2"/>
      <c r="G352" s="2"/>
      <c r="H352" s="2"/>
      <c r="I352" s="3">
        <f t="shared" si="5"/>
        <v>75</v>
      </c>
    </row>
    <row r="353" spans="1:9" x14ac:dyDescent="0.3">
      <c r="A353" s="2" t="s">
        <v>9568</v>
      </c>
      <c r="B353" s="2" t="s">
        <v>511</v>
      </c>
      <c r="C353" s="2" t="s">
        <v>268</v>
      </c>
      <c r="D353" s="2" t="s">
        <v>2138</v>
      </c>
      <c r="E353" s="2"/>
      <c r="F353" s="2"/>
      <c r="G353" s="2"/>
      <c r="H353" s="2"/>
      <c r="I353" s="3">
        <f t="shared" si="5"/>
        <v>75</v>
      </c>
    </row>
    <row r="354" spans="1:9" x14ac:dyDescent="0.3">
      <c r="A354" s="2" t="s">
        <v>9568</v>
      </c>
      <c r="B354" s="2" t="s">
        <v>1321</v>
      </c>
      <c r="C354" s="2" t="s">
        <v>1935</v>
      </c>
      <c r="D354" s="2" t="s">
        <v>2176</v>
      </c>
      <c r="E354" s="2"/>
      <c r="F354" s="2"/>
      <c r="G354" s="2"/>
      <c r="H354" s="2"/>
      <c r="I354" s="3">
        <f t="shared" si="5"/>
        <v>75</v>
      </c>
    </row>
    <row r="355" spans="1:9" x14ac:dyDescent="0.3">
      <c r="A355" s="2" t="s">
        <v>9569</v>
      </c>
      <c r="B355" s="2" t="s">
        <v>1146</v>
      </c>
      <c r="C355" s="2" t="s">
        <v>332</v>
      </c>
      <c r="D355" s="2" t="s">
        <v>2149</v>
      </c>
      <c r="E355" s="2" t="s">
        <v>1510</v>
      </c>
      <c r="F355" s="2"/>
      <c r="G355" s="2"/>
      <c r="H355" s="2"/>
      <c r="I355" s="3">
        <f t="shared" si="5"/>
        <v>75</v>
      </c>
    </row>
    <row r="356" spans="1:9" x14ac:dyDescent="0.3">
      <c r="A356" s="2" t="s">
        <v>9570</v>
      </c>
      <c r="B356" s="2" t="s">
        <v>2117</v>
      </c>
      <c r="C356" s="2" t="s">
        <v>389</v>
      </c>
      <c r="D356" s="2" t="s">
        <v>2118</v>
      </c>
      <c r="E356" s="2"/>
      <c r="F356" s="2"/>
      <c r="G356" s="2"/>
      <c r="H356" s="2"/>
      <c r="I356" s="3">
        <f t="shared" si="5"/>
        <v>75</v>
      </c>
    </row>
    <row r="357" spans="1:9" ht="36" x14ac:dyDescent="0.3">
      <c r="A357" s="2" t="s">
        <v>9571</v>
      </c>
      <c r="B357" s="2" t="s">
        <v>2122</v>
      </c>
      <c r="C357" s="2" t="s">
        <v>2123</v>
      </c>
      <c r="D357" s="2" t="s">
        <v>2124</v>
      </c>
      <c r="E357" s="2"/>
      <c r="F357" s="2"/>
      <c r="G357" s="2"/>
      <c r="H357" s="2"/>
      <c r="I357" s="3">
        <f t="shared" si="5"/>
        <v>75</v>
      </c>
    </row>
    <row r="358" spans="1:9" ht="24" x14ac:dyDescent="0.3">
      <c r="A358" s="2" t="s">
        <v>9571</v>
      </c>
      <c r="B358" s="2" t="s">
        <v>1999</v>
      </c>
      <c r="C358" s="2"/>
      <c r="D358" s="2" t="s">
        <v>2133</v>
      </c>
      <c r="E358" s="2"/>
      <c r="F358" s="2"/>
      <c r="G358" s="2"/>
      <c r="H358" s="2"/>
      <c r="I358" s="3">
        <f t="shared" si="5"/>
        <v>75</v>
      </c>
    </row>
    <row r="359" spans="1:9" x14ac:dyDescent="0.3">
      <c r="A359" s="2" t="s">
        <v>9567</v>
      </c>
      <c r="B359" s="2" t="s">
        <v>2181</v>
      </c>
      <c r="C359" s="2" t="s">
        <v>911</v>
      </c>
      <c r="D359" s="2" t="s">
        <v>2182</v>
      </c>
      <c r="E359" s="2" t="s">
        <v>39</v>
      </c>
      <c r="F359" s="2"/>
      <c r="G359" s="2"/>
      <c r="H359" s="2"/>
      <c r="I359" s="3">
        <f t="shared" si="5"/>
        <v>76</v>
      </c>
    </row>
    <row r="360" spans="1:9" x14ac:dyDescent="0.3">
      <c r="A360" s="2" t="s">
        <v>9568</v>
      </c>
      <c r="B360" s="2" t="s">
        <v>2184</v>
      </c>
      <c r="C360" s="2" t="s">
        <v>337</v>
      </c>
      <c r="D360" s="2" t="s">
        <v>2185</v>
      </c>
      <c r="E360" s="2"/>
      <c r="F360" s="2"/>
      <c r="G360" s="2"/>
      <c r="H360" s="2"/>
      <c r="I360" s="3">
        <f t="shared" si="5"/>
        <v>76</v>
      </c>
    </row>
    <row r="361" spans="1:9" x14ac:dyDescent="0.3">
      <c r="A361" s="2" t="s">
        <v>9568</v>
      </c>
      <c r="B361" s="2" t="s">
        <v>2214</v>
      </c>
      <c r="C361" s="2" t="s">
        <v>1178</v>
      </c>
      <c r="D361" s="2" t="s">
        <v>2215</v>
      </c>
      <c r="E361" s="2" t="s">
        <v>39</v>
      </c>
      <c r="F361" s="2"/>
      <c r="G361" s="2"/>
      <c r="H361" s="2"/>
      <c r="I361" s="3">
        <f t="shared" si="5"/>
        <v>76</v>
      </c>
    </row>
    <row r="362" spans="1:9" x14ac:dyDescent="0.3">
      <c r="A362" s="2" t="s">
        <v>9569</v>
      </c>
      <c r="B362" s="2" t="s">
        <v>2212</v>
      </c>
      <c r="C362" s="2"/>
      <c r="D362" s="2" t="s">
        <v>2213</v>
      </c>
      <c r="E362" s="2" t="s">
        <v>379</v>
      </c>
      <c r="F362" s="2"/>
      <c r="G362" s="2"/>
      <c r="H362" s="2"/>
      <c r="I362" s="3">
        <f t="shared" si="5"/>
        <v>76</v>
      </c>
    </row>
    <row r="363" spans="1:9" x14ac:dyDescent="0.3">
      <c r="A363" s="2" t="s">
        <v>9567</v>
      </c>
      <c r="B363" s="2" t="s">
        <v>1281</v>
      </c>
      <c r="C363" s="2" t="s">
        <v>263</v>
      </c>
      <c r="D363" s="2" t="s">
        <v>2249</v>
      </c>
      <c r="E363" s="2" t="s">
        <v>2250</v>
      </c>
      <c r="F363" s="2"/>
      <c r="G363" s="2"/>
      <c r="H363" s="2"/>
      <c r="I363" s="3">
        <f t="shared" si="5"/>
        <v>77</v>
      </c>
    </row>
    <row r="364" spans="1:9" x14ac:dyDescent="0.3">
      <c r="A364" s="2" t="s">
        <v>9567</v>
      </c>
      <c r="B364" s="2" t="s">
        <v>2253</v>
      </c>
      <c r="C364" s="2" t="s">
        <v>263</v>
      </c>
      <c r="D364" s="2" t="s">
        <v>2254</v>
      </c>
      <c r="E364" s="2"/>
      <c r="F364" s="2"/>
      <c r="G364" s="2"/>
      <c r="H364" s="2"/>
      <c r="I364" s="3">
        <f t="shared" si="5"/>
        <v>77</v>
      </c>
    </row>
    <row r="365" spans="1:9" x14ac:dyDescent="0.3">
      <c r="A365" s="2" t="s">
        <v>9567</v>
      </c>
      <c r="B365" s="2" t="s">
        <v>1163</v>
      </c>
      <c r="C365" s="2" t="s">
        <v>354</v>
      </c>
      <c r="D365" s="2" t="s">
        <v>2255</v>
      </c>
      <c r="E365" s="2"/>
      <c r="F365" s="2"/>
      <c r="G365" s="2"/>
      <c r="H365" s="2"/>
      <c r="I365" s="3">
        <f t="shared" si="5"/>
        <v>77</v>
      </c>
    </row>
    <row r="366" spans="1:9" ht="24" x14ac:dyDescent="0.3">
      <c r="A366" s="2" t="s">
        <v>9567</v>
      </c>
      <c r="B366" s="2" t="s">
        <v>2256</v>
      </c>
      <c r="C366" s="2" t="s">
        <v>354</v>
      </c>
      <c r="D366" s="2" t="s">
        <v>2257</v>
      </c>
      <c r="E366" s="2" t="s">
        <v>39</v>
      </c>
      <c r="F366" s="2"/>
      <c r="G366" s="2"/>
      <c r="H366" s="2"/>
      <c r="I366" s="3">
        <f t="shared" si="5"/>
        <v>77</v>
      </c>
    </row>
    <row r="367" spans="1:9" ht="24" x14ac:dyDescent="0.3">
      <c r="A367" s="2" t="s">
        <v>9567</v>
      </c>
      <c r="B367" s="2" t="s">
        <v>2258</v>
      </c>
      <c r="C367" s="2" t="s">
        <v>354</v>
      </c>
      <c r="D367" s="2" t="s">
        <v>2259</v>
      </c>
      <c r="E367" s="2" t="s">
        <v>39</v>
      </c>
      <c r="F367" s="2"/>
      <c r="G367" s="2"/>
      <c r="H367" s="2"/>
      <c r="I367" s="3">
        <f t="shared" si="5"/>
        <v>77</v>
      </c>
    </row>
    <row r="368" spans="1:9" ht="24" x14ac:dyDescent="0.3">
      <c r="A368" s="2" t="s">
        <v>9568</v>
      </c>
      <c r="B368" s="2" t="s">
        <v>2260</v>
      </c>
      <c r="C368" s="2" t="s">
        <v>186</v>
      </c>
      <c r="D368" s="2" t="s">
        <v>8719</v>
      </c>
      <c r="E368" s="2" t="s">
        <v>556</v>
      </c>
      <c r="F368" s="2"/>
      <c r="G368" s="2"/>
      <c r="H368" s="2"/>
      <c r="I368" s="3">
        <f t="shared" si="5"/>
        <v>77</v>
      </c>
    </row>
    <row r="369" spans="1:9" x14ac:dyDescent="0.3">
      <c r="A369" s="2" t="s">
        <v>9570</v>
      </c>
      <c r="B369" s="2" t="s">
        <v>2216</v>
      </c>
      <c r="C369" s="2"/>
      <c r="D369" s="2" t="s">
        <v>2217</v>
      </c>
      <c r="E369" s="2" t="s">
        <v>2218</v>
      </c>
      <c r="F369" s="2"/>
      <c r="G369" s="2"/>
      <c r="H369" s="2" t="s">
        <v>194</v>
      </c>
      <c r="I369" s="3">
        <f t="shared" si="5"/>
        <v>77</v>
      </c>
    </row>
    <row r="370" spans="1:9" x14ac:dyDescent="0.3">
      <c r="A370" s="2" t="s">
        <v>9567</v>
      </c>
      <c r="B370" s="2" t="s">
        <v>2270</v>
      </c>
      <c r="C370" s="2" t="s">
        <v>95</v>
      </c>
      <c r="D370" s="2" t="s">
        <v>2271</v>
      </c>
      <c r="E370" s="2" t="s">
        <v>39</v>
      </c>
      <c r="F370" s="2"/>
      <c r="G370" s="2"/>
      <c r="H370" s="2"/>
      <c r="I370" s="3">
        <f t="shared" si="5"/>
        <v>78</v>
      </c>
    </row>
    <row r="371" spans="1:9" ht="24" x14ac:dyDescent="0.3">
      <c r="A371" s="2" t="s">
        <v>9567</v>
      </c>
      <c r="B371" s="2" t="s">
        <v>2278</v>
      </c>
      <c r="C371" s="2" t="s">
        <v>70</v>
      </c>
      <c r="D371" s="2" t="s">
        <v>2279</v>
      </c>
      <c r="E371" s="2"/>
      <c r="F371" s="2"/>
      <c r="G371" s="2"/>
      <c r="H371" s="2"/>
      <c r="I371" s="3">
        <f t="shared" si="5"/>
        <v>78</v>
      </c>
    </row>
    <row r="372" spans="1:9" x14ac:dyDescent="0.3">
      <c r="A372" s="2" t="s">
        <v>9568</v>
      </c>
      <c r="B372" s="2" t="s">
        <v>2268</v>
      </c>
      <c r="C372" s="2" t="s">
        <v>1249</v>
      </c>
      <c r="D372" s="2" t="s">
        <v>2269</v>
      </c>
      <c r="E372" s="2" t="s">
        <v>379</v>
      </c>
      <c r="F372" s="2"/>
      <c r="G372" s="2"/>
      <c r="H372" s="2" t="s">
        <v>646</v>
      </c>
      <c r="I372" s="3">
        <f t="shared" si="5"/>
        <v>78</v>
      </c>
    </row>
    <row r="373" spans="1:9" x14ac:dyDescent="0.3">
      <c r="A373" s="2" t="s">
        <v>9568</v>
      </c>
      <c r="B373" s="2" t="s">
        <v>2304</v>
      </c>
      <c r="C373" s="2" t="s">
        <v>342</v>
      </c>
      <c r="D373" s="2" t="s">
        <v>2305</v>
      </c>
      <c r="E373" s="2"/>
      <c r="F373" s="2"/>
      <c r="G373" s="2"/>
      <c r="H373" s="2"/>
      <c r="I373" s="3">
        <f t="shared" si="5"/>
        <v>78</v>
      </c>
    </row>
    <row r="374" spans="1:9" x14ac:dyDescent="0.3">
      <c r="A374" s="2" t="s">
        <v>9569</v>
      </c>
      <c r="B374" s="2" t="s">
        <v>929</v>
      </c>
      <c r="C374" s="2" t="s">
        <v>332</v>
      </c>
      <c r="D374" s="2" t="s">
        <v>2294</v>
      </c>
      <c r="E374" s="2"/>
      <c r="F374" s="2"/>
      <c r="G374" s="2"/>
      <c r="H374" s="2"/>
      <c r="I374" s="3">
        <f t="shared" si="5"/>
        <v>78</v>
      </c>
    </row>
    <row r="375" spans="1:9" ht="24" x14ac:dyDescent="0.3">
      <c r="A375" s="2" t="s">
        <v>9567</v>
      </c>
      <c r="B375" s="2" t="s">
        <v>2308</v>
      </c>
      <c r="C375" s="2" t="s">
        <v>354</v>
      </c>
      <c r="D375" s="2" t="s">
        <v>2309</v>
      </c>
      <c r="E375" s="2"/>
      <c r="F375" s="2"/>
      <c r="G375" s="2"/>
      <c r="H375" s="2"/>
      <c r="I375" s="3">
        <f t="shared" si="5"/>
        <v>79</v>
      </c>
    </row>
    <row r="376" spans="1:9" x14ac:dyDescent="0.3">
      <c r="A376" s="2" t="s">
        <v>9567</v>
      </c>
      <c r="B376" s="2" t="s">
        <v>1383</v>
      </c>
      <c r="C376" s="2" t="s">
        <v>263</v>
      </c>
      <c r="D376" s="2" t="s">
        <v>2310</v>
      </c>
      <c r="E376" s="2" t="s">
        <v>39</v>
      </c>
      <c r="F376" s="2"/>
      <c r="G376" s="2"/>
      <c r="H376" s="2"/>
      <c r="I376" s="3">
        <f t="shared" si="5"/>
        <v>79</v>
      </c>
    </row>
    <row r="377" spans="1:9" ht="24" x14ac:dyDescent="0.3">
      <c r="A377" s="2" t="s">
        <v>9567</v>
      </c>
      <c r="B377" s="2" t="s">
        <v>830</v>
      </c>
      <c r="C377" s="2" t="s">
        <v>2351</v>
      </c>
      <c r="D377" s="2" t="s">
        <v>2352</v>
      </c>
      <c r="E377" s="2"/>
      <c r="F377" s="2"/>
      <c r="G377" s="2"/>
      <c r="H377" s="2" t="s">
        <v>402</v>
      </c>
      <c r="I377" s="3">
        <f t="shared" si="5"/>
        <v>79</v>
      </c>
    </row>
    <row r="378" spans="1:9" ht="24" x14ac:dyDescent="0.3">
      <c r="A378" s="2" t="s">
        <v>9569</v>
      </c>
      <c r="B378" s="2" t="s">
        <v>1726</v>
      </c>
      <c r="C378" s="2" t="s">
        <v>590</v>
      </c>
      <c r="D378" s="2" t="s">
        <v>2321</v>
      </c>
      <c r="E378" s="2" t="s">
        <v>1510</v>
      </c>
      <c r="F378" s="2"/>
      <c r="G378" s="2"/>
      <c r="H378" s="2"/>
      <c r="I378" s="3">
        <f t="shared" si="5"/>
        <v>79</v>
      </c>
    </row>
    <row r="379" spans="1:9" x14ac:dyDescent="0.3">
      <c r="A379" s="2" t="s">
        <v>9570</v>
      </c>
      <c r="B379" s="2" t="s">
        <v>2347</v>
      </c>
      <c r="C379" s="2" t="s">
        <v>554</v>
      </c>
      <c r="D379" s="2" t="s">
        <v>2348</v>
      </c>
      <c r="E379" s="2"/>
      <c r="F379" s="2"/>
      <c r="G379" s="2"/>
      <c r="H379" s="2"/>
      <c r="I379" s="3">
        <f t="shared" si="5"/>
        <v>79</v>
      </c>
    </row>
    <row r="380" spans="1:9" x14ac:dyDescent="0.3">
      <c r="A380" s="2" t="s">
        <v>9571</v>
      </c>
      <c r="B380" s="2" t="s">
        <v>2306</v>
      </c>
      <c r="C380" s="2" t="s">
        <v>491</v>
      </c>
      <c r="D380" s="2" t="s">
        <v>2307</v>
      </c>
      <c r="E380" s="2" t="s">
        <v>39</v>
      </c>
      <c r="F380" s="2"/>
      <c r="G380" s="2"/>
      <c r="H380" s="2"/>
      <c r="I380" s="3">
        <f t="shared" si="5"/>
        <v>79</v>
      </c>
    </row>
    <row r="381" spans="1:9" x14ac:dyDescent="0.3">
      <c r="A381" s="2" t="s">
        <v>9571</v>
      </c>
      <c r="B381" s="2" t="s">
        <v>1197</v>
      </c>
      <c r="C381" s="2" t="s">
        <v>1313</v>
      </c>
      <c r="D381" s="2" t="s">
        <v>2349</v>
      </c>
      <c r="E381" s="2"/>
      <c r="F381" s="2"/>
      <c r="G381" s="2"/>
      <c r="H381" s="2"/>
      <c r="I381" s="3">
        <f t="shared" si="5"/>
        <v>79</v>
      </c>
    </row>
    <row r="382" spans="1:9" x14ac:dyDescent="0.3">
      <c r="A382" s="2" t="s">
        <v>9568</v>
      </c>
      <c r="B382" s="2" t="s">
        <v>2387</v>
      </c>
      <c r="C382" s="2" t="s">
        <v>2388</v>
      </c>
      <c r="D382" s="2" t="s">
        <v>2389</v>
      </c>
      <c r="E382" s="2" t="s">
        <v>39</v>
      </c>
      <c r="F382" s="2"/>
      <c r="G382" s="2"/>
      <c r="H382" s="2" t="s">
        <v>646</v>
      </c>
      <c r="I382" s="3">
        <f t="shared" si="5"/>
        <v>80</v>
      </c>
    </row>
    <row r="383" spans="1:9" x14ac:dyDescent="0.3">
      <c r="A383" s="2" t="s">
        <v>9569</v>
      </c>
      <c r="B383" s="2" t="s">
        <v>2364</v>
      </c>
      <c r="C383" s="2" t="s">
        <v>2365</v>
      </c>
      <c r="D383" s="2" t="s">
        <v>2366</v>
      </c>
      <c r="E383" s="2"/>
      <c r="F383" s="2"/>
      <c r="G383" s="2"/>
      <c r="H383" s="2"/>
      <c r="I383" s="3">
        <f t="shared" si="5"/>
        <v>80</v>
      </c>
    </row>
    <row r="384" spans="1:9" x14ac:dyDescent="0.3">
      <c r="A384" s="2" t="s">
        <v>9570</v>
      </c>
      <c r="B384" s="2" t="s">
        <v>2361</v>
      </c>
      <c r="C384" s="2" t="s">
        <v>2362</v>
      </c>
      <c r="D384" s="2" t="s">
        <v>2363</v>
      </c>
      <c r="E384" s="2" t="s">
        <v>39</v>
      </c>
      <c r="F384" s="2"/>
      <c r="G384" s="2"/>
      <c r="H384" s="2"/>
      <c r="I384" s="3">
        <f t="shared" si="5"/>
        <v>80</v>
      </c>
    </row>
    <row r="385" spans="1:9" x14ac:dyDescent="0.3">
      <c r="A385" s="2" t="s">
        <v>9571</v>
      </c>
      <c r="B385" s="2" t="s">
        <v>2355</v>
      </c>
      <c r="C385" s="2" t="s">
        <v>807</v>
      </c>
      <c r="D385" s="2" t="s">
        <v>2356</v>
      </c>
      <c r="E385" s="2"/>
      <c r="F385" s="2"/>
      <c r="G385" s="2"/>
      <c r="H385" s="2"/>
      <c r="I385" s="3">
        <f t="shared" si="5"/>
        <v>80</v>
      </c>
    </row>
    <row r="386" spans="1:9" x14ac:dyDescent="0.3">
      <c r="A386" s="2" t="s">
        <v>9567</v>
      </c>
      <c r="B386" s="2" t="s">
        <v>2113</v>
      </c>
      <c r="C386" s="2" t="s">
        <v>1647</v>
      </c>
      <c r="D386" s="2" t="s">
        <v>2405</v>
      </c>
      <c r="E386" s="2"/>
      <c r="F386" s="2"/>
      <c r="G386" s="2"/>
      <c r="H386" s="2"/>
      <c r="I386" s="3">
        <f t="shared" ref="I386:I449" si="6">LEN(D386)</f>
        <v>81</v>
      </c>
    </row>
    <row r="387" spans="1:9" x14ac:dyDescent="0.3">
      <c r="A387" s="2" t="s">
        <v>9567</v>
      </c>
      <c r="B387" s="2" t="s">
        <v>2408</v>
      </c>
      <c r="C387" s="2" t="s">
        <v>354</v>
      </c>
      <c r="D387" s="2" t="s">
        <v>2409</v>
      </c>
      <c r="E387" s="2" t="s">
        <v>39</v>
      </c>
      <c r="F387" s="2"/>
      <c r="G387" s="2"/>
      <c r="H387" s="2"/>
      <c r="I387" s="3">
        <f t="shared" si="6"/>
        <v>81</v>
      </c>
    </row>
    <row r="388" spans="1:9" ht="24" x14ac:dyDescent="0.3">
      <c r="A388" s="2" t="s">
        <v>9567</v>
      </c>
      <c r="B388" s="2" t="s">
        <v>2444</v>
      </c>
      <c r="C388" s="2" t="s">
        <v>354</v>
      </c>
      <c r="D388" s="2" t="s">
        <v>2445</v>
      </c>
      <c r="E388" s="2" t="s">
        <v>39</v>
      </c>
      <c r="F388" s="2"/>
      <c r="G388" s="2"/>
      <c r="H388" s="2"/>
      <c r="I388" s="3">
        <f t="shared" si="6"/>
        <v>81</v>
      </c>
    </row>
    <row r="389" spans="1:9" ht="24" x14ac:dyDescent="0.3">
      <c r="A389" s="2" t="s">
        <v>9568</v>
      </c>
      <c r="B389" s="2" t="s">
        <v>2442</v>
      </c>
      <c r="C389" s="2" t="s">
        <v>2054</v>
      </c>
      <c r="D389" s="2" t="s">
        <v>2443</v>
      </c>
      <c r="E389" s="2"/>
      <c r="F389" s="2"/>
      <c r="G389" s="2"/>
      <c r="H389" s="2"/>
      <c r="I389" s="3">
        <f t="shared" si="6"/>
        <v>81</v>
      </c>
    </row>
    <row r="390" spans="1:9" x14ac:dyDescent="0.3">
      <c r="A390" s="2" t="s">
        <v>9568</v>
      </c>
      <c r="B390" s="2" t="s">
        <v>2458</v>
      </c>
      <c r="C390" s="2" t="s">
        <v>1639</v>
      </c>
      <c r="D390" s="2" t="s">
        <v>2459</v>
      </c>
      <c r="E390" s="2"/>
      <c r="F390" s="2"/>
      <c r="G390" s="2"/>
      <c r="H390" s="2"/>
      <c r="I390" s="3">
        <f t="shared" si="6"/>
        <v>81</v>
      </c>
    </row>
    <row r="391" spans="1:9" ht="24" x14ac:dyDescent="0.3">
      <c r="A391" s="2" t="s">
        <v>9568</v>
      </c>
      <c r="B391" s="2" t="s">
        <v>2460</v>
      </c>
      <c r="C391" s="2" t="s">
        <v>2461</v>
      </c>
      <c r="D391" s="2" t="s">
        <v>2462</v>
      </c>
      <c r="E391" s="2"/>
      <c r="F391" s="2"/>
      <c r="G391" s="2"/>
      <c r="H391" s="2"/>
      <c r="I391" s="3">
        <f t="shared" si="6"/>
        <v>81</v>
      </c>
    </row>
    <row r="392" spans="1:9" x14ac:dyDescent="0.3">
      <c r="A392" s="2" t="s">
        <v>9569</v>
      </c>
      <c r="B392" s="2" t="s">
        <v>2390</v>
      </c>
      <c r="C392" s="2" t="s">
        <v>14</v>
      </c>
      <c r="D392" s="2" t="s">
        <v>2391</v>
      </c>
      <c r="E392" s="2"/>
      <c r="F392" s="2"/>
      <c r="G392" s="2"/>
      <c r="H392" s="2"/>
      <c r="I392" s="3">
        <f t="shared" si="6"/>
        <v>81</v>
      </c>
    </row>
    <row r="393" spans="1:9" x14ac:dyDescent="0.3">
      <c r="A393" s="2" t="s">
        <v>9571</v>
      </c>
      <c r="B393" s="2" t="s">
        <v>2398</v>
      </c>
      <c r="C393" s="2" t="s">
        <v>1236</v>
      </c>
      <c r="D393" s="2" t="s">
        <v>2399</v>
      </c>
      <c r="E393" s="2" t="s">
        <v>39</v>
      </c>
      <c r="F393" s="2"/>
      <c r="G393" s="2"/>
      <c r="H393" s="2" t="s">
        <v>1176</v>
      </c>
      <c r="I393" s="3">
        <f t="shared" si="6"/>
        <v>81</v>
      </c>
    </row>
    <row r="394" spans="1:9" x14ac:dyDescent="0.3">
      <c r="A394" s="2" t="s">
        <v>9571</v>
      </c>
      <c r="B394" s="2" t="s">
        <v>2400</v>
      </c>
      <c r="C394" s="2" t="s">
        <v>291</v>
      </c>
      <c r="D394" s="2" t="s">
        <v>2401</v>
      </c>
      <c r="E394" s="2" t="s">
        <v>211</v>
      </c>
      <c r="F394" s="2"/>
      <c r="G394" s="2"/>
      <c r="H394" s="2"/>
      <c r="I394" s="3">
        <f t="shared" si="6"/>
        <v>81</v>
      </c>
    </row>
    <row r="395" spans="1:9" x14ac:dyDescent="0.3">
      <c r="A395" s="2" t="s">
        <v>9571</v>
      </c>
      <c r="B395" s="2" t="s">
        <v>2403</v>
      </c>
      <c r="C395" s="2"/>
      <c r="D395" s="2" t="s">
        <v>2404</v>
      </c>
      <c r="E395" s="2"/>
      <c r="F395" s="2"/>
      <c r="G395" s="2"/>
      <c r="H395" s="2"/>
      <c r="I395" s="3">
        <f t="shared" si="6"/>
        <v>81</v>
      </c>
    </row>
    <row r="396" spans="1:9" x14ac:dyDescent="0.3">
      <c r="A396" s="2" t="s">
        <v>9567</v>
      </c>
      <c r="B396" s="2" t="s">
        <v>2473</v>
      </c>
      <c r="C396" s="2" t="s">
        <v>354</v>
      </c>
      <c r="D396" s="2" t="s">
        <v>2474</v>
      </c>
      <c r="E396" s="2" t="s">
        <v>39</v>
      </c>
      <c r="F396" s="2"/>
      <c r="G396" s="2"/>
      <c r="H396" s="2"/>
      <c r="I396" s="3">
        <f t="shared" si="6"/>
        <v>82</v>
      </c>
    </row>
    <row r="397" spans="1:9" x14ac:dyDescent="0.3">
      <c r="A397" s="2" t="s">
        <v>9567</v>
      </c>
      <c r="B397" s="2" t="s">
        <v>2482</v>
      </c>
      <c r="C397" s="2" t="s">
        <v>354</v>
      </c>
      <c r="D397" s="2" t="s">
        <v>2483</v>
      </c>
      <c r="E397" s="2" t="s">
        <v>39</v>
      </c>
      <c r="F397" s="2"/>
      <c r="G397" s="2"/>
      <c r="H397" s="2"/>
      <c r="I397" s="3">
        <f t="shared" si="6"/>
        <v>82</v>
      </c>
    </row>
    <row r="398" spans="1:9" x14ac:dyDescent="0.3">
      <c r="A398" s="2" t="s">
        <v>9567</v>
      </c>
      <c r="B398" s="2" t="s">
        <v>619</v>
      </c>
      <c r="C398" s="2" t="s">
        <v>500</v>
      </c>
      <c r="D398" s="2" t="s">
        <v>2509</v>
      </c>
      <c r="E398" s="2" t="s">
        <v>39</v>
      </c>
      <c r="F398" s="2"/>
      <c r="G398" s="2"/>
      <c r="H398" s="2" t="s">
        <v>402</v>
      </c>
      <c r="I398" s="3">
        <f t="shared" si="6"/>
        <v>82</v>
      </c>
    </row>
    <row r="399" spans="1:9" x14ac:dyDescent="0.3">
      <c r="A399" s="2" t="s">
        <v>9568</v>
      </c>
      <c r="B399" s="2" t="s">
        <v>2467</v>
      </c>
      <c r="C399" s="2" t="s">
        <v>268</v>
      </c>
      <c r="D399" s="2" t="s">
        <v>2468</v>
      </c>
      <c r="E399" s="2"/>
      <c r="F399" s="2"/>
      <c r="G399" s="2"/>
      <c r="H399" s="2" t="s">
        <v>646</v>
      </c>
      <c r="I399" s="3">
        <f t="shared" si="6"/>
        <v>82</v>
      </c>
    </row>
    <row r="400" spans="1:9" x14ac:dyDescent="0.3">
      <c r="A400" s="2" t="s">
        <v>9568</v>
      </c>
      <c r="B400" s="2" t="s">
        <v>1292</v>
      </c>
      <c r="C400" s="2" t="s">
        <v>1293</v>
      </c>
      <c r="D400" s="2" t="s">
        <v>2510</v>
      </c>
      <c r="E400" s="2"/>
      <c r="F400" s="2"/>
      <c r="G400" s="2"/>
      <c r="H400" s="2"/>
      <c r="I400" s="3">
        <f t="shared" si="6"/>
        <v>82</v>
      </c>
    </row>
    <row r="401" spans="1:9" x14ac:dyDescent="0.3">
      <c r="A401" s="2" t="s">
        <v>9568</v>
      </c>
      <c r="B401" s="2" t="s">
        <v>2518</v>
      </c>
      <c r="C401" s="2" t="s">
        <v>2519</v>
      </c>
      <c r="D401" s="2" t="s">
        <v>2520</v>
      </c>
      <c r="E401" s="2" t="s">
        <v>39</v>
      </c>
      <c r="F401" s="2"/>
      <c r="G401" s="2"/>
      <c r="H401" s="2"/>
      <c r="I401" s="3">
        <f t="shared" si="6"/>
        <v>82</v>
      </c>
    </row>
    <row r="402" spans="1:9" x14ac:dyDescent="0.3">
      <c r="A402" s="2" t="s">
        <v>9569</v>
      </c>
      <c r="B402" s="2" t="s">
        <v>2475</v>
      </c>
      <c r="C402" s="2"/>
      <c r="D402" s="2" t="s">
        <v>2476</v>
      </c>
      <c r="E402" s="2" t="s">
        <v>2477</v>
      </c>
      <c r="F402" s="2"/>
      <c r="G402" s="2"/>
      <c r="H402" s="2"/>
      <c r="I402" s="3">
        <f t="shared" si="6"/>
        <v>82</v>
      </c>
    </row>
    <row r="403" spans="1:9" x14ac:dyDescent="0.3">
      <c r="A403" s="2" t="s">
        <v>9570</v>
      </c>
      <c r="B403" s="2" t="s">
        <v>2469</v>
      </c>
      <c r="C403" s="2"/>
      <c r="D403" s="2" t="s">
        <v>2470</v>
      </c>
      <c r="E403" s="2" t="s">
        <v>39</v>
      </c>
      <c r="F403" s="2"/>
      <c r="G403" s="2"/>
      <c r="H403" s="2"/>
      <c r="I403" s="3">
        <f t="shared" si="6"/>
        <v>82</v>
      </c>
    </row>
    <row r="404" spans="1:9" x14ac:dyDescent="0.3">
      <c r="A404" s="2" t="s">
        <v>9571</v>
      </c>
      <c r="B404" s="2" t="s">
        <v>2480</v>
      </c>
      <c r="C404" s="2" t="s">
        <v>240</v>
      </c>
      <c r="D404" s="2" t="s">
        <v>2481</v>
      </c>
      <c r="E404" s="2" t="s">
        <v>211</v>
      </c>
      <c r="F404" s="2"/>
      <c r="G404" s="2"/>
      <c r="H404" s="2"/>
      <c r="I404" s="3">
        <f t="shared" si="6"/>
        <v>82</v>
      </c>
    </row>
    <row r="405" spans="1:9" x14ac:dyDescent="0.3">
      <c r="A405" s="2" t="s">
        <v>9571</v>
      </c>
      <c r="B405" s="2" t="s">
        <v>2486</v>
      </c>
      <c r="C405" s="2" t="s">
        <v>348</v>
      </c>
      <c r="D405" s="2" t="s">
        <v>2487</v>
      </c>
      <c r="E405" s="2"/>
      <c r="F405" s="2"/>
      <c r="G405" s="2" t="s">
        <v>1717</v>
      </c>
      <c r="H405" s="2"/>
      <c r="I405" s="3">
        <f t="shared" si="6"/>
        <v>82</v>
      </c>
    </row>
    <row r="406" spans="1:9" x14ac:dyDescent="0.3">
      <c r="A406" s="2" t="s">
        <v>9567</v>
      </c>
      <c r="B406" s="2" t="s">
        <v>1980</v>
      </c>
      <c r="C406" s="2" t="s">
        <v>354</v>
      </c>
      <c r="D406" s="2" t="s">
        <v>2534</v>
      </c>
      <c r="E406" s="2" t="s">
        <v>39</v>
      </c>
      <c r="F406" s="2"/>
      <c r="G406" s="2"/>
      <c r="H406" s="2"/>
      <c r="I406" s="3">
        <f t="shared" si="6"/>
        <v>83</v>
      </c>
    </row>
    <row r="407" spans="1:9" x14ac:dyDescent="0.3">
      <c r="A407" s="2" t="s">
        <v>9567</v>
      </c>
      <c r="B407" s="2" t="s">
        <v>2535</v>
      </c>
      <c r="C407" s="2" t="s">
        <v>354</v>
      </c>
      <c r="D407" s="2" t="s">
        <v>2536</v>
      </c>
      <c r="E407" s="2" t="s">
        <v>39</v>
      </c>
      <c r="F407" s="2"/>
      <c r="G407" s="2"/>
      <c r="H407" s="2"/>
      <c r="I407" s="3">
        <f t="shared" si="6"/>
        <v>83</v>
      </c>
    </row>
    <row r="408" spans="1:9" x14ac:dyDescent="0.3">
      <c r="A408" s="2" t="s">
        <v>9567</v>
      </c>
      <c r="B408" s="2" t="s">
        <v>2548</v>
      </c>
      <c r="C408" s="2" t="s">
        <v>422</v>
      </c>
      <c r="D408" s="2" t="s">
        <v>2549</v>
      </c>
      <c r="E408" s="2"/>
      <c r="F408" s="2"/>
      <c r="G408" s="2"/>
      <c r="H408" s="2" t="s">
        <v>1176</v>
      </c>
      <c r="I408" s="3">
        <f t="shared" si="6"/>
        <v>83</v>
      </c>
    </row>
    <row r="409" spans="1:9" x14ac:dyDescent="0.3">
      <c r="A409" s="2" t="s">
        <v>9567</v>
      </c>
      <c r="B409" s="2" t="s">
        <v>2552</v>
      </c>
      <c r="C409" s="2"/>
      <c r="D409" s="2" t="s">
        <v>2553</v>
      </c>
      <c r="E409" s="2" t="s">
        <v>39</v>
      </c>
      <c r="F409" s="2"/>
      <c r="G409" s="2"/>
      <c r="H409" s="2"/>
      <c r="I409" s="3">
        <f t="shared" si="6"/>
        <v>83</v>
      </c>
    </row>
    <row r="410" spans="1:9" x14ac:dyDescent="0.3">
      <c r="A410" s="2" t="s">
        <v>9567</v>
      </c>
      <c r="B410" s="2" t="s">
        <v>2574</v>
      </c>
      <c r="C410" s="2" t="s">
        <v>263</v>
      </c>
      <c r="D410" s="2" t="s">
        <v>2575</v>
      </c>
      <c r="E410" s="2" t="s">
        <v>39</v>
      </c>
      <c r="F410" s="2"/>
      <c r="G410" s="2"/>
      <c r="H410" s="2"/>
      <c r="I410" s="3">
        <f t="shared" si="6"/>
        <v>83</v>
      </c>
    </row>
    <row r="411" spans="1:9" x14ac:dyDescent="0.3">
      <c r="A411" s="2" t="s">
        <v>9567</v>
      </c>
      <c r="B411" s="2" t="s">
        <v>2576</v>
      </c>
      <c r="C411" s="2" t="s">
        <v>354</v>
      </c>
      <c r="D411" s="2" t="s">
        <v>2577</v>
      </c>
      <c r="E411" s="2" t="s">
        <v>39</v>
      </c>
      <c r="F411" s="2"/>
      <c r="G411" s="2"/>
      <c r="H411" s="2"/>
      <c r="I411" s="3">
        <f t="shared" si="6"/>
        <v>83</v>
      </c>
    </row>
    <row r="412" spans="1:9" x14ac:dyDescent="0.3">
      <c r="A412" s="2" t="s">
        <v>9568</v>
      </c>
      <c r="B412" s="2" t="s">
        <v>2541</v>
      </c>
      <c r="C412" s="2" t="s">
        <v>268</v>
      </c>
      <c r="D412" s="2" t="s">
        <v>2542</v>
      </c>
      <c r="E412" s="2"/>
      <c r="F412" s="2"/>
      <c r="G412" s="2"/>
      <c r="H412" s="2"/>
      <c r="I412" s="3">
        <f t="shared" si="6"/>
        <v>83</v>
      </c>
    </row>
    <row r="413" spans="1:9" x14ac:dyDescent="0.3">
      <c r="A413" s="2" t="s">
        <v>9568</v>
      </c>
      <c r="B413" s="2" t="s">
        <v>2571</v>
      </c>
      <c r="C413" s="2" t="s">
        <v>2572</v>
      </c>
      <c r="D413" s="2" t="s">
        <v>2573</v>
      </c>
      <c r="E413" s="2"/>
      <c r="F413" s="2"/>
      <c r="G413" s="2"/>
      <c r="H413" s="2"/>
      <c r="I413" s="3">
        <f t="shared" si="6"/>
        <v>83</v>
      </c>
    </row>
    <row r="414" spans="1:9" x14ac:dyDescent="0.3">
      <c r="A414" s="2" t="s">
        <v>9568</v>
      </c>
      <c r="B414" s="2" t="s">
        <v>2578</v>
      </c>
      <c r="C414" s="2" t="s">
        <v>186</v>
      </c>
      <c r="D414" s="2" t="s">
        <v>2579</v>
      </c>
      <c r="E414" s="2" t="s">
        <v>39</v>
      </c>
      <c r="F414" s="2"/>
      <c r="G414" s="2"/>
      <c r="H414" s="2" t="s">
        <v>194</v>
      </c>
      <c r="I414" s="3">
        <f t="shared" si="6"/>
        <v>83</v>
      </c>
    </row>
    <row r="415" spans="1:9" x14ac:dyDescent="0.3">
      <c r="A415" s="2" t="s">
        <v>9571</v>
      </c>
      <c r="B415" s="2" t="s">
        <v>2565</v>
      </c>
      <c r="C415" s="2" t="s">
        <v>2566</v>
      </c>
      <c r="D415" s="2" t="s">
        <v>2567</v>
      </c>
      <c r="E415" s="2" t="s">
        <v>2568</v>
      </c>
      <c r="F415" s="2"/>
      <c r="G415" s="2"/>
      <c r="H415" s="2"/>
      <c r="I415" s="3">
        <f t="shared" si="6"/>
        <v>83</v>
      </c>
    </row>
    <row r="416" spans="1:9" x14ac:dyDescent="0.3">
      <c r="A416" s="2" t="s">
        <v>9571</v>
      </c>
      <c r="B416" s="2" t="s">
        <v>2569</v>
      </c>
      <c r="C416" s="2"/>
      <c r="D416" s="2" t="s">
        <v>2570</v>
      </c>
      <c r="E416" s="2"/>
      <c r="F416" s="2"/>
      <c r="G416" s="2"/>
      <c r="H416" s="2"/>
      <c r="I416" s="3">
        <f t="shared" si="6"/>
        <v>83</v>
      </c>
    </row>
    <row r="417" spans="1:9" x14ac:dyDescent="0.3">
      <c r="A417" s="2" t="s">
        <v>9567</v>
      </c>
      <c r="B417" s="2" t="s">
        <v>2181</v>
      </c>
      <c r="C417" s="2" t="s">
        <v>911</v>
      </c>
      <c r="D417" s="2" t="s">
        <v>2593</v>
      </c>
      <c r="E417" s="2" t="s">
        <v>39</v>
      </c>
      <c r="F417" s="2"/>
      <c r="G417" s="2"/>
      <c r="H417" s="2"/>
      <c r="I417" s="3">
        <f t="shared" si="6"/>
        <v>84</v>
      </c>
    </row>
    <row r="418" spans="1:9" x14ac:dyDescent="0.3">
      <c r="A418" s="2" t="s">
        <v>9567</v>
      </c>
      <c r="B418" s="2" t="s">
        <v>2613</v>
      </c>
      <c r="C418" s="2" t="s">
        <v>354</v>
      </c>
      <c r="D418" s="2" t="s">
        <v>2614</v>
      </c>
      <c r="E418" s="2"/>
      <c r="F418" s="2"/>
      <c r="G418" s="2"/>
      <c r="H418" s="2"/>
      <c r="I418" s="3">
        <f t="shared" si="6"/>
        <v>84</v>
      </c>
    </row>
    <row r="419" spans="1:9" x14ac:dyDescent="0.3">
      <c r="A419" s="2" t="s">
        <v>9568</v>
      </c>
      <c r="B419" s="2" t="s">
        <v>642</v>
      </c>
      <c r="C419" s="2" t="s">
        <v>2582</v>
      </c>
      <c r="D419" s="2" t="s">
        <v>2583</v>
      </c>
      <c r="E419" s="2" t="s">
        <v>2524</v>
      </c>
      <c r="F419" s="2"/>
      <c r="G419" s="2"/>
      <c r="H419" s="2" t="s">
        <v>898</v>
      </c>
      <c r="I419" s="3">
        <f t="shared" si="6"/>
        <v>84</v>
      </c>
    </row>
    <row r="420" spans="1:9" x14ac:dyDescent="0.3">
      <c r="A420" s="2" t="s">
        <v>9568</v>
      </c>
      <c r="B420" s="2" t="s">
        <v>1641</v>
      </c>
      <c r="C420" s="2" t="s">
        <v>259</v>
      </c>
      <c r="D420" s="2" t="s">
        <v>2587</v>
      </c>
      <c r="E420" s="2"/>
      <c r="F420" s="2"/>
      <c r="G420" s="2"/>
      <c r="H420" s="2" t="s">
        <v>646</v>
      </c>
      <c r="I420" s="3">
        <f t="shared" si="6"/>
        <v>84</v>
      </c>
    </row>
    <row r="421" spans="1:9" x14ac:dyDescent="0.3">
      <c r="A421" s="2" t="s">
        <v>9568</v>
      </c>
      <c r="B421" s="2" t="s">
        <v>1804</v>
      </c>
      <c r="C421" s="2" t="s">
        <v>2599</v>
      </c>
      <c r="D421" s="2" t="s">
        <v>2600</v>
      </c>
      <c r="E421" s="2" t="s">
        <v>39</v>
      </c>
      <c r="F421" s="2"/>
      <c r="G421" s="2"/>
      <c r="H421" s="2"/>
      <c r="I421" s="3">
        <f t="shared" si="6"/>
        <v>84</v>
      </c>
    </row>
    <row r="422" spans="1:9" x14ac:dyDescent="0.3">
      <c r="A422" s="2" t="s">
        <v>9568</v>
      </c>
      <c r="B422" s="2" t="s">
        <v>2603</v>
      </c>
      <c r="C422" s="2" t="s">
        <v>222</v>
      </c>
      <c r="D422" s="2" t="s">
        <v>2604</v>
      </c>
      <c r="E422" s="2"/>
      <c r="F422" s="2"/>
      <c r="G422" s="2"/>
      <c r="H422" s="2"/>
      <c r="I422" s="3">
        <f t="shared" si="6"/>
        <v>84</v>
      </c>
    </row>
    <row r="423" spans="1:9" x14ac:dyDescent="0.3">
      <c r="A423" s="2" t="s">
        <v>9568</v>
      </c>
      <c r="B423" s="2" t="s">
        <v>2641</v>
      </c>
      <c r="C423" s="2" t="s">
        <v>2642</v>
      </c>
      <c r="D423" s="2" t="s">
        <v>2643</v>
      </c>
      <c r="E423" s="2"/>
      <c r="F423" s="2"/>
      <c r="G423" s="2"/>
      <c r="H423" s="2"/>
      <c r="I423" s="3">
        <f t="shared" si="6"/>
        <v>84</v>
      </c>
    </row>
    <row r="424" spans="1:9" ht="24" x14ac:dyDescent="0.3">
      <c r="A424" s="2" t="s">
        <v>9571</v>
      </c>
      <c r="B424" s="2" t="s">
        <v>2588</v>
      </c>
      <c r="C424" s="2"/>
      <c r="D424" s="2" t="s">
        <v>2589</v>
      </c>
      <c r="E424" s="2"/>
      <c r="F424" s="2"/>
      <c r="G424" s="2"/>
      <c r="H424" s="2"/>
      <c r="I424" s="3">
        <f t="shared" si="6"/>
        <v>84</v>
      </c>
    </row>
    <row r="425" spans="1:9" x14ac:dyDescent="0.3">
      <c r="A425" s="2" t="s">
        <v>9571</v>
      </c>
      <c r="B425" s="2" t="s">
        <v>2633</v>
      </c>
      <c r="C425" s="2" t="s">
        <v>160</v>
      </c>
      <c r="D425" s="2" t="s">
        <v>2634</v>
      </c>
      <c r="E425" s="2"/>
      <c r="F425" s="2"/>
      <c r="G425" s="2"/>
      <c r="H425" s="2"/>
      <c r="I425" s="3">
        <f t="shared" si="6"/>
        <v>84</v>
      </c>
    </row>
    <row r="426" spans="1:9" x14ac:dyDescent="0.3">
      <c r="A426" s="2" t="s">
        <v>9567</v>
      </c>
      <c r="B426" s="2" t="s">
        <v>2654</v>
      </c>
      <c r="C426" s="2" t="s">
        <v>354</v>
      </c>
      <c r="D426" s="2" t="s">
        <v>2655</v>
      </c>
      <c r="E426" s="2" t="s">
        <v>39</v>
      </c>
      <c r="F426" s="2"/>
      <c r="G426" s="2"/>
      <c r="H426" s="2"/>
      <c r="I426" s="3">
        <f t="shared" si="6"/>
        <v>85</v>
      </c>
    </row>
    <row r="427" spans="1:9" x14ac:dyDescent="0.3">
      <c r="A427" s="2" t="s">
        <v>9567</v>
      </c>
      <c r="B427" s="2" t="s">
        <v>2392</v>
      </c>
      <c r="C427" s="2" t="s">
        <v>354</v>
      </c>
      <c r="D427" s="2" t="s">
        <v>2680</v>
      </c>
      <c r="E427" s="2" t="s">
        <v>39</v>
      </c>
      <c r="F427" s="2"/>
      <c r="G427" s="2"/>
      <c r="H427" s="2"/>
      <c r="I427" s="3">
        <f t="shared" si="6"/>
        <v>85</v>
      </c>
    </row>
    <row r="428" spans="1:9" x14ac:dyDescent="0.3">
      <c r="A428" s="2" t="s">
        <v>9568</v>
      </c>
      <c r="B428" s="2" t="s">
        <v>2681</v>
      </c>
      <c r="C428" s="2" t="s">
        <v>247</v>
      </c>
      <c r="D428" s="2" t="s">
        <v>2682</v>
      </c>
      <c r="E428" s="2" t="s">
        <v>39</v>
      </c>
      <c r="F428" s="2"/>
      <c r="G428" s="2"/>
      <c r="H428" s="2"/>
      <c r="I428" s="3">
        <f t="shared" si="6"/>
        <v>85</v>
      </c>
    </row>
    <row r="429" spans="1:9" x14ac:dyDescent="0.3">
      <c r="A429" s="2" t="s">
        <v>9568</v>
      </c>
      <c r="B429" s="2" t="s">
        <v>1292</v>
      </c>
      <c r="C429" s="2" t="s">
        <v>1293</v>
      </c>
      <c r="D429" s="2" t="s">
        <v>2685</v>
      </c>
      <c r="E429" s="2"/>
      <c r="F429" s="2"/>
      <c r="G429" s="2"/>
      <c r="H429" s="2"/>
      <c r="I429" s="3">
        <f t="shared" si="6"/>
        <v>85</v>
      </c>
    </row>
    <row r="430" spans="1:9" x14ac:dyDescent="0.3">
      <c r="A430" s="2" t="s">
        <v>9568</v>
      </c>
      <c r="B430" s="2" t="s">
        <v>2686</v>
      </c>
      <c r="C430" s="2" t="s">
        <v>856</v>
      </c>
      <c r="D430" s="2" t="s">
        <v>2687</v>
      </c>
      <c r="E430" s="2"/>
      <c r="F430" s="2"/>
      <c r="G430" s="2"/>
      <c r="H430" s="2"/>
      <c r="I430" s="3">
        <f t="shared" si="6"/>
        <v>85</v>
      </c>
    </row>
    <row r="431" spans="1:9" x14ac:dyDescent="0.3">
      <c r="A431" s="2" t="s">
        <v>9571</v>
      </c>
      <c r="B431" s="2" t="s">
        <v>2648</v>
      </c>
      <c r="C431" s="2"/>
      <c r="D431" s="2" t="s">
        <v>2649</v>
      </c>
      <c r="E431" s="2" t="s">
        <v>39</v>
      </c>
      <c r="F431" s="2"/>
      <c r="G431" s="2"/>
      <c r="H431" s="2" t="s">
        <v>646</v>
      </c>
      <c r="I431" s="3">
        <f t="shared" si="6"/>
        <v>85</v>
      </c>
    </row>
    <row r="432" spans="1:9" x14ac:dyDescent="0.3">
      <c r="A432" s="2" t="s">
        <v>9571</v>
      </c>
      <c r="B432" s="2" t="s">
        <v>2652</v>
      </c>
      <c r="C432" s="2" t="s">
        <v>206</v>
      </c>
      <c r="D432" s="2" t="s">
        <v>2653</v>
      </c>
      <c r="E432" s="2"/>
      <c r="F432" s="2"/>
      <c r="G432" s="2"/>
      <c r="H432" s="2"/>
      <c r="I432" s="3">
        <f t="shared" si="6"/>
        <v>85</v>
      </c>
    </row>
    <row r="433" spans="1:9" x14ac:dyDescent="0.3">
      <c r="A433" s="2" t="s">
        <v>9567</v>
      </c>
      <c r="B433" s="2" t="s">
        <v>2694</v>
      </c>
      <c r="C433" s="2" t="s">
        <v>2695</v>
      </c>
      <c r="D433" s="2" t="s">
        <v>2696</v>
      </c>
      <c r="E433" s="2"/>
      <c r="F433" s="2"/>
      <c r="G433" s="2"/>
      <c r="H433" s="2"/>
      <c r="I433" s="3">
        <f t="shared" si="6"/>
        <v>86</v>
      </c>
    </row>
    <row r="434" spans="1:9" x14ac:dyDescent="0.3">
      <c r="A434" s="2" t="s">
        <v>9567</v>
      </c>
      <c r="B434" s="2" t="s">
        <v>2697</v>
      </c>
      <c r="C434" s="2" t="s">
        <v>2698</v>
      </c>
      <c r="D434" s="2" t="s">
        <v>2699</v>
      </c>
      <c r="E434" s="2"/>
      <c r="F434" s="2"/>
      <c r="G434" s="2"/>
      <c r="H434" s="2"/>
      <c r="I434" s="3">
        <f t="shared" si="6"/>
        <v>86</v>
      </c>
    </row>
    <row r="435" spans="1:9" x14ac:dyDescent="0.3">
      <c r="A435" s="2" t="s">
        <v>9567</v>
      </c>
      <c r="B435" s="2" t="s">
        <v>2721</v>
      </c>
      <c r="C435" s="2" t="s">
        <v>437</v>
      </c>
      <c r="D435" s="2" t="s">
        <v>2722</v>
      </c>
      <c r="E435" s="2" t="s">
        <v>1932</v>
      </c>
      <c r="F435" s="2"/>
      <c r="G435" s="2"/>
      <c r="H435" s="2" t="s">
        <v>1176</v>
      </c>
      <c r="I435" s="3">
        <f t="shared" si="6"/>
        <v>86</v>
      </c>
    </row>
    <row r="436" spans="1:9" x14ac:dyDescent="0.3">
      <c r="A436" s="2" t="s">
        <v>9567</v>
      </c>
      <c r="B436" s="2" t="s">
        <v>2725</v>
      </c>
      <c r="C436" s="2" t="s">
        <v>95</v>
      </c>
      <c r="D436" s="2" t="s">
        <v>2726</v>
      </c>
      <c r="E436" s="2"/>
      <c r="F436" s="2"/>
      <c r="G436" s="2"/>
      <c r="H436" s="2"/>
      <c r="I436" s="3">
        <f t="shared" si="6"/>
        <v>86</v>
      </c>
    </row>
    <row r="437" spans="1:9" x14ac:dyDescent="0.3">
      <c r="A437" s="2" t="s">
        <v>9568</v>
      </c>
      <c r="B437" s="2" t="s">
        <v>2690</v>
      </c>
      <c r="C437" s="2" t="s">
        <v>2691</v>
      </c>
      <c r="D437" s="2" t="s">
        <v>2692</v>
      </c>
      <c r="E437" s="2" t="s">
        <v>2693</v>
      </c>
      <c r="F437" s="2"/>
      <c r="G437" s="2"/>
      <c r="H437" s="2" t="s">
        <v>898</v>
      </c>
      <c r="I437" s="3">
        <f t="shared" si="6"/>
        <v>86</v>
      </c>
    </row>
    <row r="438" spans="1:9" ht="24" x14ac:dyDescent="0.3">
      <c r="A438" s="2" t="s">
        <v>9568</v>
      </c>
      <c r="B438" s="2" t="s">
        <v>2706</v>
      </c>
      <c r="C438" s="2" t="s">
        <v>2707</v>
      </c>
      <c r="D438" s="2" t="s">
        <v>2708</v>
      </c>
      <c r="E438" s="2" t="s">
        <v>2709</v>
      </c>
      <c r="F438" s="2"/>
      <c r="G438" s="2"/>
      <c r="H438" s="2" t="s">
        <v>898</v>
      </c>
      <c r="I438" s="3">
        <f t="shared" si="6"/>
        <v>86</v>
      </c>
    </row>
    <row r="439" spans="1:9" x14ac:dyDescent="0.3">
      <c r="A439" s="2" t="s">
        <v>9568</v>
      </c>
      <c r="B439" s="2" t="s">
        <v>2716</v>
      </c>
      <c r="C439" s="2" t="s">
        <v>2717</v>
      </c>
      <c r="D439" s="2" t="s">
        <v>2718</v>
      </c>
      <c r="E439" s="2" t="s">
        <v>39</v>
      </c>
      <c r="F439" s="2"/>
      <c r="G439" s="2"/>
      <c r="H439" s="2"/>
      <c r="I439" s="3">
        <f t="shared" si="6"/>
        <v>86</v>
      </c>
    </row>
    <row r="440" spans="1:9" x14ac:dyDescent="0.3">
      <c r="A440" s="2" t="s">
        <v>9568</v>
      </c>
      <c r="B440" s="2" t="s">
        <v>2719</v>
      </c>
      <c r="C440" s="2" t="s">
        <v>222</v>
      </c>
      <c r="D440" s="2" t="s">
        <v>2720</v>
      </c>
      <c r="E440" s="2"/>
      <c r="F440" s="2"/>
      <c r="G440" s="2"/>
      <c r="H440" s="2" t="s">
        <v>646</v>
      </c>
      <c r="I440" s="3">
        <f t="shared" si="6"/>
        <v>86</v>
      </c>
    </row>
    <row r="441" spans="1:9" x14ac:dyDescent="0.3">
      <c r="A441" s="2" t="s">
        <v>9568</v>
      </c>
      <c r="B441" s="2" t="s">
        <v>2744</v>
      </c>
      <c r="C441" s="2" t="s">
        <v>1371</v>
      </c>
      <c r="D441" s="2" t="s">
        <v>2745</v>
      </c>
      <c r="E441" s="2"/>
      <c r="F441" s="2"/>
      <c r="G441" s="2"/>
      <c r="H441" s="2"/>
      <c r="I441" s="3">
        <f t="shared" si="6"/>
        <v>86</v>
      </c>
    </row>
    <row r="442" spans="1:9" x14ac:dyDescent="0.3">
      <c r="A442" s="2" t="s">
        <v>9568</v>
      </c>
      <c r="B442" s="2" t="s">
        <v>1577</v>
      </c>
      <c r="C442" s="2" t="s">
        <v>1244</v>
      </c>
      <c r="D442" s="2" t="s">
        <v>2752</v>
      </c>
      <c r="E442" s="2" t="s">
        <v>39</v>
      </c>
      <c r="F442" s="2"/>
      <c r="G442" s="2"/>
      <c r="H442" s="2"/>
      <c r="I442" s="3">
        <f t="shared" si="6"/>
        <v>86</v>
      </c>
    </row>
    <row r="443" spans="1:9" ht="24" x14ac:dyDescent="0.3">
      <c r="A443" s="2" t="s">
        <v>9568</v>
      </c>
      <c r="B443" s="2" t="s">
        <v>2755</v>
      </c>
      <c r="C443" s="2" t="s">
        <v>2756</v>
      </c>
      <c r="D443" s="2" t="s">
        <v>2757</v>
      </c>
      <c r="E443" s="2" t="s">
        <v>2709</v>
      </c>
      <c r="F443" s="2"/>
      <c r="G443" s="2"/>
      <c r="H443" s="2" t="s">
        <v>898</v>
      </c>
      <c r="I443" s="3">
        <f t="shared" si="6"/>
        <v>86</v>
      </c>
    </row>
    <row r="444" spans="1:9" x14ac:dyDescent="0.3">
      <c r="A444" s="2" t="s">
        <v>9569</v>
      </c>
      <c r="B444" s="2" t="s">
        <v>2727</v>
      </c>
      <c r="C444" s="2" t="s">
        <v>332</v>
      </c>
      <c r="D444" s="2" t="s">
        <v>2728</v>
      </c>
      <c r="E444" s="2"/>
      <c r="F444" s="2"/>
      <c r="G444" s="2"/>
      <c r="H444" s="2"/>
      <c r="I444" s="3">
        <f t="shared" si="6"/>
        <v>86</v>
      </c>
    </row>
    <row r="445" spans="1:9" x14ac:dyDescent="0.3">
      <c r="A445" s="2" t="s">
        <v>9570</v>
      </c>
      <c r="B445" s="2" t="s">
        <v>2710</v>
      </c>
      <c r="C445" s="2" t="s">
        <v>389</v>
      </c>
      <c r="D445" s="2" t="s">
        <v>2711</v>
      </c>
      <c r="E445" s="2"/>
      <c r="F445" s="2"/>
      <c r="G445" s="2"/>
      <c r="H445" s="2"/>
      <c r="I445" s="3">
        <f t="shared" si="6"/>
        <v>86</v>
      </c>
    </row>
    <row r="446" spans="1:9" ht="24" x14ac:dyDescent="0.3">
      <c r="A446" s="2" t="s">
        <v>9570</v>
      </c>
      <c r="B446" s="2" t="s">
        <v>2712</v>
      </c>
      <c r="C446" s="2"/>
      <c r="D446" s="2" t="s">
        <v>2713</v>
      </c>
      <c r="E446" s="2"/>
      <c r="F446" s="2"/>
      <c r="G446" s="2"/>
      <c r="H446" s="2"/>
      <c r="I446" s="3">
        <f t="shared" si="6"/>
        <v>86</v>
      </c>
    </row>
    <row r="447" spans="1:9" x14ac:dyDescent="0.3">
      <c r="A447" s="2" t="s">
        <v>9567</v>
      </c>
      <c r="B447" s="2" t="s">
        <v>2766</v>
      </c>
      <c r="C447" s="2" t="s">
        <v>1639</v>
      </c>
      <c r="D447" s="2" t="s">
        <v>2767</v>
      </c>
      <c r="E447" s="2" t="s">
        <v>39</v>
      </c>
      <c r="F447" s="2"/>
      <c r="G447" s="2"/>
      <c r="H447" s="2"/>
      <c r="I447" s="3">
        <f t="shared" si="6"/>
        <v>87</v>
      </c>
    </row>
    <row r="448" spans="1:9" x14ac:dyDescent="0.3">
      <c r="A448" s="2" t="s">
        <v>9567</v>
      </c>
      <c r="B448" s="2" t="s">
        <v>2791</v>
      </c>
      <c r="C448" s="2" t="s">
        <v>1451</v>
      </c>
      <c r="D448" s="2" t="s">
        <v>2792</v>
      </c>
      <c r="E448" s="2"/>
      <c r="F448" s="2"/>
      <c r="G448" s="2"/>
      <c r="H448" s="2" t="s">
        <v>646</v>
      </c>
      <c r="I448" s="3">
        <f t="shared" si="6"/>
        <v>87</v>
      </c>
    </row>
    <row r="449" spans="1:9" x14ac:dyDescent="0.3">
      <c r="A449" s="2" t="s">
        <v>9567</v>
      </c>
      <c r="B449" s="2" t="s">
        <v>2805</v>
      </c>
      <c r="C449" s="2" t="s">
        <v>263</v>
      </c>
      <c r="D449" s="2" t="s">
        <v>2806</v>
      </c>
      <c r="E449" s="2"/>
      <c r="F449" s="2"/>
      <c r="G449" s="2"/>
      <c r="H449" s="2"/>
      <c r="I449" s="3">
        <f t="shared" si="6"/>
        <v>87</v>
      </c>
    </row>
    <row r="450" spans="1:9" x14ac:dyDescent="0.3">
      <c r="A450" s="2" t="s">
        <v>9567</v>
      </c>
      <c r="B450" s="2" t="s">
        <v>509</v>
      </c>
      <c r="C450" s="2" t="s">
        <v>500</v>
      </c>
      <c r="D450" s="2" t="s">
        <v>2816</v>
      </c>
      <c r="E450" s="2" t="s">
        <v>39</v>
      </c>
      <c r="F450" s="2"/>
      <c r="G450" s="2"/>
      <c r="H450" s="2" t="s">
        <v>402</v>
      </c>
      <c r="I450" s="3">
        <f t="shared" ref="I450:I513" si="7">LEN(D450)</f>
        <v>87</v>
      </c>
    </row>
    <row r="451" spans="1:9" x14ac:dyDescent="0.3">
      <c r="A451" s="2" t="s">
        <v>9568</v>
      </c>
      <c r="B451" s="2" t="s">
        <v>2796</v>
      </c>
      <c r="C451" s="2" t="s">
        <v>178</v>
      </c>
      <c r="D451" s="2" t="s">
        <v>2797</v>
      </c>
      <c r="E451" s="2" t="s">
        <v>39</v>
      </c>
      <c r="F451" s="2"/>
      <c r="G451" s="2"/>
      <c r="H451" s="2"/>
      <c r="I451" s="3">
        <f t="shared" si="7"/>
        <v>87</v>
      </c>
    </row>
    <row r="452" spans="1:9" x14ac:dyDescent="0.3">
      <c r="A452" s="2" t="s">
        <v>9568</v>
      </c>
      <c r="B452" s="2" t="s">
        <v>2810</v>
      </c>
      <c r="C452" s="2" t="s">
        <v>2811</v>
      </c>
      <c r="D452" s="2" t="s">
        <v>2812</v>
      </c>
      <c r="E452" s="2"/>
      <c r="F452" s="2"/>
      <c r="G452" s="2"/>
      <c r="H452" s="2"/>
      <c r="I452" s="3">
        <f t="shared" si="7"/>
        <v>87</v>
      </c>
    </row>
    <row r="453" spans="1:9" x14ac:dyDescent="0.3">
      <c r="A453" s="2" t="s">
        <v>9568</v>
      </c>
      <c r="B453" s="2" t="s">
        <v>8673</v>
      </c>
      <c r="C453" s="2" t="s">
        <v>8672</v>
      </c>
      <c r="D453" s="2" t="s">
        <v>8674</v>
      </c>
      <c r="E453" s="2" t="s">
        <v>39</v>
      </c>
      <c r="F453" s="2"/>
      <c r="G453" s="2"/>
      <c r="H453" s="2"/>
      <c r="I453" s="3">
        <f t="shared" si="7"/>
        <v>87</v>
      </c>
    </row>
    <row r="454" spans="1:9" ht="24" x14ac:dyDescent="0.3">
      <c r="A454" s="2" t="s">
        <v>9568</v>
      </c>
      <c r="B454" s="2" t="s">
        <v>2813</v>
      </c>
      <c r="C454" s="2" t="s">
        <v>2814</v>
      </c>
      <c r="D454" s="2" t="s">
        <v>2815</v>
      </c>
      <c r="E454" s="2"/>
      <c r="F454" s="2"/>
      <c r="G454" s="2"/>
      <c r="H454" s="2"/>
      <c r="I454" s="3">
        <f t="shared" si="7"/>
        <v>87</v>
      </c>
    </row>
    <row r="455" spans="1:9" x14ac:dyDescent="0.3">
      <c r="A455" s="2" t="s">
        <v>9571</v>
      </c>
      <c r="B455" s="2" t="s">
        <v>2403</v>
      </c>
      <c r="C455" s="2"/>
      <c r="D455" s="2" t="s">
        <v>2765</v>
      </c>
      <c r="E455" s="2"/>
      <c r="F455" s="2"/>
      <c r="G455" s="2"/>
      <c r="H455" s="2"/>
      <c r="I455" s="3">
        <f t="shared" si="7"/>
        <v>87</v>
      </c>
    </row>
    <row r="456" spans="1:9" x14ac:dyDescent="0.3">
      <c r="A456" s="2" t="s">
        <v>9571</v>
      </c>
      <c r="B456" s="2" t="s">
        <v>2803</v>
      </c>
      <c r="C456" s="2" t="s">
        <v>437</v>
      </c>
      <c r="D456" s="2" t="s">
        <v>2804</v>
      </c>
      <c r="E456" s="2" t="s">
        <v>39</v>
      </c>
      <c r="F456" s="2"/>
      <c r="G456" s="2"/>
      <c r="H456" s="2"/>
      <c r="I456" s="3">
        <f t="shared" si="7"/>
        <v>87</v>
      </c>
    </row>
    <row r="457" spans="1:9" ht="24" x14ac:dyDescent="0.3">
      <c r="A457" s="2" t="s">
        <v>9567</v>
      </c>
      <c r="B457" s="2" t="s">
        <v>2825</v>
      </c>
      <c r="C457" s="2" t="s">
        <v>354</v>
      </c>
      <c r="D457" s="2" t="s">
        <v>2826</v>
      </c>
      <c r="E457" s="2" t="s">
        <v>39</v>
      </c>
      <c r="F457" s="2"/>
      <c r="G457" s="2"/>
      <c r="H457" s="2"/>
      <c r="I457" s="3">
        <f t="shared" si="7"/>
        <v>88</v>
      </c>
    </row>
    <row r="458" spans="1:9" x14ac:dyDescent="0.3">
      <c r="A458" s="2" t="s">
        <v>9567</v>
      </c>
      <c r="B458" s="2" t="s">
        <v>2839</v>
      </c>
      <c r="C458" s="2" t="s">
        <v>2840</v>
      </c>
      <c r="D458" s="2" t="s">
        <v>2841</v>
      </c>
      <c r="E458" s="2"/>
      <c r="F458" s="2"/>
      <c r="G458" s="2"/>
      <c r="H458" s="2" t="s">
        <v>194</v>
      </c>
      <c r="I458" s="3">
        <f t="shared" si="7"/>
        <v>88</v>
      </c>
    </row>
    <row r="459" spans="1:9" x14ac:dyDescent="0.3">
      <c r="A459" s="2" t="s">
        <v>9567</v>
      </c>
      <c r="B459" s="2" t="s">
        <v>2842</v>
      </c>
      <c r="C459" s="2" t="s">
        <v>354</v>
      </c>
      <c r="D459" s="2" t="s">
        <v>2843</v>
      </c>
      <c r="E459" s="2" t="s">
        <v>39</v>
      </c>
      <c r="F459" s="2"/>
      <c r="G459" s="2"/>
      <c r="H459" s="2"/>
      <c r="I459" s="3">
        <f t="shared" si="7"/>
        <v>88</v>
      </c>
    </row>
    <row r="460" spans="1:9" x14ac:dyDescent="0.3">
      <c r="A460" s="2" t="s">
        <v>9567</v>
      </c>
      <c r="B460" s="2" t="s">
        <v>2861</v>
      </c>
      <c r="C460" s="2" t="s">
        <v>2862</v>
      </c>
      <c r="D460" s="2" t="s">
        <v>2863</v>
      </c>
      <c r="E460" s="2" t="s">
        <v>39</v>
      </c>
      <c r="F460" s="2"/>
      <c r="G460" s="2"/>
      <c r="H460" s="2" t="s">
        <v>1176</v>
      </c>
      <c r="I460" s="3">
        <f t="shared" si="7"/>
        <v>88</v>
      </c>
    </row>
    <row r="461" spans="1:9" ht="24" x14ac:dyDescent="0.3">
      <c r="A461" s="2" t="s">
        <v>9568</v>
      </c>
      <c r="B461" s="2" t="s">
        <v>2821</v>
      </c>
      <c r="C461" s="2" t="s">
        <v>2822</v>
      </c>
      <c r="D461" s="2" t="s">
        <v>2823</v>
      </c>
      <c r="E461" s="2" t="s">
        <v>2824</v>
      </c>
      <c r="F461" s="2"/>
      <c r="G461" s="2"/>
      <c r="H461" s="2" t="s">
        <v>898</v>
      </c>
      <c r="I461" s="3">
        <f t="shared" si="7"/>
        <v>88</v>
      </c>
    </row>
    <row r="462" spans="1:9" x14ac:dyDescent="0.3">
      <c r="A462" s="2" t="s">
        <v>9568</v>
      </c>
      <c r="B462" s="2" t="s">
        <v>2864</v>
      </c>
      <c r="C462" s="2" t="s">
        <v>1754</v>
      </c>
      <c r="D462" s="2" t="s">
        <v>2865</v>
      </c>
      <c r="E462" s="2" t="s">
        <v>39</v>
      </c>
      <c r="F462" s="2"/>
      <c r="G462" s="2"/>
      <c r="H462" s="2"/>
      <c r="I462" s="3">
        <f t="shared" si="7"/>
        <v>88</v>
      </c>
    </row>
    <row r="463" spans="1:9" ht="24" x14ac:dyDescent="0.3">
      <c r="A463" s="2" t="s">
        <v>9568</v>
      </c>
      <c r="B463" s="2" t="s">
        <v>746</v>
      </c>
      <c r="C463" s="2" t="s">
        <v>951</v>
      </c>
      <c r="D463" s="2" t="s">
        <v>2866</v>
      </c>
      <c r="E463" s="2"/>
      <c r="F463" s="2"/>
      <c r="G463" s="2"/>
      <c r="H463" s="2"/>
      <c r="I463" s="3">
        <f t="shared" si="7"/>
        <v>88</v>
      </c>
    </row>
    <row r="464" spans="1:9" x14ac:dyDescent="0.3">
      <c r="A464" s="2" t="s">
        <v>9568</v>
      </c>
      <c r="B464" s="2" t="s">
        <v>2867</v>
      </c>
      <c r="C464" s="2" t="s">
        <v>2868</v>
      </c>
      <c r="D464" s="2" t="s">
        <v>2869</v>
      </c>
      <c r="E464" s="2"/>
      <c r="F464" s="2"/>
      <c r="G464" s="2"/>
      <c r="H464" s="2"/>
      <c r="I464" s="3">
        <f t="shared" si="7"/>
        <v>88</v>
      </c>
    </row>
    <row r="465" spans="1:9" x14ac:dyDescent="0.3">
      <c r="A465" s="2" t="s">
        <v>9570</v>
      </c>
      <c r="B465" s="2" t="s">
        <v>2827</v>
      </c>
      <c r="C465" s="2"/>
      <c r="D465" s="2" t="s">
        <v>2828</v>
      </c>
      <c r="E465" s="2"/>
      <c r="F465" s="2"/>
      <c r="G465" s="2"/>
      <c r="H465" s="2"/>
      <c r="I465" s="3">
        <f t="shared" si="7"/>
        <v>88</v>
      </c>
    </row>
    <row r="466" spans="1:9" ht="24" x14ac:dyDescent="0.3">
      <c r="A466" s="2" t="s">
        <v>9571</v>
      </c>
      <c r="B466" s="2" t="s">
        <v>2831</v>
      </c>
      <c r="C466" s="2"/>
      <c r="D466" s="2" t="s">
        <v>2832</v>
      </c>
      <c r="E466" s="2"/>
      <c r="F466" s="2"/>
      <c r="G466" s="2"/>
      <c r="H466" s="2"/>
      <c r="I466" s="3">
        <f t="shared" si="7"/>
        <v>88</v>
      </c>
    </row>
    <row r="467" spans="1:9" x14ac:dyDescent="0.3">
      <c r="A467" s="2" t="s">
        <v>9571</v>
      </c>
      <c r="B467" s="2" t="s">
        <v>2770</v>
      </c>
      <c r="C467" s="2" t="s">
        <v>1504</v>
      </c>
      <c r="D467" s="2" t="s">
        <v>2829</v>
      </c>
      <c r="E467" s="2" t="s">
        <v>2830</v>
      </c>
      <c r="F467" s="2"/>
      <c r="G467" s="2"/>
      <c r="H467" s="2" t="s">
        <v>194</v>
      </c>
      <c r="I467" s="3">
        <f t="shared" si="7"/>
        <v>88</v>
      </c>
    </row>
    <row r="468" spans="1:9" x14ac:dyDescent="0.3">
      <c r="A468" s="2" t="s">
        <v>9567</v>
      </c>
      <c r="B468" s="2" t="s">
        <v>2886</v>
      </c>
      <c r="C468" s="2" t="s">
        <v>354</v>
      </c>
      <c r="D468" s="2" t="s">
        <v>2887</v>
      </c>
      <c r="E468" s="2" t="s">
        <v>39</v>
      </c>
      <c r="F468" s="2"/>
      <c r="G468" s="2"/>
      <c r="H468" s="2"/>
      <c r="I468" s="3">
        <f t="shared" si="7"/>
        <v>89</v>
      </c>
    </row>
    <row r="469" spans="1:9" x14ac:dyDescent="0.3">
      <c r="A469" s="2" t="s">
        <v>9567</v>
      </c>
      <c r="B469" s="2" t="s">
        <v>2919</v>
      </c>
      <c r="C469" s="2" t="s">
        <v>354</v>
      </c>
      <c r="D469" s="2" t="s">
        <v>2920</v>
      </c>
      <c r="E469" s="2" t="s">
        <v>39</v>
      </c>
      <c r="F469" s="2"/>
      <c r="G469" s="2"/>
      <c r="H469" s="2"/>
      <c r="I469" s="3">
        <f t="shared" si="7"/>
        <v>89</v>
      </c>
    </row>
    <row r="470" spans="1:9" x14ac:dyDescent="0.3">
      <c r="A470" s="2" t="s">
        <v>9568</v>
      </c>
      <c r="B470" s="2" t="s">
        <v>2921</v>
      </c>
      <c r="C470" s="2" t="s">
        <v>1371</v>
      </c>
      <c r="D470" s="2" t="s">
        <v>2922</v>
      </c>
      <c r="E470" s="2"/>
      <c r="F470" s="2"/>
      <c r="G470" s="2"/>
      <c r="H470" s="2"/>
      <c r="I470" s="3">
        <f t="shared" si="7"/>
        <v>89</v>
      </c>
    </row>
    <row r="471" spans="1:9" x14ac:dyDescent="0.3">
      <c r="A471" s="2" t="s">
        <v>9568</v>
      </c>
      <c r="B471" s="2" t="s">
        <v>2923</v>
      </c>
      <c r="C471" s="2" t="s">
        <v>1754</v>
      </c>
      <c r="D471" s="2" t="s">
        <v>2924</v>
      </c>
      <c r="E471" s="2" t="s">
        <v>39</v>
      </c>
      <c r="F471" s="2"/>
      <c r="G471" s="2"/>
      <c r="H471" s="2"/>
      <c r="I471" s="3">
        <f t="shared" si="7"/>
        <v>89</v>
      </c>
    </row>
    <row r="472" spans="1:9" x14ac:dyDescent="0.3">
      <c r="A472" s="2" t="s">
        <v>9568</v>
      </c>
      <c r="B472" s="2" t="s">
        <v>2925</v>
      </c>
      <c r="C472" s="2" t="s">
        <v>2926</v>
      </c>
      <c r="D472" s="2" t="s">
        <v>2927</v>
      </c>
      <c r="E472" s="2"/>
      <c r="F472" s="2"/>
      <c r="G472" s="2"/>
      <c r="H472" s="2"/>
      <c r="I472" s="3">
        <f t="shared" si="7"/>
        <v>89</v>
      </c>
    </row>
    <row r="473" spans="1:9" x14ac:dyDescent="0.3">
      <c r="A473" s="2" t="s">
        <v>9569</v>
      </c>
      <c r="B473" s="2" t="s">
        <v>2872</v>
      </c>
      <c r="C473" s="2" t="s">
        <v>408</v>
      </c>
      <c r="D473" s="2" t="s">
        <v>2873</v>
      </c>
      <c r="E473" s="2"/>
      <c r="F473" s="2"/>
      <c r="G473" s="2"/>
      <c r="H473" s="2"/>
      <c r="I473" s="3">
        <f t="shared" si="7"/>
        <v>89</v>
      </c>
    </row>
    <row r="474" spans="1:9" x14ac:dyDescent="0.3">
      <c r="A474" s="2" t="s">
        <v>9569</v>
      </c>
      <c r="B474" s="2" t="s">
        <v>929</v>
      </c>
      <c r="C474" s="2" t="s">
        <v>332</v>
      </c>
      <c r="D474" s="2" t="s">
        <v>2890</v>
      </c>
      <c r="E474" s="2" t="s">
        <v>2891</v>
      </c>
      <c r="F474" s="2"/>
      <c r="G474" s="2"/>
      <c r="H474" s="2"/>
      <c r="I474" s="3">
        <f t="shared" si="7"/>
        <v>89</v>
      </c>
    </row>
    <row r="475" spans="1:9" x14ac:dyDescent="0.3">
      <c r="A475" s="2" t="s">
        <v>9571</v>
      </c>
      <c r="B475" s="2" t="s">
        <v>2876</v>
      </c>
      <c r="C475" s="2" t="s">
        <v>110</v>
      </c>
      <c r="D475" s="2" t="s">
        <v>2877</v>
      </c>
      <c r="E475" s="2"/>
      <c r="F475" s="2"/>
      <c r="G475" s="2"/>
      <c r="H475" s="2"/>
      <c r="I475" s="3">
        <f t="shared" si="7"/>
        <v>89</v>
      </c>
    </row>
    <row r="476" spans="1:9" x14ac:dyDescent="0.3">
      <c r="A476" s="2" t="s">
        <v>9567</v>
      </c>
      <c r="B476" s="2" t="s">
        <v>2931</v>
      </c>
      <c r="C476" s="2"/>
      <c r="D476" s="2" t="s">
        <v>2932</v>
      </c>
      <c r="E476" s="2" t="s">
        <v>39</v>
      </c>
      <c r="F476" s="2"/>
      <c r="G476" s="2"/>
      <c r="H476" s="2"/>
      <c r="I476" s="3">
        <f t="shared" si="7"/>
        <v>90</v>
      </c>
    </row>
    <row r="477" spans="1:9" x14ac:dyDescent="0.3">
      <c r="A477" s="2" t="s">
        <v>9567</v>
      </c>
      <c r="B477" s="2" t="s">
        <v>2945</v>
      </c>
      <c r="C477" s="2" t="s">
        <v>354</v>
      </c>
      <c r="D477" s="2" t="s">
        <v>2946</v>
      </c>
      <c r="E477" s="2"/>
      <c r="F477" s="2"/>
      <c r="G477" s="2"/>
      <c r="H477" s="2"/>
      <c r="I477" s="3">
        <f t="shared" si="7"/>
        <v>90</v>
      </c>
    </row>
    <row r="478" spans="1:9" x14ac:dyDescent="0.3">
      <c r="A478" s="2" t="s">
        <v>9567</v>
      </c>
      <c r="B478" s="2" t="s">
        <v>2955</v>
      </c>
      <c r="C478" s="2" t="s">
        <v>354</v>
      </c>
      <c r="D478" s="2" t="s">
        <v>2956</v>
      </c>
      <c r="E478" s="2" t="s">
        <v>39</v>
      </c>
      <c r="F478" s="2"/>
      <c r="G478" s="2"/>
      <c r="H478" s="2"/>
      <c r="I478" s="3">
        <f t="shared" si="7"/>
        <v>90</v>
      </c>
    </row>
    <row r="479" spans="1:9" x14ac:dyDescent="0.3">
      <c r="A479" s="2" t="s">
        <v>9567</v>
      </c>
      <c r="B479" s="2" t="s">
        <v>2959</v>
      </c>
      <c r="C479" s="2" t="s">
        <v>590</v>
      </c>
      <c r="D479" s="2" t="s">
        <v>2960</v>
      </c>
      <c r="E479" s="2" t="s">
        <v>39</v>
      </c>
      <c r="F479" s="2"/>
      <c r="G479" s="2"/>
      <c r="H479" s="2"/>
      <c r="I479" s="3">
        <f t="shared" si="7"/>
        <v>90</v>
      </c>
    </row>
    <row r="480" spans="1:9" x14ac:dyDescent="0.3">
      <c r="A480" s="2" t="s">
        <v>9568</v>
      </c>
      <c r="B480" s="2" t="s">
        <v>1445</v>
      </c>
      <c r="C480" s="2" t="s">
        <v>2582</v>
      </c>
      <c r="D480" s="2" t="s">
        <v>2928</v>
      </c>
      <c r="E480" s="2" t="s">
        <v>2136</v>
      </c>
      <c r="F480" s="2"/>
      <c r="G480" s="2"/>
      <c r="H480" s="2" t="s">
        <v>898</v>
      </c>
      <c r="I480" s="3">
        <f t="shared" si="7"/>
        <v>90</v>
      </c>
    </row>
    <row r="481" spans="1:9" x14ac:dyDescent="0.3">
      <c r="A481" s="2" t="s">
        <v>9568</v>
      </c>
      <c r="B481" s="2" t="s">
        <v>1574</v>
      </c>
      <c r="C481" s="2" t="s">
        <v>186</v>
      </c>
      <c r="D481" s="2" t="s">
        <v>2954</v>
      </c>
      <c r="E481" s="2"/>
      <c r="F481" s="2"/>
      <c r="G481" s="2"/>
      <c r="H481" s="2"/>
      <c r="I481" s="3">
        <f t="shared" si="7"/>
        <v>90</v>
      </c>
    </row>
    <row r="482" spans="1:9" x14ac:dyDescent="0.3">
      <c r="A482" s="2" t="s">
        <v>9568</v>
      </c>
      <c r="B482" s="2" t="s">
        <v>2975</v>
      </c>
      <c r="C482" s="2" t="s">
        <v>860</v>
      </c>
      <c r="D482" s="2" t="s">
        <v>2976</v>
      </c>
      <c r="E482" s="2" t="s">
        <v>39</v>
      </c>
      <c r="F482" s="2"/>
      <c r="G482" s="2"/>
      <c r="H482" s="2"/>
      <c r="I482" s="3">
        <f t="shared" si="7"/>
        <v>90</v>
      </c>
    </row>
    <row r="483" spans="1:9" x14ac:dyDescent="0.3">
      <c r="A483" s="2" t="s">
        <v>9568</v>
      </c>
      <c r="B483" s="2" t="s">
        <v>1974</v>
      </c>
      <c r="C483" s="2" t="s">
        <v>178</v>
      </c>
      <c r="D483" s="2" t="s">
        <v>2977</v>
      </c>
      <c r="E483" s="2" t="s">
        <v>39</v>
      </c>
      <c r="F483" s="2"/>
      <c r="G483" s="2"/>
      <c r="H483" s="2"/>
      <c r="I483" s="3">
        <f t="shared" si="7"/>
        <v>90</v>
      </c>
    </row>
    <row r="484" spans="1:9" x14ac:dyDescent="0.3">
      <c r="A484" s="2" t="s">
        <v>9568</v>
      </c>
      <c r="B484" s="2" t="s">
        <v>2982</v>
      </c>
      <c r="C484" s="2" t="s">
        <v>1329</v>
      </c>
      <c r="D484" s="2" t="s">
        <v>2983</v>
      </c>
      <c r="E484" s="2"/>
      <c r="F484" s="2"/>
      <c r="G484" s="2"/>
      <c r="H484" s="2"/>
      <c r="I484" s="3">
        <f t="shared" si="7"/>
        <v>90</v>
      </c>
    </row>
    <row r="485" spans="1:9" x14ac:dyDescent="0.3">
      <c r="A485" s="2" t="s">
        <v>9571</v>
      </c>
      <c r="B485" s="2" t="s">
        <v>2929</v>
      </c>
      <c r="C485" s="2" t="s">
        <v>192</v>
      </c>
      <c r="D485" s="2" t="s">
        <v>2930</v>
      </c>
      <c r="E485" s="2" t="s">
        <v>39</v>
      </c>
      <c r="F485" s="2"/>
      <c r="G485" s="2"/>
      <c r="H485" s="2"/>
      <c r="I485" s="3">
        <f t="shared" si="7"/>
        <v>90</v>
      </c>
    </row>
    <row r="486" spans="1:9" x14ac:dyDescent="0.3">
      <c r="A486" s="2" t="s">
        <v>9567</v>
      </c>
      <c r="B486" s="2" t="s">
        <v>3020</v>
      </c>
      <c r="C486" s="2" t="s">
        <v>1313</v>
      </c>
      <c r="D486" s="2" t="s">
        <v>3021</v>
      </c>
      <c r="E486" s="2" t="s">
        <v>39</v>
      </c>
      <c r="F486" s="2"/>
      <c r="G486" s="2"/>
      <c r="H486" s="2"/>
      <c r="I486" s="3">
        <f t="shared" si="7"/>
        <v>91</v>
      </c>
    </row>
    <row r="487" spans="1:9" x14ac:dyDescent="0.3">
      <c r="A487" s="2" t="s">
        <v>9567</v>
      </c>
      <c r="B487" s="2" t="s">
        <v>3022</v>
      </c>
      <c r="C487" s="2" t="s">
        <v>354</v>
      </c>
      <c r="D487" s="2" t="s">
        <v>3023</v>
      </c>
      <c r="E487" s="2" t="s">
        <v>39</v>
      </c>
      <c r="F487" s="2"/>
      <c r="G487" s="2"/>
      <c r="H487" s="2"/>
      <c r="I487" s="3">
        <f t="shared" si="7"/>
        <v>91</v>
      </c>
    </row>
    <row r="488" spans="1:9" x14ac:dyDescent="0.3">
      <c r="A488" s="2" t="s">
        <v>9568</v>
      </c>
      <c r="B488" s="2" t="s">
        <v>2184</v>
      </c>
      <c r="C488" s="2" t="s">
        <v>2984</v>
      </c>
      <c r="D488" s="2" t="s">
        <v>2985</v>
      </c>
      <c r="E488" s="2"/>
      <c r="F488" s="2"/>
      <c r="G488" s="2"/>
      <c r="H488" s="2"/>
      <c r="I488" s="3">
        <f t="shared" si="7"/>
        <v>91</v>
      </c>
    </row>
    <row r="489" spans="1:9" x14ac:dyDescent="0.3">
      <c r="A489" s="2" t="s">
        <v>9568</v>
      </c>
      <c r="B489" s="2" t="s">
        <v>3017</v>
      </c>
      <c r="C489" s="2" t="s">
        <v>3018</v>
      </c>
      <c r="D489" s="2" t="s">
        <v>3019</v>
      </c>
      <c r="E489" s="2"/>
      <c r="F489" s="2"/>
      <c r="G489" s="2"/>
      <c r="H489" s="2"/>
      <c r="I489" s="3">
        <f t="shared" si="7"/>
        <v>91</v>
      </c>
    </row>
    <row r="490" spans="1:9" x14ac:dyDescent="0.3">
      <c r="A490" s="2" t="s">
        <v>9568</v>
      </c>
      <c r="B490" s="2" t="s">
        <v>1406</v>
      </c>
      <c r="C490" s="2" t="s">
        <v>1451</v>
      </c>
      <c r="D490" s="2" t="s">
        <v>3026</v>
      </c>
      <c r="E490" s="2"/>
      <c r="F490" s="2"/>
      <c r="G490" s="2"/>
      <c r="H490" s="2"/>
      <c r="I490" s="3">
        <f t="shared" si="7"/>
        <v>91</v>
      </c>
    </row>
    <row r="491" spans="1:9" ht="24" x14ac:dyDescent="0.3">
      <c r="A491" s="2" t="s">
        <v>9570</v>
      </c>
      <c r="B491" s="2" t="s">
        <v>2986</v>
      </c>
      <c r="C491" s="2" t="s">
        <v>2987</v>
      </c>
      <c r="D491" s="2" t="s">
        <v>2988</v>
      </c>
      <c r="E491" s="2" t="s">
        <v>39</v>
      </c>
      <c r="F491" s="2"/>
      <c r="G491" s="2"/>
      <c r="H491" s="2"/>
      <c r="I491" s="3">
        <f t="shared" si="7"/>
        <v>91</v>
      </c>
    </row>
    <row r="492" spans="1:9" x14ac:dyDescent="0.3">
      <c r="A492" s="2" t="s">
        <v>9571</v>
      </c>
      <c r="B492" s="2" t="s">
        <v>2995</v>
      </c>
      <c r="C492" s="2"/>
      <c r="D492" s="2" t="s">
        <v>2996</v>
      </c>
      <c r="E492" s="2"/>
      <c r="F492" s="2"/>
      <c r="G492" s="2"/>
      <c r="H492" s="2" t="s">
        <v>898</v>
      </c>
      <c r="I492" s="3">
        <f t="shared" si="7"/>
        <v>91</v>
      </c>
    </row>
    <row r="493" spans="1:9" x14ac:dyDescent="0.3">
      <c r="A493" s="2" t="s">
        <v>9571</v>
      </c>
      <c r="B493" s="2" t="s">
        <v>2403</v>
      </c>
      <c r="C493" s="2"/>
      <c r="D493" s="2" t="s">
        <v>2992</v>
      </c>
      <c r="E493" s="2"/>
      <c r="F493" s="2"/>
      <c r="G493" s="2"/>
      <c r="H493" s="2"/>
      <c r="I493" s="3">
        <f t="shared" si="7"/>
        <v>91</v>
      </c>
    </row>
    <row r="494" spans="1:9" x14ac:dyDescent="0.3">
      <c r="A494" s="2" t="s">
        <v>9567</v>
      </c>
      <c r="B494" s="2" t="s">
        <v>3032</v>
      </c>
      <c r="C494" s="2" t="s">
        <v>590</v>
      </c>
      <c r="D494" s="2" t="s">
        <v>3033</v>
      </c>
      <c r="E494" s="2" t="s">
        <v>383</v>
      </c>
      <c r="F494" s="2"/>
      <c r="G494" s="2"/>
      <c r="H494" s="2" t="s">
        <v>194</v>
      </c>
      <c r="I494" s="3">
        <f t="shared" si="7"/>
        <v>92</v>
      </c>
    </row>
    <row r="495" spans="1:9" x14ac:dyDescent="0.3">
      <c r="A495" s="2" t="s">
        <v>9567</v>
      </c>
      <c r="B495" s="2" t="s">
        <v>3043</v>
      </c>
      <c r="C495" s="2" t="s">
        <v>354</v>
      </c>
      <c r="D495" s="2" t="s">
        <v>3044</v>
      </c>
      <c r="E495" s="2" t="s">
        <v>39</v>
      </c>
      <c r="F495" s="2"/>
      <c r="G495" s="2"/>
      <c r="H495" s="2"/>
      <c r="I495" s="3">
        <f t="shared" si="7"/>
        <v>92</v>
      </c>
    </row>
    <row r="496" spans="1:9" ht="24" x14ac:dyDescent="0.3">
      <c r="A496" s="2" t="s">
        <v>9568</v>
      </c>
      <c r="B496" s="2" t="s">
        <v>3027</v>
      </c>
      <c r="C496" s="2" t="s">
        <v>2582</v>
      </c>
      <c r="D496" s="2" t="s">
        <v>3028</v>
      </c>
      <c r="E496" s="2" t="s">
        <v>2524</v>
      </c>
      <c r="F496" s="2"/>
      <c r="G496" s="2"/>
      <c r="H496" s="2" t="s">
        <v>898</v>
      </c>
      <c r="I496" s="3">
        <f t="shared" si="7"/>
        <v>92</v>
      </c>
    </row>
    <row r="497" spans="1:9" x14ac:dyDescent="0.3">
      <c r="A497" s="2" t="s">
        <v>9568</v>
      </c>
      <c r="B497" s="2" t="s">
        <v>3069</v>
      </c>
      <c r="C497" s="2" t="s">
        <v>3070</v>
      </c>
      <c r="D497" s="2" t="s">
        <v>3071</v>
      </c>
      <c r="E497" s="2" t="s">
        <v>39</v>
      </c>
      <c r="F497" s="2"/>
      <c r="G497" s="2"/>
      <c r="H497" s="2"/>
      <c r="I497" s="3">
        <f t="shared" si="7"/>
        <v>92</v>
      </c>
    </row>
    <row r="498" spans="1:9" x14ac:dyDescent="0.3">
      <c r="A498" s="2" t="s">
        <v>9568</v>
      </c>
      <c r="B498" s="2" t="s">
        <v>827</v>
      </c>
      <c r="C498" s="2" t="s">
        <v>2868</v>
      </c>
      <c r="D498" s="2" t="s">
        <v>3072</v>
      </c>
      <c r="E498" s="2"/>
      <c r="F498" s="2"/>
      <c r="G498" s="2"/>
      <c r="H498" s="2"/>
      <c r="I498" s="3">
        <f t="shared" si="7"/>
        <v>92</v>
      </c>
    </row>
    <row r="499" spans="1:9" x14ac:dyDescent="0.3">
      <c r="A499" s="2" t="s">
        <v>9567</v>
      </c>
      <c r="B499" s="2" t="s">
        <v>3085</v>
      </c>
      <c r="C499" s="2" t="s">
        <v>354</v>
      </c>
      <c r="D499" s="2" t="s">
        <v>3086</v>
      </c>
      <c r="E499" s="2" t="s">
        <v>39</v>
      </c>
      <c r="F499" s="2"/>
      <c r="G499" s="2"/>
      <c r="H499" s="2"/>
      <c r="I499" s="3">
        <f t="shared" si="7"/>
        <v>93</v>
      </c>
    </row>
    <row r="500" spans="1:9" x14ac:dyDescent="0.3">
      <c r="A500" s="2" t="s">
        <v>9567</v>
      </c>
      <c r="B500" s="2" t="s">
        <v>1445</v>
      </c>
      <c r="C500" s="2" t="s">
        <v>354</v>
      </c>
      <c r="D500" s="2" t="s">
        <v>3116</v>
      </c>
      <c r="E500" s="2"/>
      <c r="F500" s="2"/>
      <c r="G500" s="2"/>
      <c r="H500" s="2" t="s">
        <v>194</v>
      </c>
      <c r="I500" s="3">
        <f t="shared" si="7"/>
        <v>93</v>
      </c>
    </row>
    <row r="501" spans="1:9" x14ac:dyDescent="0.3">
      <c r="A501" s="2" t="s">
        <v>9568</v>
      </c>
      <c r="B501" s="2" t="s">
        <v>3113</v>
      </c>
      <c r="C501" s="2" t="s">
        <v>1244</v>
      </c>
      <c r="D501" s="2" t="s">
        <v>3114</v>
      </c>
      <c r="E501" s="2" t="s">
        <v>39</v>
      </c>
      <c r="F501" s="2"/>
      <c r="G501" s="2"/>
      <c r="H501" s="2"/>
      <c r="I501" s="3">
        <f t="shared" si="7"/>
        <v>93</v>
      </c>
    </row>
    <row r="502" spans="1:9" x14ac:dyDescent="0.3">
      <c r="A502" s="2" t="s">
        <v>9568</v>
      </c>
      <c r="B502" s="2" t="s">
        <v>1290</v>
      </c>
      <c r="C502" s="2" t="s">
        <v>1754</v>
      </c>
      <c r="D502" s="2" t="s">
        <v>3115</v>
      </c>
      <c r="E502" s="2" t="s">
        <v>39</v>
      </c>
      <c r="F502" s="2"/>
      <c r="G502" s="2"/>
      <c r="H502" s="2"/>
      <c r="I502" s="3">
        <f t="shared" si="7"/>
        <v>93</v>
      </c>
    </row>
    <row r="503" spans="1:9" x14ac:dyDescent="0.3">
      <c r="A503" s="2" t="s">
        <v>9570</v>
      </c>
      <c r="B503" s="2" t="s">
        <v>3073</v>
      </c>
      <c r="C503" s="2" t="s">
        <v>389</v>
      </c>
      <c r="D503" s="2" t="s">
        <v>3074</v>
      </c>
      <c r="E503" s="2"/>
      <c r="F503" s="2"/>
      <c r="G503" s="2"/>
      <c r="H503" s="2"/>
      <c r="I503" s="3">
        <f t="shared" si="7"/>
        <v>93</v>
      </c>
    </row>
    <row r="504" spans="1:9" x14ac:dyDescent="0.3">
      <c r="A504" s="2" t="s">
        <v>9570</v>
      </c>
      <c r="B504" s="2" t="s">
        <v>3077</v>
      </c>
      <c r="C504" s="2"/>
      <c r="D504" s="2" t="s">
        <v>3078</v>
      </c>
      <c r="E504" s="2"/>
      <c r="F504" s="2"/>
      <c r="G504" s="2"/>
      <c r="H504" s="2"/>
      <c r="I504" s="3">
        <f t="shared" si="7"/>
        <v>93</v>
      </c>
    </row>
    <row r="505" spans="1:9" x14ac:dyDescent="0.3">
      <c r="A505" s="2" t="s">
        <v>9571</v>
      </c>
      <c r="B505" s="2" t="s">
        <v>3075</v>
      </c>
      <c r="C505" s="2" t="s">
        <v>807</v>
      </c>
      <c r="D505" s="2" t="s">
        <v>3076</v>
      </c>
      <c r="E505" s="2" t="s">
        <v>39</v>
      </c>
      <c r="F505" s="2"/>
      <c r="G505" s="2"/>
      <c r="H505" s="2"/>
      <c r="I505" s="3">
        <f t="shared" si="7"/>
        <v>93</v>
      </c>
    </row>
    <row r="506" spans="1:9" x14ac:dyDescent="0.3">
      <c r="A506" s="2" t="s">
        <v>9567</v>
      </c>
      <c r="B506" s="2" t="s">
        <v>3132</v>
      </c>
      <c r="C506" s="2" t="s">
        <v>186</v>
      </c>
      <c r="D506" s="2" t="s">
        <v>3133</v>
      </c>
      <c r="E506" s="2"/>
      <c r="F506" s="2"/>
      <c r="G506" s="2"/>
      <c r="H506" s="2"/>
      <c r="I506" s="3">
        <f t="shared" si="7"/>
        <v>94</v>
      </c>
    </row>
    <row r="507" spans="1:9" x14ac:dyDescent="0.3">
      <c r="A507" s="2" t="s">
        <v>9571</v>
      </c>
      <c r="B507" s="2" t="s">
        <v>1321</v>
      </c>
      <c r="C507" s="2" t="s">
        <v>389</v>
      </c>
      <c r="D507" s="2" t="s">
        <v>3119</v>
      </c>
      <c r="E507" s="2"/>
      <c r="F507" s="2"/>
      <c r="G507" s="2"/>
      <c r="H507" s="2"/>
      <c r="I507" s="3">
        <f t="shared" si="7"/>
        <v>94</v>
      </c>
    </row>
    <row r="508" spans="1:9" x14ac:dyDescent="0.3">
      <c r="A508" s="2" t="s">
        <v>9571</v>
      </c>
      <c r="B508" s="2" t="s">
        <v>3122</v>
      </c>
      <c r="C508" s="2" t="s">
        <v>332</v>
      </c>
      <c r="D508" s="2" t="s">
        <v>3123</v>
      </c>
      <c r="E508" s="2"/>
      <c r="F508" s="2"/>
      <c r="G508" s="2"/>
      <c r="H508" s="2" t="s">
        <v>898</v>
      </c>
      <c r="I508" s="3">
        <f t="shared" si="7"/>
        <v>94</v>
      </c>
    </row>
    <row r="509" spans="1:9" x14ac:dyDescent="0.3">
      <c r="A509" s="2" t="s">
        <v>9567</v>
      </c>
      <c r="B509" s="2" t="s">
        <v>3194</v>
      </c>
      <c r="C509" s="2" t="s">
        <v>2698</v>
      </c>
      <c r="D509" s="2" t="s">
        <v>3195</v>
      </c>
      <c r="E509" s="2"/>
      <c r="F509" s="2"/>
      <c r="G509" s="2"/>
      <c r="H509" s="2"/>
      <c r="I509" s="3">
        <f t="shared" si="7"/>
        <v>95</v>
      </c>
    </row>
    <row r="510" spans="1:9" ht="24" x14ac:dyDescent="0.3">
      <c r="A510" s="2" t="s">
        <v>9571</v>
      </c>
      <c r="B510" s="2" t="s">
        <v>1356</v>
      </c>
      <c r="C510" s="2"/>
      <c r="D510" s="2" t="s">
        <v>3166</v>
      </c>
      <c r="E510" s="2"/>
      <c r="F510" s="2"/>
      <c r="G510" s="2"/>
      <c r="H510" s="2" t="s">
        <v>898</v>
      </c>
      <c r="I510" s="3">
        <f t="shared" si="7"/>
        <v>95</v>
      </c>
    </row>
    <row r="511" spans="1:9" x14ac:dyDescent="0.3">
      <c r="A511" s="2" t="s">
        <v>9571</v>
      </c>
      <c r="B511" s="2" t="s">
        <v>3164</v>
      </c>
      <c r="C511" s="2" t="s">
        <v>1647</v>
      </c>
      <c r="D511" s="2" t="s">
        <v>3165</v>
      </c>
      <c r="E511" s="2"/>
      <c r="F511" s="2"/>
      <c r="G511" s="2"/>
      <c r="H511" s="2"/>
      <c r="I511" s="3">
        <f t="shared" si="7"/>
        <v>95</v>
      </c>
    </row>
    <row r="512" spans="1:9" x14ac:dyDescent="0.3">
      <c r="A512" s="2" t="s">
        <v>9571</v>
      </c>
      <c r="B512" s="2" t="s">
        <v>3167</v>
      </c>
      <c r="C512" s="2" t="s">
        <v>3168</v>
      </c>
      <c r="D512" s="2" t="s">
        <v>3169</v>
      </c>
      <c r="E512" s="2" t="s">
        <v>39</v>
      </c>
      <c r="F512" s="2"/>
      <c r="G512" s="2"/>
      <c r="H512" s="2"/>
      <c r="I512" s="3">
        <f t="shared" si="7"/>
        <v>95</v>
      </c>
    </row>
    <row r="513" spans="1:9" ht="24" x14ac:dyDescent="0.3">
      <c r="A513" s="2" t="s">
        <v>9571</v>
      </c>
      <c r="B513" s="2" t="s">
        <v>3201</v>
      </c>
      <c r="C513" s="2"/>
      <c r="D513" s="2" t="s">
        <v>3202</v>
      </c>
      <c r="E513" s="2" t="s">
        <v>39</v>
      </c>
      <c r="F513" s="2"/>
      <c r="G513" s="2"/>
      <c r="H513" s="2"/>
      <c r="I513" s="3">
        <f t="shared" si="7"/>
        <v>95</v>
      </c>
    </row>
    <row r="514" spans="1:9" x14ac:dyDescent="0.3">
      <c r="A514" s="2" t="s">
        <v>9567</v>
      </c>
      <c r="B514" s="2" t="s">
        <v>3217</v>
      </c>
      <c r="C514" s="2" t="s">
        <v>354</v>
      </c>
      <c r="D514" s="2" t="s">
        <v>3218</v>
      </c>
      <c r="E514" s="2"/>
      <c r="F514" s="2"/>
      <c r="G514" s="2"/>
      <c r="H514" s="2" t="s">
        <v>194</v>
      </c>
      <c r="I514" s="3">
        <f t="shared" ref="I514:I577" si="8">LEN(D514)</f>
        <v>96</v>
      </c>
    </row>
    <row r="515" spans="1:9" x14ac:dyDescent="0.3">
      <c r="A515" s="2" t="s">
        <v>9567</v>
      </c>
      <c r="B515" s="2" t="s">
        <v>3221</v>
      </c>
      <c r="C515" s="2" t="s">
        <v>354</v>
      </c>
      <c r="D515" s="2" t="s">
        <v>3222</v>
      </c>
      <c r="E515" s="2" t="s">
        <v>393</v>
      </c>
      <c r="F515" s="2"/>
      <c r="G515" s="2"/>
      <c r="H515" s="2"/>
      <c r="I515" s="3">
        <f t="shared" si="8"/>
        <v>96</v>
      </c>
    </row>
    <row r="516" spans="1:9" x14ac:dyDescent="0.3">
      <c r="A516" s="2" t="s">
        <v>9568</v>
      </c>
      <c r="B516" s="2" t="s">
        <v>3244</v>
      </c>
      <c r="C516" s="2" t="s">
        <v>2868</v>
      </c>
      <c r="D516" s="2" t="s">
        <v>3245</v>
      </c>
      <c r="E516" s="2"/>
      <c r="F516" s="2"/>
      <c r="G516" s="2"/>
      <c r="H516" s="2"/>
      <c r="I516" s="3">
        <f t="shared" si="8"/>
        <v>96</v>
      </c>
    </row>
    <row r="517" spans="1:9" x14ac:dyDescent="0.3">
      <c r="A517" s="2" t="s">
        <v>9571</v>
      </c>
      <c r="B517" s="2" t="s">
        <v>3213</v>
      </c>
      <c r="C517" s="2"/>
      <c r="D517" s="2" t="s">
        <v>3214</v>
      </c>
      <c r="E517" s="2"/>
      <c r="F517" s="2"/>
      <c r="G517" s="2"/>
      <c r="H517" s="2"/>
      <c r="I517" s="3">
        <f t="shared" si="8"/>
        <v>96</v>
      </c>
    </row>
    <row r="518" spans="1:9" x14ac:dyDescent="0.3">
      <c r="A518" s="2" t="s">
        <v>9567</v>
      </c>
      <c r="B518" s="2" t="s">
        <v>1156</v>
      </c>
      <c r="C518" s="2" t="s">
        <v>354</v>
      </c>
      <c r="D518" s="2" t="s">
        <v>3262</v>
      </c>
      <c r="E518" s="2" t="s">
        <v>3263</v>
      </c>
      <c r="F518" s="2"/>
      <c r="G518" s="2"/>
      <c r="H518" s="2"/>
      <c r="I518" s="3">
        <f t="shared" si="8"/>
        <v>97</v>
      </c>
    </row>
    <row r="519" spans="1:9" x14ac:dyDescent="0.3">
      <c r="A519" s="2" t="s">
        <v>9568</v>
      </c>
      <c r="B519" s="2" t="s">
        <v>642</v>
      </c>
      <c r="C519" s="2" t="s">
        <v>268</v>
      </c>
      <c r="D519" s="2" t="s">
        <v>3247</v>
      </c>
      <c r="E519" s="2"/>
      <c r="F519" s="2"/>
      <c r="G519" s="2"/>
      <c r="H519" s="2"/>
      <c r="I519" s="3">
        <f t="shared" si="8"/>
        <v>97</v>
      </c>
    </row>
    <row r="520" spans="1:9" x14ac:dyDescent="0.3">
      <c r="A520" s="2" t="s">
        <v>9568</v>
      </c>
      <c r="B520" s="2" t="s">
        <v>1634</v>
      </c>
      <c r="C520" s="2" t="s">
        <v>268</v>
      </c>
      <c r="D520" s="2" t="s">
        <v>3248</v>
      </c>
      <c r="E520" s="2"/>
      <c r="F520" s="2"/>
      <c r="G520" s="2"/>
      <c r="H520" s="2"/>
      <c r="I520" s="3">
        <f t="shared" si="8"/>
        <v>97</v>
      </c>
    </row>
    <row r="521" spans="1:9" x14ac:dyDescent="0.3">
      <c r="A521" s="2" t="s">
        <v>9568</v>
      </c>
      <c r="B521" s="2" t="s">
        <v>3252</v>
      </c>
      <c r="C521" s="2" t="s">
        <v>1642</v>
      </c>
      <c r="D521" s="2" t="s">
        <v>3253</v>
      </c>
      <c r="E521" s="2"/>
      <c r="F521" s="2"/>
      <c r="G521" s="2"/>
      <c r="H521" s="2" t="s">
        <v>1644</v>
      </c>
      <c r="I521" s="3">
        <f t="shared" si="8"/>
        <v>97</v>
      </c>
    </row>
    <row r="522" spans="1:9" x14ac:dyDescent="0.3">
      <c r="A522" s="2" t="s">
        <v>9568</v>
      </c>
      <c r="B522" s="2" t="s">
        <v>3254</v>
      </c>
      <c r="C522" s="2" t="s">
        <v>860</v>
      </c>
      <c r="D522" s="2" t="s">
        <v>3255</v>
      </c>
      <c r="E522" s="2" t="s">
        <v>39</v>
      </c>
      <c r="F522" s="2"/>
      <c r="G522" s="2"/>
      <c r="H522" s="2"/>
      <c r="I522" s="3">
        <f t="shared" si="8"/>
        <v>97</v>
      </c>
    </row>
    <row r="523" spans="1:9" x14ac:dyDescent="0.3">
      <c r="A523" s="2" t="s">
        <v>9571</v>
      </c>
      <c r="B523" s="2" t="s">
        <v>3260</v>
      </c>
      <c r="C523" s="2" t="s">
        <v>1647</v>
      </c>
      <c r="D523" s="2" t="s">
        <v>3261</v>
      </c>
      <c r="E523" s="2"/>
      <c r="F523" s="2"/>
      <c r="G523" s="2"/>
      <c r="H523" s="2" t="s">
        <v>1644</v>
      </c>
      <c r="I523" s="3">
        <f t="shared" si="8"/>
        <v>97</v>
      </c>
    </row>
    <row r="524" spans="1:9" x14ac:dyDescent="0.3">
      <c r="A524" s="2" t="s">
        <v>9567</v>
      </c>
      <c r="B524" s="2" t="s">
        <v>3301</v>
      </c>
      <c r="C524" s="2" t="s">
        <v>500</v>
      </c>
      <c r="D524" s="2" t="s">
        <v>3302</v>
      </c>
      <c r="E524" s="2" t="s">
        <v>39</v>
      </c>
      <c r="F524" s="2"/>
      <c r="G524" s="2"/>
      <c r="H524" s="2" t="s">
        <v>402</v>
      </c>
      <c r="I524" s="3">
        <f t="shared" si="8"/>
        <v>98</v>
      </c>
    </row>
    <row r="525" spans="1:9" x14ac:dyDescent="0.3">
      <c r="A525" s="2" t="s">
        <v>9567</v>
      </c>
      <c r="B525" s="2" t="s">
        <v>3322</v>
      </c>
      <c r="C525" s="2" t="s">
        <v>354</v>
      </c>
      <c r="D525" s="2" t="s">
        <v>3323</v>
      </c>
      <c r="E525" s="2" t="s">
        <v>1776</v>
      </c>
      <c r="F525" s="2"/>
      <c r="G525" s="2"/>
      <c r="H525" s="2"/>
      <c r="I525" s="3">
        <f t="shared" si="8"/>
        <v>98</v>
      </c>
    </row>
    <row r="526" spans="1:9" x14ac:dyDescent="0.3">
      <c r="A526" s="2" t="s">
        <v>9567</v>
      </c>
      <c r="B526" s="2" t="s">
        <v>3337</v>
      </c>
      <c r="C526" s="2"/>
      <c r="D526" s="2" t="s">
        <v>3338</v>
      </c>
      <c r="E526" s="2" t="s">
        <v>39</v>
      </c>
      <c r="F526" s="2"/>
      <c r="G526" s="2"/>
      <c r="H526" s="2"/>
      <c r="I526" s="3">
        <f t="shared" si="8"/>
        <v>98</v>
      </c>
    </row>
    <row r="527" spans="1:9" x14ac:dyDescent="0.3">
      <c r="A527" s="2" t="s">
        <v>9568</v>
      </c>
      <c r="B527" s="2" t="s">
        <v>336</v>
      </c>
      <c r="C527" s="2" t="s">
        <v>337</v>
      </c>
      <c r="D527" s="2" t="s">
        <v>3298</v>
      </c>
      <c r="E527" s="2"/>
      <c r="F527" s="2"/>
      <c r="G527" s="2"/>
      <c r="H527" s="2"/>
      <c r="I527" s="3">
        <f t="shared" si="8"/>
        <v>98</v>
      </c>
    </row>
    <row r="528" spans="1:9" x14ac:dyDescent="0.3">
      <c r="A528" s="2" t="s">
        <v>9568</v>
      </c>
      <c r="B528" s="2" t="s">
        <v>3299</v>
      </c>
      <c r="C528" s="2" t="s">
        <v>860</v>
      </c>
      <c r="D528" s="2" t="s">
        <v>3300</v>
      </c>
      <c r="E528" s="2"/>
      <c r="F528" s="2"/>
      <c r="G528" s="2"/>
      <c r="H528" s="2"/>
      <c r="I528" s="3">
        <f t="shared" si="8"/>
        <v>98</v>
      </c>
    </row>
    <row r="529" spans="1:9" ht="24" x14ac:dyDescent="0.3">
      <c r="A529" s="2" t="s">
        <v>9568</v>
      </c>
      <c r="B529" s="2" t="s">
        <v>3307</v>
      </c>
      <c r="C529" s="2" t="s">
        <v>823</v>
      </c>
      <c r="D529" s="2" t="s">
        <v>3308</v>
      </c>
      <c r="E529" s="2"/>
      <c r="F529" s="2"/>
      <c r="G529" s="2"/>
      <c r="H529" s="2"/>
      <c r="I529" s="3">
        <f t="shared" si="8"/>
        <v>98</v>
      </c>
    </row>
    <row r="530" spans="1:9" ht="24" x14ac:dyDescent="0.3">
      <c r="A530" s="2" t="s">
        <v>9568</v>
      </c>
      <c r="B530" s="2" t="s">
        <v>3339</v>
      </c>
      <c r="C530" s="2" t="s">
        <v>1814</v>
      </c>
      <c r="D530" s="2" t="s">
        <v>3340</v>
      </c>
      <c r="E530" s="2" t="s">
        <v>39</v>
      </c>
      <c r="F530" s="2"/>
      <c r="G530" s="2"/>
      <c r="H530" s="2"/>
      <c r="I530" s="3">
        <f t="shared" si="8"/>
        <v>98</v>
      </c>
    </row>
    <row r="531" spans="1:9" ht="24" x14ac:dyDescent="0.3">
      <c r="A531" s="2" t="s">
        <v>9568</v>
      </c>
      <c r="B531" s="2" t="s">
        <v>2460</v>
      </c>
      <c r="C531" s="2" t="s">
        <v>2461</v>
      </c>
      <c r="D531" s="2" t="s">
        <v>3341</v>
      </c>
      <c r="E531" s="2"/>
      <c r="F531" s="2"/>
      <c r="G531" s="2"/>
      <c r="H531" s="2"/>
      <c r="I531" s="3">
        <f t="shared" si="8"/>
        <v>98</v>
      </c>
    </row>
    <row r="532" spans="1:9" ht="24" x14ac:dyDescent="0.3">
      <c r="A532" s="2" t="s">
        <v>9568</v>
      </c>
      <c r="B532" s="2" t="s">
        <v>3342</v>
      </c>
      <c r="C532" s="2" t="s">
        <v>2385</v>
      </c>
      <c r="D532" s="2" t="s">
        <v>3343</v>
      </c>
      <c r="E532" s="2"/>
      <c r="F532" s="2"/>
      <c r="G532" s="2"/>
      <c r="H532" s="2"/>
      <c r="I532" s="3">
        <f t="shared" si="8"/>
        <v>98</v>
      </c>
    </row>
    <row r="533" spans="1:9" x14ac:dyDescent="0.3">
      <c r="A533" s="2" t="s">
        <v>9570</v>
      </c>
      <c r="B533" s="2" t="s">
        <v>3313</v>
      </c>
      <c r="C533" s="2" t="s">
        <v>389</v>
      </c>
      <c r="D533" s="2" t="s">
        <v>3314</v>
      </c>
      <c r="E533" s="2"/>
      <c r="F533" s="2"/>
      <c r="G533" s="2"/>
      <c r="H533" s="2" t="s">
        <v>646</v>
      </c>
      <c r="I533" s="3">
        <f t="shared" si="8"/>
        <v>98</v>
      </c>
    </row>
    <row r="534" spans="1:9" x14ac:dyDescent="0.3">
      <c r="A534" s="2" t="s">
        <v>9571</v>
      </c>
      <c r="B534" s="2" t="s">
        <v>3296</v>
      </c>
      <c r="C534" s="2" t="s">
        <v>1639</v>
      </c>
      <c r="D534" s="2" t="s">
        <v>3297</v>
      </c>
      <c r="E534" s="2"/>
      <c r="F534" s="2"/>
      <c r="G534" s="2"/>
      <c r="H534" s="2"/>
      <c r="I534" s="3">
        <f t="shared" si="8"/>
        <v>98</v>
      </c>
    </row>
    <row r="535" spans="1:9" x14ac:dyDescent="0.3">
      <c r="A535" s="2" t="s">
        <v>9571</v>
      </c>
      <c r="B535" s="2" t="s">
        <v>3315</v>
      </c>
      <c r="C535" s="2" t="s">
        <v>3168</v>
      </c>
      <c r="D535" s="2" t="s">
        <v>3316</v>
      </c>
      <c r="E535" s="2" t="s">
        <v>39</v>
      </c>
      <c r="F535" s="2"/>
      <c r="G535" s="2"/>
      <c r="H535" s="2"/>
      <c r="I535" s="3">
        <f t="shared" si="8"/>
        <v>98</v>
      </c>
    </row>
    <row r="536" spans="1:9" x14ac:dyDescent="0.3">
      <c r="A536" s="2" t="s">
        <v>9571</v>
      </c>
      <c r="B536" s="2" t="s">
        <v>3330</v>
      </c>
      <c r="C536" s="2"/>
      <c r="D536" s="2" t="s">
        <v>3331</v>
      </c>
      <c r="E536" s="2"/>
      <c r="F536" s="2"/>
      <c r="G536" s="2"/>
      <c r="H536" s="2"/>
      <c r="I536" s="3">
        <f t="shared" si="8"/>
        <v>98</v>
      </c>
    </row>
    <row r="537" spans="1:9" x14ac:dyDescent="0.3">
      <c r="A537" s="2" t="s">
        <v>9567</v>
      </c>
      <c r="B537" s="2" t="s">
        <v>3380</v>
      </c>
      <c r="C537" s="2" t="s">
        <v>500</v>
      </c>
      <c r="D537" s="2" t="s">
        <v>3381</v>
      </c>
      <c r="E537" s="2" t="s">
        <v>39</v>
      </c>
      <c r="F537" s="2"/>
      <c r="G537" s="2"/>
      <c r="H537" s="2" t="s">
        <v>402</v>
      </c>
      <c r="I537" s="3">
        <f t="shared" si="8"/>
        <v>99</v>
      </c>
    </row>
    <row r="538" spans="1:9" x14ac:dyDescent="0.3">
      <c r="A538" s="2" t="s">
        <v>9568</v>
      </c>
      <c r="B538" s="2" t="s">
        <v>3375</v>
      </c>
      <c r="C538" s="2" t="s">
        <v>461</v>
      </c>
      <c r="D538" s="2" t="s">
        <v>3376</v>
      </c>
      <c r="E538" s="2" t="s">
        <v>39</v>
      </c>
      <c r="F538" s="2"/>
      <c r="G538" s="2"/>
      <c r="H538" s="2" t="s">
        <v>216</v>
      </c>
      <c r="I538" s="3">
        <f t="shared" si="8"/>
        <v>99</v>
      </c>
    </row>
    <row r="539" spans="1:9" ht="24" x14ac:dyDescent="0.3">
      <c r="A539" s="2" t="s">
        <v>9568</v>
      </c>
      <c r="B539" s="2" t="s">
        <v>1807</v>
      </c>
      <c r="C539" s="2" t="s">
        <v>1808</v>
      </c>
      <c r="D539" s="2" t="s">
        <v>3379</v>
      </c>
      <c r="E539" s="2"/>
      <c r="F539" s="2"/>
      <c r="G539" s="2"/>
      <c r="H539" s="2"/>
      <c r="I539" s="3">
        <f t="shared" si="8"/>
        <v>99</v>
      </c>
    </row>
    <row r="540" spans="1:9" ht="24" x14ac:dyDescent="0.3">
      <c r="A540" s="2" t="s">
        <v>9569</v>
      </c>
      <c r="B540" s="2" t="s">
        <v>1448</v>
      </c>
      <c r="C540" s="2" t="s">
        <v>590</v>
      </c>
      <c r="D540" s="2" t="s">
        <v>3362</v>
      </c>
      <c r="E540" s="2" t="s">
        <v>1510</v>
      </c>
      <c r="F540" s="2"/>
      <c r="G540" s="2"/>
      <c r="H540" s="2"/>
      <c r="I540" s="3">
        <f t="shared" si="8"/>
        <v>99</v>
      </c>
    </row>
    <row r="541" spans="1:9" x14ac:dyDescent="0.3">
      <c r="A541" s="2" t="s">
        <v>9570</v>
      </c>
      <c r="B541" s="2" t="s">
        <v>3344</v>
      </c>
      <c r="C541" s="2" t="s">
        <v>491</v>
      </c>
      <c r="D541" s="2" t="s">
        <v>3345</v>
      </c>
      <c r="E541" s="2" t="s">
        <v>39</v>
      </c>
      <c r="F541" s="2"/>
      <c r="G541" s="2"/>
      <c r="H541" s="2"/>
      <c r="I541" s="3">
        <f t="shared" si="8"/>
        <v>99</v>
      </c>
    </row>
    <row r="542" spans="1:9" x14ac:dyDescent="0.3">
      <c r="A542" s="2" t="s">
        <v>9571</v>
      </c>
      <c r="B542" s="2" t="s">
        <v>3353</v>
      </c>
      <c r="C542" s="2" t="s">
        <v>3168</v>
      </c>
      <c r="D542" s="2" t="s">
        <v>3354</v>
      </c>
      <c r="E542" s="2" t="s">
        <v>39</v>
      </c>
      <c r="F542" s="2"/>
      <c r="G542" s="2"/>
      <c r="H542" s="2"/>
      <c r="I542" s="3">
        <f t="shared" si="8"/>
        <v>99</v>
      </c>
    </row>
    <row r="543" spans="1:9" x14ac:dyDescent="0.3">
      <c r="A543" s="2" t="s">
        <v>9567</v>
      </c>
      <c r="B543" s="2" t="s">
        <v>3391</v>
      </c>
      <c r="C543" s="2" t="s">
        <v>263</v>
      </c>
      <c r="D543" s="2" t="s">
        <v>3392</v>
      </c>
      <c r="E543" s="2"/>
      <c r="F543" s="2"/>
      <c r="G543" s="2"/>
      <c r="H543" s="2"/>
      <c r="I543" s="3">
        <f t="shared" si="8"/>
        <v>100</v>
      </c>
    </row>
    <row r="544" spans="1:9" x14ac:dyDescent="0.3">
      <c r="A544" s="2" t="s">
        <v>9567</v>
      </c>
      <c r="B544" s="2" t="s">
        <v>619</v>
      </c>
      <c r="C544" s="2" t="s">
        <v>500</v>
      </c>
      <c r="D544" s="2" t="s">
        <v>3421</v>
      </c>
      <c r="E544" s="2" t="s">
        <v>39</v>
      </c>
      <c r="F544" s="2"/>
      <c r="G544" s="2"/>
      <c r="H544" s="2" t="s">
        <v>402</v>
      </c>
      <c r="I544" s="3">
        <f t="shared" si="8"/>
        <v>100</v>
      </c>
    </row>
    <row r="545" spans="1:9" x14ac:dyDescent="0.3">
      <c r="A545" s="2" t="s">
        <v>9568</v>
      </c>
      <c r="B545" s="2" t="s">
        <v>3384</v>
      </c>
      <c r="C545" s="2" t="s">
        <v>3385</v>
      </c>
      <c r="D545" s="2" t="s">
        <v>3386</v>
      </c>
      <c r="E545" s="2"/>
      <c r="F545" s="2"/>
      <c r="G545" s="2"/>
      <c r="H545" s="2" t="s">
        <v>1644</v>
      </c>
      <c r="I545" s="3">
        <f t="shared" si="8"/>
        <v>100</v>
      </c>
    </row>
    <row r="546" spans="1:9" ht="24" x14ac:dyDescent="0.3">
      <c r="A546" s="2" t="s">
        <v>9568</v>
      </c>
      <c r="B546" s="2" t="s">
        <v>3387</v>
      </c>
      <c r="C546" s="2" t="s">
        <v>3388</v>
      </c>
      <c r="D546" s="2" t="s">
        <v>3389</v>
      </c>
      <c r="E546" s="2" t="s">
        <v>39</v>
      </c>
      <c r="F546" s="2"/>
      <c r="G546" s="2"/>
      <c r="H546" s="2"/>
      <c r="I546" s="3">
        <f t="shared" si="8"/>
        <v>100</v>
      </c>
    </row>
    <row r="547" spans="1:9" x14ac:dyDescent="0.3">
      <c r="A547" s="2" t="s">
        <v>9571</v>
      </c>
      <c r="B547" s="2" t="s">
        <v>2355</v>
      </c>
      <c r="C547" s="2" t="s">
        <v>807</v>
      </c>
      <c r="D547" s="2" t="s">
        <v>3390</v>
      </c>
      <c r="E547" s="2" t="s">
        <v>39</v>
      </c>
      <c r="F547" s="2"/>
      <c r="G547" s="2"/>
      <c r="H547" s="2"/>
      <c r="I547" s="3">
        <f t="shared" si="8"/>
        <v>100</v>
      </c>
    </row>
    <row r="548" spans="1:9" x14ac:dyDescent="0.3">
      <c r="A548" s="2" t="s">
        <v>9567</v>
      </c>
      <c r="B548" s="2" t="s">
        <v>3438</v>
      </c>
      <c r="C548" s="2" t="s">
        <v>3439</v>
      </c>
      <c r="D548" s="2" t="s">
        <v>3440</v>
      </c>
      <c r="E548" s="2" t="s">
        <v>39</v>
      </c>
      <c r="F548" s="2"/>
      <c r="G548" s="2"/>
      <c r="H548" s="2"/>
      <c r="I548" s="3">
        <f t="shared" si="8"/>
        <v>101</v>
      </c>
    </row>
    <row r="549" spans="1:9" x14ac:dyDescent="0.3">
      <c r="A549" s="2" t="s">
        <v>9567</v>
      </c>
      <c r="B549" s="2" t="s">
        <v>3441</v>
      </c>
      <c r="C549" s="2" t="s">
        <v>354</v>
      </c>
      <c r="D549" s="2" t="s">
        <v>3442</v>
      </c>
      <c r="E549" s="2" t="s">
        <v>393</v>
      </c>
      <c r="F549" s="2"/>
      <c r="G549" s="2"/>
      <c r="H549" s="2"/>
      <c r="I549" s="3">
        <f t="shared" si="8"/>
        <v>101</v>
      </c>
    </row>
    <row r="550" spans="1:9" x14ac:dyDescent="0.3">
      <c r="A550" s="2" t="s">
        <v>9568</v>
      </c>
      <c r="B550" s="2" t="s">
        <v>3468</v>
      </c>
      <c r="C550" s="2" t="s">
        <v>1754</v>
      </c>
      <c r="D550" s="2" t="s">
        <v>3469</v>
      </c>
      <c r="E550" s="2"/>
      <c r="F550" s="2"/>
      <c r="G550" s="2"/>
      <c r="H550" s="2"/>
      <c r="I550" s="3">
        <f t="shared" si="8"/>
        <v>101</v>
      </c>
    </row>
    <row r="551" spans="1:9" x14ac:dyDescent="0.3">
      <c r="A551" s="2" t="s">
        <v>9568</v>
      </c>
      <c r="B551" s="2" t="s">
        <v>3470</v>
      </c>
      <c r="C551" s="2" t="s">
        <v>1754</v>
      </c>
      <c r="D551" s="2" t="s">
        <v>3471</v>
      </c>
      <c r="E551" s="2"/>
      <c r="F551" s="2"/>
      <c r="G551" s="2"/>
      <c r="H551" s="2"/>
      <c r="I551" s="3">
        <f t="shared" si="8"/>
        <v>101</v>
      </c>
    </row>
    <row r="552" spans="1:9" x14ac:dyDescent="0.3">
      <c r="A552" s="2" t="s">
        <v>9568</v>
      </c>
      <c r="B552" s="2" t="s">
        <v>3472</v>
      </c>
      <c r="C552" s="2" t="s">
        <v>3473</v>
      </c>
      <c r="D552" s="2" t="s">
        <v>3474</v>
      </c>
      <c r="E552" s="2" t="s">
        <v>734</v>
      </c>
      <c r="F552" s="2"/>
      <c r="G552" s="2"/>
      <c r="H552" s="2"/>
      <c r="I552" s="3">
        <f t="shared" si="8"/>
        <v>101</v>
      </c>
    </row>
    <row r="553" spans="1:9" ht="24" x14ac:dyDescent="0.3">
      <c r="A553" s="2" t="s">
        <v>9571</v>
      </c>
      <c r="B553" s="2" t="s">
        <v>3443</v>
      </c>
      <c r="C553" s="2" t="s">
        <v>3168</v>
      </c>
      <c r="D553" s="2" t="s">
        <v>3444</v>
      </c>
      <c r="E553" s="2" t="s">
        <v>39</v>
      </c>
      <c r="F553" s="2"/>
      <c r="G553" s="2"/>
      <c r="H553" s="2"/>
      <c r="I553" s="3">
        <f t="shared" si="8"/>
        <v>101</v>
      </c>
    </row>
    <row r="554" spans="1:9" x14ac:dyDescent="0.3">
      <c r="A554" s="2" t="s">
        <v>9567</v>
      </c>
      <c r="B554" s="2" t="s">
        <v>3481</v>
      </c>
      <c r="C554" s="2"/>
      <c r="D554" s="2" t="s">
        <v>3482</v>
      </c>
      <c r="E554" s="2" t="s">
        <v>39</v>
      </c>
      <c r="F554" s="2"/>
      <c r="G554" s="2"/>
      <c r="H554" s="2"/>
      <c r="I554" s="3">
        <f t="shared" si="8"/>
        <v>102</v>
      </c>
    </row>
    <row r="555" spans="1:9" ht="24" x14ac:dyDescent="0.3">
      <c r="A555" s="2" t="s">
        <v>9567</v>
      </c>
      <c r="B555" s="2" t="s">
        <v>3483</v>
      </c>
      <c r="C555" s="2" t="s">
        <v>408</v>
      </c>
      <c r="D555" s="2" t="s">
        <v>3484</v>
      </c>
      <c r="E555" s="2"/>
      <c r="F555" s="2"/>
      <c r="G555" s="2"/>
      <c r="H555" s="2"/>
      <c r="I555" s="3">
        <f t="shared" si="8"/>
        <v>102</v>
      </c>
    </row>
    <row r="556" spans="1:9" x14ac:dyDescent="0.3">
      <c r="A556" s="2" t="s">
        <v>9567</v>
      </c>
      <c r="B556" s="2" t="s">
        <v>246</v>
      </c>
      <c r="C556" s="2" t="s">
        <v>263</v>
      </c>
      <c r="D556" s="2" t="s">
        <v>3506</v>
      </c>
      <c r="E556" s="2" t="s">
        <v>39</v>
      </c>
      <c r="F556" s="2"/>
      <c r="G556" s="2"/>
      <c r="H556" s="2"/>
      <c r="I556" s="3">
        <f t="shared" si="8"/>
        <v>102</v>
      </c>
    </row>
    <row r="557" spans="1:9" x14ac:dyDescent="0.3">
      <c r="A557" s="2" t="s">
        <v>9568</v>
      </c>
      <c r="B557" s="2" t="s">
        <v>1634</v>
      </c>
      <c r="C557" s="2" t="s">
        <v>3490</v>
      </c>
      <c r="D557" s="2" t="s">
        <v>3491</v>
      </c>
      <c r="E557" s="2"/>
      <c r="F557" s="2"/>
      <c r="G557" s="2"/>
      <c r="H557" s="2"/>
      <c r="I557" s="3">
        <f t="shared" si="8"/>
        <v>102</v>
      </c>
    </row>
    <row r="558" spans="1:9" x14ac:dyDescent="0.3">
      <c r="A558" s="2" t="s">
        <v>9568</v>
      </c>
      <c r="B558" s="2" t="s">
        <v>3507</v>
      </c>
      <c r="C558" s="2" t="s">
        <v>823</v>
      </c>
      <c r="D558" s="2" t="s">
        <v>3508</v>
      </c>
      <c r="E558" s="2"/>
      <c r="F558" s="2"/>
      <c r="G558" s="2"/>
      <c r="H558" s="2"/>
      <c r="I558" s="3">
        <f t="shared" si="8"/>
        <v>102</v>
      </c>
    </row>
    <row r="559" spans="1:9" x14ac:dyDescent="0.3">
      <c r="A559" s="2" t="s">
        <v>9568</v>
      </c>
      <c r="B559" s="2" t="s">
        <v>3509</v>
      </c>
      <c r="C559" s="2" t="s">
        <v>3510</v>
      </c>
      <c r="D559" s="2" t="s">
        <v>3511</v>
      </c>
      <c r="E559" s="2" t="s">
        <v>39</v>
      </c>
      <c r="F559" s="2"/>
      <c r="G559" s="2"/>
      <c r="H559" s="2"/>
      <c r="I559" s="3">
        <f t="shared" si="8"/>
        <v>102</v>
      </c>
    </row>
    <row r="560" spans="1:9" ht="24" x14ac:dyDescent="0.3">
      <c r="A560" s="2" t="s">
        <v>9568</v>
      </c>
      <c r="B560" s="2" t="s">
        <v>3512</v>
      </c>
      <c r="C560" s="2" t="s">
        <v>1293</v>
      </c>
      <c r="D560" s="2" t="s">
        <v>3513</v>
      </c>
      <c r="E560" s="2"/>
      <c r="F560" s="2"/>
      <c r="G560" s="2"/>
      <c r="H560" s="2"/>
      <c r="I560" s="3">
        <f t="shared" si="8"/>
        <v>102</v>
      </c>
    </row>
    <row r="561" spans="1:9" ht="24" x14ac:dyDescent="0.3">
      <c r="A561" s="2" t="s">
        <v>9570</v>
      </c>
      <c r="B561" s="2" t="s">
        <v>3475</v>
      </c>
      <c r="C561" s="2" t="s">
        <v>389</v>
      </c>
      <c r="D561" s="2" t="s">
        <v>3476</v>
      </c>
      <c r="E561" s="2" t="s">
        <v>39</v>
      </c>
      <c r="F561" s="2"/>
      <c r="G561" s="2"/>
      <c r="H561" s="2"/>
      <c r="I561" s="3">
        <f t="shared" si="8"/>
        <v>102</v>
      </c>
    </row>
    <row r="562" spans="1:9" x14ac:dyDescent="0.3">
      <c r="A562" s="2" t="s">
        <v>9570</v>
      </c>
      <c r="B562" s="2" t="s">
        <v>3477</v>
      </c>
      <c r="C562" s="2" t="s">
        <v>389</v>
      </c>
      <c r="D562" s="2" t="s">
        <v>3478</v>
      </c>
      <c r="E562" s="2" t="s">
        <v>39</v>
      </c>
      <c r="F562" s="2"/>
      <c r="G562" s="2"/>
      <c r="H562" s="2"/>
      <c r="I562" s="3">
        <f t="shared" si="8"/>
        <v>102</v>
      </c>
    </row>
    <row r="563" spans="1:9" ht="24" x14ac:dyDescent="0.3">
      <c r="A563" s="2" t="s">
        <v>9567</v>
      </c>
      <c r="B563" s="2" t="s">
        <v>3518</v>
      </c>
      <c r="C563" s="2" t="s">
        <v>1647</v>
      </c>
      <c r="D563" s="2" t="s">
        <v>3519</v>
      </c>
      <c r="E563" s="2"/>
      <c r="F563" s="2"/>
      <c r="G563" s="2"/>
      <c r="H563" s="2" t="s">
        <v>1644</v>
      </c>
      <c r="I563" s="3">
        <f t="shared" si="8"/>
        <v>103</v>
      </c>
    </row>
    <row r="564" spans="1:9" x14ac:dyDescent="0.3">
      <c r="A564" s="2" t="s">
        <v>9567</v>
      </c>
      <c r="B564" s="2" t="s">
        <v>2051</v>
      </c>
      <c r="C564" s="2" t="s">
        <v>354</v>
      </c>
      <c r="D564" s="2" t="s">
        <v>3525</v>
      </c>
      <c r="E564" s="2" t="s">
        <v>39</v>
      </c>
      <c r="F564" s="2"/>
      <c r="G564" s="2"/>
      <c r="H564" s="2"/>
      <c r="I564" s="3">
        <f t="shared" si="8"/>
        <v>103</v>
      </c>
    </row>
    <row r="565" spans="1:9" x14ac:dyDescent="0.3">
      <c r="A565" s="2" t="s">
        <v>9567</v>
      </c>
      <c r="B565" s="2" t="s">
        <v>1156</v>
      </c>
      <c r="C565" s="2" t="s">
        <v>354</v>
      </c>
      <c r="D565" s="2" t="s">
        <v>3526</v>
      </c>
      <c r="E565" s="2" t="s">
        <v>433</v>
      </c>
      <c r="F565" s="2"/>
      <c r="G565" s="2"/>
      <c r="H565" s="2"/>
      <c r="I565" s="3">
        <f t="shared" si="8"/>
        <v>103</v>
      </c>
    </row>
    <row r="566" spans="1:9" x14ac:dyDescent="0.3">
      <c r="A566" s="2" t="s">
        <v>9567</v>
      </c>
      <c r="B566" s="2" t="s">
        <v>3536</v>
      </c>
      <c r="C566" s="2" t="s">
        <v>354</v>
      </c>
      <c r="D566" s="2" t="s">
        <v>3537</v>
      </c>
      <c r="E566" s="2" t="s">
        <v>39</v>
      </c>
      <c r="F566" s="2"/>
      <c r="G566" s="2"/>
      <c r="H566" s="2"/>
      <c r="I566" s="3">
        <f t="shared" si="8"/>
        <v>103</v>
      </c>
    </row>
    <row r="567" spans="1:9" x14ac:dyDescent="0.3">
      <c r="A567" s="2" t="s">
        <v>9568</v>
      </c>
      <c r="B567" s="2" t="s">
        <v>3541</v>
      </c>
      <c r="C567" s="2" t="s">
        <v>823</v>
      </c>
      <c r="D567" s="2" t="s">
        <v>3542</v>
      </c>
      <c r="E567" s="2" t="s">
        <v>39</v>
      </c>
      <c r="F567" s="2"/>
      <c r="G567" s="2"/>
      <c r="H567" s="2"/>
      <c r="I567" s="3">
        <f t="shared" si="8"/>
        <v>103</v>
      </c>
    </row>
    <row r="568" spans="1:9" x14ac:dyDescent="0.3">
      <c r="A568" s="2" t="s">
        <v>9568</v>
      </c>
      <c r="B568" s="2" t="s">
        <v>3543</v>
      </c>
      <c r="C568" s="2" t="s">
        <v>2707</v>
      </c>
      <c r="D568" s="2" t="s">
        <v>3544</v>
      </c>
      <c r="E568" s="2" t="s">
        <v>3545</v>
      </c>
      <c r="F568" s="2"/>
      <c r="G568" s="2"/>
      <c r="H568" s="2" t="s">
        <v>898</v>
      </c>
      <c r="I568" s="3">
        <f t="shared" si="8"/>
        <v>103</v>
      </c>
    </row>
    <row r="569" spans="1:9" ht="24" x14ac:dyDescent="0.3">
      <c r="A569" s="2" t="s">
        <v>9568</v>
      </c>
      <c r="B569" s="2" t="s">
        <v>2755</v>
      </c>
      <c r="C569" s="2" t="s">
        <v>2756</v>
      </c>
      <c r="D569" s="2" t="s">
        <v>3548</v>
      </c>
      <c r="E569" s="2" t="s">
        <v>2709</v>
      </c>
      <c r="F569" s="2"/>
      <c r="G569" s="2"/>
      <c r="H569" s="2" t="s">
        <v>898</v>
      </c>
      <c r="I569" s="3">
        <f t="shared" si="8"/>
        <v>103</v>
      </c>
    </row>
    <row r="570" spans="1:9" ht="24" x14ac:dyDescent="0.3">
      <c r="A570" s="2" t="s">
        <v>9570</v>
      </c>
      <c r="B570" s="2" t="s">
        <v>3516</v>
      </c>
      <c r="C570" s="2" t="s">
        <v>389</v>
      </c>
      <c r="D570" s="2" t="s">
        <v>3517</v>
      </c>
      <c r="E570" s="2" t="s">
        <v>2891</v>
      </c>
      <c r="F570" s="2"/>
      <c r="G570" s="2"/>
      <c r="H570" s="2" t="s">
        <v>898</v>
      </c>
      <c r="I570" s="3">
        <f t="shared" si="8"/>
        <v>103</v>
      </c>
    </row>
    <row r="571" spans="1:9" ht="24" x14ac:dyDescent="0.3">
      <c r="A571" s="2" t="s">
        <v>9571</v>
      </c>
      <c r="B571" s="2" t="s">
        <v>3538</v>
      </c>
      <c r="C571" s="2"/>
      <c r="D571" s="2" t="s">
        <v>3539</v>
      </c>
      <c r="E571" s="2" t="s">
        <v>1776</v>
      </c>
      <c r="F571" s="2"/>
      <c r="G571" s="2"/>
      <c r="H571" s="2"/>
      <c r="I571" s="3">
        <f t="shared" si="8"/>
        <v>103</v>
      </c>
    </row>
    <row r="572" spans="1:9" x14ac:dyDescent="0.3">
      <c r="A572" s="2" t="s">
        <v>9567</v>
      </c>
      <c r="B572" s="2" t="s">
        <v>3574</v>
      </c>
      <c r="C572" s="2" t="s">
        <v>354</v>
      </c>
      <c r="D572" s="2" t="s">
        <v>3575</v>
      </c>
      <c r="E572" s="2" t="s">
        <v>379</v>
      </c>
      <c r="F572" s="2"/>
      <c r="G572" s="2"/>
      <c r="H572" s="2"/>
      <c r="I572" s="3">
        <f t="shared" si="8"/>
        <v>104</v>
      </c>
    </row>
    <row r="573" spans="1:9" x14ac:dyDescent="0.3">
      <c r="A573" s="2" t="s">
        <v>9567</v>
      </c>
      <c r="B573" s="2" t="s">
        <v>3607</v>
      </c>
      <c r="C573" s="2" t="s">
        <v>1255</v>
      </c>
      <c r="D573" s="2" t="s">
        <v>3608</v>
      </c>
      <c r="E573" s="2" t="s">
        <v>39</v>
      </c>
      <c r="F573" s="2"/>
      <c r="G573" s="2"/>
      <c r="H573" s="2"/>
      <c r="I573" s="3">
        <f t="shared" si="8"/>
        <v>104</v>
      </c>
    </row>
    <row r="574" spans="1:9" ht="24" x14ac:dyDescent="0.3">
      <c r="A574" s="2" t="s">
        <v>9568</v>
      </c>
      <c r="B574" s="2" t="s">
        <v>1634</v>
      </c>
      <c r="C574" s="2" t="s">
        <v>2582</v>
      </c>
      <c r="D574" s="2" t="s">
        <v>8713</v>
      </c>
      <c r="E574" s="2" t="s">
        <v>2136</v>
      </c>
      <c r="F574" s="2"/>
      <c r="G574" s="2"/>
      <c r="H574" s="2" t="s">
        <v>898</v>
      </c>
      <c r="I574" s="3">
        <f t="shared" si="8"/>
        <v>104</v>
      </c>
    </row>
    <row r="575" spans="1:9" ht="24" x14ac:dyDescent="0.3">
      <c r="A575" s="2" t="s">
        <v>9568</v>
      </c>
      <c r="B575" s="2" t="s">
        <v>3509</v>
      </c>
      <c r="C575" s="2" t="s">
        <v>3510</v>
      </c>
      <c r="D575" s="2" t="s">
        <v>3584</v>
      </c>
      <c r="E575" s="2" t="s">
        <v>39</v>
      </c>
      <c r="F575" s="2"/>
      <c r="G575" s="2"/>
      <c r="H575" s="2"/>
      <c r="I575" s="3">
        <f t="shared" si="8"/>
        <v>104</v>
      </c>
    </row>
    <row r="576" spans="1:9" x14ac:dyDescent="0.3">
      <c r="A576" s="2" t="s">
        <v>9568</v>
      </c>
      <c r="B576" s="2" t="s">
        <v>3609</v>
      </c>
      <c r="C576" s="2" t="s">
        <v>3610</v>
      </c>
      <c r="D576" s="2" t="s">
        <v>3611</v>
      </c>
      <c r="E576" s="2"/>
      <c r="F576" s="2"/>
      <c r="G576" s="2"/>
      <c r="H576" s="2"/>
      <c r="I576" s="3">
        <f t="shared" si="8"/>
        <v>104</v>
      </c>
    </row>
    <row r="577" spans="1:9" x14ac:dyDescent="0.3">
      <c r="A577" s="2" t="s">
        <v>9569</v>
      </c>
      <c r="B577" s="2" t="s">
        <v>3552</v>
      </c>
      <c r="C577" s="2"/>
      <c r="D577" s="2" t="s">
        <v>3553</v>
      </c>
      <c r="E577" s="2" t="s">
        <v>39</v>
      </c>
      <c r="F577" s="2"/>
      <c r="G577" s="2"/>
      <c r="H577" s="2" t="s">
        <v>646</v>
      </c>
      <c r="I577" s="3">
        <f t="shared" si="8"/>
        <v>104</v>
      </c>
    </row>
    <row r="578" spans="1:9" ht="24" x14ac:dyDescent="0.3">
      <c r="A578" s="2" t="s">
        <v>9569</v>
      </c>
      <c r="B578" s="2" t="s">
        <v>3579</v>
      </c>
      <c r="C578" s="2" t="s">
        <v>3580</v>
      </c>
      <c r="D578" s="2" t="s">
        <v>3581</v>
      </c>
      <c r="E578" s="2"/>
      <c r="F578" s="2"/>
      <c r="G578" s="2"/>
      <c r="H578" s="2"/>
      <c r="I578" s="3">
        <f t="shared" ref="I578:I641" si="9">LEN(D578)</f>
        <v>104</v>
      </c>
    </row>
    <row r="579" spans="1:9" ht="24" x14ac:dyDescent="0.3">
      <c r="A579" s="2" t="s">
        <v>9571</v>
      </c>
      <c r="B579" s="2" t="s">
        <v>3565</v>
      </c>
      <c r="C579" s="2"/>
      <c r="D579" s="2" t="s">
        <v>3566</v>
      </c>
      <c r="E579" s="2" t="s">
        <v>2477</v>
      </c>
      <c r="F579" s="2"/>
      <c r="G579" s="2"/>
      <c r="H579" s="2"/>
      <c r="I579" s="3">
        <f t="shared" si="9"/>
        <v>104</v>
      </c>
    </row>
    <row r="580" spans="1:9" x14ac:dyDescent="0.3">
      <c r="A580" s="2" t="s">
        <v>9571</v>
      </c>
      <c r="B580" s="2" t="s">
        <v>3576</v>
      </c>
      <c r="C580" s="2" t="s">
        <v>240</v>
      </c>
      <c r="D580" s="2" t="s">
        <v>3577</v>
      </c>
      <c r="E580" s="2" t="s">
        <v>3578</v>
      </c>
      <c r="F580" s="2"/>
      <c r="G580" s="2"/>
      <c r="H580" s="2" t="s">
        <v>1176</v>
      </c>
      <c r="I580" s="3">
        <f t="shared" si="9"/>
        <v>104</v>
      </c>
    </row>
    <row r="581" spans="1:9" x14ac:dyDescent="0.3">
      <c r="A581" s="2" t="s">
        <v>9571</v>
      </c>
      <c r="B581" s="2" t="s">
        <v>3582</v>
      </c>
      <c r="C581" s="2"/>
      <c r="D581" s="2" t="s">
        <v>3583</v>
      </c>
      <c r="E581" s="2"/>
      <c r="F581" s="2"/>
      <c r="G581" s="2"/>
      <c r="H581" s="2"/>
      <c r="I581" s="3">
        <f t="shared" si="9"/>
        <v>104</v>
      </c>
    </row>
    <row r="582" spans="1:9" x14ac:dyDescent="0.3">
      <c r="A582" s="2" t="s">
        <v>9567</v>
      </c>
      <c r="B582" s="2" t="s">
        <v>3614</v>
      </c>
      <c r="C582" s="2" t="s">
        <v>1255</v>
      </c>
      <c r="D582" s="2" t="s">
        <v>3615</v>
      </c>
      <c r="E582" s="2"/>
      <c r="F582" s="2"/>
      <c r="G582" s="2"/>
      <c r="H582" s="2"/>
      <c r="I582" s="3">
        <f t="shared" si="9"/>
        <v>105</v>
      </c>
    </row>
    <row r="583" spans="1:9" x14ac:dyDescent="0.3">
      <c r="A583" s="2" t="s">
        <v>9567</v>
      </c>
      <c r="B583" s="2" t="s">
        <v>3621</v>
      </c>
      <c r="C583" s="2" t="s">
        <v>354</v>
      </c>
      <c r="D583" s="2" t="s">
        <v>3622</v>
      </c>
      <c r="E583" s="2" t="s">
        <v>433</v>
      </c>
      <c r="F583" s="2"/>
      <c r="G583" s="2"/>
      <c r="H583" s="2"/>
      <c r="I583" s="3">
        <f t="shared" si="9"/>
        <v>105</v>
      </c>
    </row>
    <row r="584" spans="1:9" x14ac:dyDescent="0.3">
      <c r="A584" s="2" t="s">
        <v>9567</v>
      </c>
      <c r="B584" s="2" t="s">
        <v>1156</v>
      </c>
      <c r="C584" s="2" t="s">
        <v>354</v>
      </c>
      <c r="D584" s="2" t="s">
        <v>3623</v>
      </c>
      <c r="E584" s="2" t="s">
        <v>39</v>
      </c>
      <c r="F584" s="2"/>
      <c r="G584" s="2"/>
      <c r="H584" s="2"/>
      <c r="I584" s="3">
        <f t="shared" si="9"/>
        <v>105</v>
      </c>
    </row>
    <row r="585" spans="1:9" x14ac:dyDescent="0.3">
      <c r="A585" s="2" t="s">
        <v>9567</v>
      </c>
      <c r="B585" s="2" t="s">
        <v>1156</v>
      </c>
      <c r="C585" s="2" t="s">
        <v>1504</v>
      </c>
      <c r="D585" s="2" t="s">
        <v>3626</v>
      </c>
      <c r="E585" s="2" t="s">
        <v>39</v>
      </c>
      <c r="F585" s="2"/>
      <c r="G585" s="2"/>
      <c r="H585" s="2" t="s">
        <v>194</v>
      </c>
      <c r="I585" s="3">
        <f t="shared" si="9"/>
        <v>105</v>
      </c>
    </row>
    <row r="586" spans="1:9" x14ac:dyDescent="0.3">
      <c r="A586" s="2" t="s">
        <v>9567</v>
      </c>
      <c r="B586" s="2" t="s">
        <v>3637</v>
      </c>
      <c r="C586" s="2" t="s">
        <v>263</v>
      </c>
      <c r="D586" s="2" t="s">
        <v>3638</v>
      </c>
      <c r="E586" s="2" t="s">
        <v>39</v>
      </c>
      <c r="F586" s="2"/>
      <c r="G586" s="2"/>
      <c r="H586" s="2"/>
      <c r="I586" s="3">
        <f t="shared" si="9"/>
        <v>105</v>
      </c>
    </row>
    <row r="587" spans="1:9" x14ac:dyDescent="0.3">
      <c r="A587" s="2" t="s">
        <v>9568</v>
      </c>
      <c r="B587" s="2" t="s">
        <v>3616</v>
      </c>
      <c r="C587" s="2" t="s">
        <v>860</v>
      </c>
      <c r="D587" s="2" t="s">
        <v>3617</v>
      </c>
      <c r="E587" s="2"/>
      <c r="F587" s="2"/>
      <c r="G587" s="2"/>
      <c r="H587" s="2"/>
      <c r="I587" s="3">
        <f t="shared" si="9"/>
        <v>105</v>
      </c>
    </row>
    <row r="588" spans="1:9" ht="24" x14ac:dyDescent="0.3">
      <c r="A588" s="2" t="s">
        <v>9568</v>
      </c>
      <c r="B588" s="2" t="s">
        <v>2518</v>
      </c>
      <c r="C588" s="2" t="s">
        <v>2572</v>
      </c>
      <c r="D588" s="2" t="s">
        <v>3639</v>
      </c>
      <c r="E588" s="2" t="s">
        <v>39</v>
      </c>
      <c r="F588" s="2"/>
      <c r="G588" s="2"/>
      <c r="H588" s="2"/>
      <c r="I588" s="3">
        <f t="shared" si="9"/>
        <v>105</v>
      </c>
    </row>
    <row r="589" spans="1:9" ht="24" x14ac:dyDescent="0.3">
      <c r="A589" s="2" t="s">
        <v>9568</v>
      </c>
      <c r="B589" s="2" t="s">
        <v>830</v>
      </c>
      <c r="C589" s="2" t="s">
        <v>1371</v>
      </c>
      <c r="D589" s="2" t="s">
        <v>3640</v>
      </c>
      <c r="E589" s="2"/>
      <c r="F589" s="2"/>
      <c r="G589" s="2"/>
      <c r="H589" s="2"/>
      <c r="I589" s="3">
        <f t="shared" si="9"/>
        <v>105</v>
      </c>
    </row>
    <row r="590" spans="1:9" x14ac:dyDescent="0.3">
      <c r="A590" s="2" t="s">
        <v>9568</v>
      </c>
      <c r="B590" s="2" t="s">
        <v>2584</v>
      </c>
      <c r="C590" s="2" t="s">
        <v>823</v>
      </c>
      <c r="D590" s="2" t="s">
        <v>3644</v>
      </c>
      <c r="E590" s="2" t="s">
        <v>39</v>
      </c>
      <c r="F590" s="2"/>
      <c r="G590" s="2"/>
      <c r="H590" s="2" t="s">
        <v>646</v>
      </c>
      <c r="I590" s="3">
        <f t="shared" si="9"/>
        <v>105</v>
      </c>
    </row>
    <row r="591" spans="1:9" x14ac:dyDescent="0.3">
      <c r="A591" s="2" t="s">
        <v>9568</v>
      </c>
      <c r="B591" s="2" t="s">
        <v>3645</v>
      </c>
      <c r="C591" s="2" t="s">
        <v>823</v>
      </c>
      <c r="D591" s="2" t="s">
        <v>3646</v>
      </c>
      <c r="E591" s="2"/>
      <c r="F591" s="2"/>
      <c r="G591" s="2"/>
      <c r="H591" s="2"/>
      <c r="I591" s="3">
        <f t="shared" si="9"/>
        <v>105</v>
      </c>
    </row>
    <row r="592" spans="1:9" ht="24" x14ac:dyDescent="0.3">
      <c r="A592" s="2" t="s">
        <v>9567</v>
      </c>
      <c r="B592" s="2" t="s">
        <v>2408</v>
      </c>
      <c r="C592" s="2"/>
      <c r="D592" s="2" t="s">
        <v>3660</v>
      </c>
      <c r="E592" s="2" t="s">
        <v>39</v>
      </c>
      <c r="F592" s="2"/>
      <c r="G592" s="2"/>
      <c r="H592" s="2"/>
      <c r="I592" s="3">
        <f t="shared" si="9"/>
        <v>106</v>
      </c>
    </row>
    <row r="593" spans="1:9" x14ac:dyDescent="0.3">
      <c r="A593" s="2" t="s">
        <v>9567</v>
      </c>
      <c r="B593" s="2" t="s">
        <v>262</v>
      </c>
      <c r="C593" s="2" t="s">
        <v>263</v>
      </c>
      <c r="D593" s="2" t="s">
        <v>3672</v>
      </c>
      <c r="E593" s="2" t="s">
        <v>39</v>
      </c>
      <c r="F593" s="2"/>
      <c r="G593" s="2"/>
      <c r="H593" s="2" t="s">
        <v>646</v>
      </c>
      <c r="I593" s="3">
        <f t="shared" si="9"/>
        <v>106</v>
      </c>
    </row>
    <row r="594" spans="1:9" ht="24" x14ac:dyDescent="0.3">
      <c r="A594" s="2" t="s">
        <v>9568</v>
      </c>
      <c r="B594" s="2" t="s">
        <v>3653</v>
      </c>
      <c r="C594" s="2" t="s">
        <v>342</v>
      </c>
      <c r="D594" s="2" t="s">
        <v>3654</v>
      </c>
      <c r="E594" s="2"/>
      <c r="F594" s="2"/>
      <c r="G594" s="2"/>
      <c r="H594" s="2"/>
      <c r="I594" s="3">
        <f t="shared" si="9"/>
        <v>106</v>
      </c>
    </row>
    <row r="595" spans="1:9" x14ac:dyDescent="0.3">
      <c r="A595" s="2" t="s">
        <v>9568</v>
      </c>
      <c r="B595" s="2" t="s">
        <v>3244</v>
      </c>
      <c r="C595" s="2" t="s">
        <v>2868</v>
      </c>
      <c r="D595" s="2" t="s">
        <v>3682</v>
      </c>
      <c r="E595" s="2"/>
      <c r="F595" s="2"/>
      <c r="G595" s="2"/>
      <c r="H595" s="2"/>
      <c r="I595" s="3">
        <f t="shared" si="9"/>
        <v>106</v>
      </c>
    </row>
    <row r="596" spans="1:9" ht="24" x14ac:dyDescent="0.3">
      <c r="A596" s="2" t="s">
        <v>9571</v>
      </c>
      <c r="B596" s="2" t="s">
        <v>3655</v>
      </c>
      <c r="C596" s="2" t="s">
        <v>3656</v>
      </c>
      <c r="D596" s="2" t="s">
        <v>3657</v>
      </c>
      <c r="E596" s="2"/>
      <c r="F596" s="2"/>
      <c r="G596" s="2"/>
      <c r="H596" s="2"/>
      <c r="I596" s="3">
        <f t="shared" si="9"/>
        <v>106</v>
      </c>
    </row>
    <row r="597" spans="1:9" ht="24" x14ac:dyDescent="0.3">
      <c r="A597" s="2" t="s">
        <v>9567</v>
      </c>
      <c r="B597" s="2" t="s">
        <v>3687</v>
      </c>
      <c r="C597" s="2" t="s">
        <v>389</v>
      </c>
      <c r="D597" s="2" t="s">
        <v>3688</v>
      </c>
      <c r="E597" s="2"/>
      <c r="F597" s="2"/>
      <c r="G597" s="2"/>
      <c r="H597" s="2"/>
      <c r="I597" s="3">
        <f t="shared" si="9"/>
        <v>107</v>
      </c>
    </row>
    <row r="598" spans="1:9" ht="24" x14ac:dyDescent="0.3">
      <c r="A598" s="2" t="s">
        <v>9567</v>
      </c>
      <c r="B598" s="2" t="s">
        <v>3705</v>
      </c>
      <c r="C598" s="2"/>
      <c r="D598" s="2" t="s">
        <v>3706</v>
      </c>
      <c r="E598" s="2" t="s">
        <v>39</v>
      </c>
      <c r="F598" s="2"/>
      <c r="G598" s="2"/>
      <c r="H598" s="2"/>
      <c r="I598" s="3">
        <f t="shared" si="9"/>
        <v>107</v>
      </c>
    </row>
    <row r="599" spans="1:9" ht="24" x14ac:dyDescent="0.3">
      <c r="A599" s="2" t="s">
        <v>9567</v>
      </c>
      <c r="B599" s="2" t="s">
        <v>3732</v>
      </c>
      <c r="C599" s="2" t="s">
        <v>500</v>
      </c>
      <c r="D599" s="2" t="s">
        <v>3733</v>
      </c>
      <c r="E599" s="2" t="s">
        <v>39</v>
      </c>
      <c r="F599" s="2"/>
      <c r="G599" s="2"/>
      <c r="H599" s="2" t="s">
        <v>402</v>
      </c>
      <c r="I599" s="3">
        <f t="shared" si="9"/>
        <v>107</v>
      </c>
    </row>
    <row r="600" spans="1:9" ht="24" x14ac:dyDescent="0.3">
      <c r="A600" s="2" t="s">
        <v>9568</v>
      </c>
      <c r="B600" s="2" t="s">
        <v>3691</v>
      </c>
      <c r="C600" s="2" t="s">
        <v>3692</v>
      </c>
      <c r="D600" s="2" t="s">
        <v>3693</v>
      </c>
      <c r="E600" s="2"/>
      <c r="F600" s="2"/>
      <c r="G600" s="2"/>
      <c r="H600" s="2"/>
      <c r="I600" s="3">
        <f t="shared" si="9"/>
        <v>107</v>
      </c>
    </row>
    <row r="601" spans="1:9" x14ac:dyDescent="0.3">
      <c r="A601" s="2" t="s">
        <v>9569</v>
      </c>
      <c r="B601" s="2" t="s">
        <v>2364</v>
      </c>
      <c r="C601" s="2" t="s">
        <v>3709</v>
      </c>
      <c r="D601" s="2" t="s">
        <v>3710</v>
      </c>
      <c r="E601" s="2"/>
      <c r="F601" s="2"/>
      <c r="G601" s="2"/>
      <c r="H601" s="2"/>
      <c r="I601" s="3">
        <f t="shared" si="9"/>
        <v>107</v>
      </c>
    </row>
    <row r="602" spans="1:9" ht="24" x14ac:dyDescent="0.3">
      <c r="A602" s="2" t="s">
        <v>9571</v>
      </c>
      <c r="B602" s="2" t="s">
        <v>3728</v>
      </c>
      <c r="C602" s="2" t="s">
        <v>240</v>
      </c>
      <c r="D602" s="2" t="s">
        <v>3729</v>
      </c>
      <c r="E602" s="2" t="s">
        <v>2830</v>
      </c>
      <c r="F602" s="2"/>
      <c r="G602" s="2"/>
      <c r="H602" s="2"/>
      <c r="I602" s="3">
        <f t="shared" si="9"/>
        <v>107</v>
      </c>
    </row>
    <row r="603" spans="1:9" ht="24" x14ac:dyDescent="0.3">
      <c r="A603" s="2" t="s">
        <v>9571</v>
      </c>
      <c r="B603" s="2" t="s">
        <v>3730</v>
      </c>
      <c r="C603" s="2" t="s">
        <v>422</v>
      </c>
      <c r="D603" s="2" t="s">
        <v>3731</v>
      </c>
      <c r="E603" s="2"/>
      <c r="F603" s="2"/>
      <c r="G603" s="2"/>
      <c r="H603" s="2"/>
      <c r="I603" s="3">
        <f t="shared" si="9"/>
        <v>107</v>
      </c>
    </row>
    <row r="604" spans="1:9" ht="24" x14ac:dyDescent="0.3">
      <c r="A604" s="2" t="s">
        <v>9568</v>
      </c>
      <c r="B604" s="2" t="s">
        <v>3769</v>
      </c>
      <c r="C604" s="2" t="s">
        <v>259</v>
      </c>
      <c r="D604" s="2" t="s">
        <v>3770</v>
      </c>
      <c r="E604" s="2"/>
      <c r="F604" s="2"/>
      <c r="G604" s="2" t="s">
        <v>1717</v>
      </c>
      <c r="H604" s="2"/>
      <c r="I604" s="3">
        <f t="shared" si="9"/>
        <v>108</v>
      </c>
    </row>
    <row r="605" spans="1:9" ht="24" x14ac:dyDescent="0.3">
      <c r="A605" s="2" t="s">
        <v>9568</v>
      </c>
      <c r="B605" s="2" t="s">
        <v>3771</v>
      </c>
      <c r="C605" s="2" t="s">
        <v>1639</v>
      </c>
      <c r="D605" s="2" t="s">
        <v>3772</v>
      </c>
      <c r="E605" s="2" t="s">
        <v>3773</v>
      </c>
      <c r="F605" s="2"/>
      <c r="G605" s="2"/>
      <c r="H605" s="2"/>
      <c r="I605" s="3">
        <f t="shared" si="9"/>
        <v>108</v>
      </c>
    </row>
    <row r="606" spans="1:9" ht="24" x14ac:dyDescent="0.3">
      <c r="A606" s="2" t="s">
        <v>9568</v>
      </c>
      <c r="B606" s="2" t="s">
        <v>3777</v>
      </c>
      <c r="C606" s="2" t="s">
        <v>3778</v>
      </c>
      <c r="D606" s="2" t="s">
        <v>3779</v>
      </c>
      <c r="E606" s="2" t="s">
        <v>39</v>
      </c>
      <c r="F606" s="2"/>
      <c r="G606" s="2"/>
      <c r="H606" s="2"/>
      <c r="I606" s="3">
        <f t="shared" si="9"/>
        <v>108</v>
      </c>
    </row>
    <row r="607" spans="1:9" ht="24" x14ac:dyDescent="0.3">
      <c r="A607" s="2" t="s">
        <v>9570</v>
      </c>
      <c r="B607" s="2" t="s">
        <v>3738</v>
      </c>
      <c r="C607" s="2" t="s">
        <v>3739</v>
      </c>
      <c r="D607" s="2" t="s">
        <v>3740</v>
      </c>
      <c r="E607" s="2"/>
      <c r="F607" s="2"/>
      <c r="G607" s="2"/>
      <c r="H607" s="2"/>
      <c r="I607" s="3">
        <f t="shared" si="9"/>
        <v>108</v>
      </c>
    </row>
    <row r="608" spans="1:9" ht="24" x14ac:dyDescent="0.3">
      <c r="A608" s="2" t="s">
        <v>9571</v>
      </c>
      <c r="B608" s="2" t="s">
        <v>3741</v>
      </c>
      <c r="C608" s="2" t="s">
        <v>253</v>
      </c>
      <c r="D608" s="2" t="s">
        <v>3742</v>
      </c>
      <c r="E608" s="2"/>
      <c r="F608" s="2"/>
      <c r="G608" s="2"/>
      <c r="H608" s="2"/>
      <c r="I608" s="3">
        <f t="shared" si="9"/>
        <v>108</v>
      </c>
    </row>
    <row r="609" spans="1:9" ht="24" x14ac:dyDescent="0.3">
      <c r="A609" s="2" t="s">
        <v>9571</v>
      </c>
      <c r="B609" s="2" t="s">
        <v>3736</v>
      </c>
      <c r="C609" s="2" t="s">
        <v>544</v>
      </c>
      <c r="D609" s="2" t="s">
        <v>3737</v>
      </c>
      <c r="E609" s="2" t="s">
        <v>1776</v>
      </c>
      <c r="F609" s="2"/>
      <c r="G609" s="2"/>
      <c r="H609" s="2" t="s">
        <v>834</v>
      </c>
      <c r="I609" s="3">
        <f t="shared" si="9"/>
        <v>108</v>
      </c>
    </row>
    <row r="610" spans="1:9" ht="24" x14ac:dyDescent="0.3">
      <c r="A610" s="2" t="s">
        <v>9571</v>
      </c>
      <c r="B610" s="2" t="s">
        <v>3748</v>
      </c>
      <c r="C610" s="2"/>
      <c r="D610" s="2" t="s">
        <v>3749</v>
      </c>
      <c r="E610" s="2"/>
      <c r="F610" s="2"/>
      <c r="G610" s="2"/>
      <c r="H610" s="2"/>
      <c r="I610" s="3">
        <f t="shared" si="9"/>
        <v>108</v>
      </c>
    </row>
    <row r="611" spans="1:9" ht="24" x14ac:dyDescent="0.3">
      <c r="A611" s="2" t="s">
        <v>9571</v>
      </c>
      <c r="B611" s="2" t="s">
        <v>3750</v>
      </c>
      <c r="C611" s="2" t="s">
        <v>95</v>
      </c>
      <c r="D611" s="2" t="s">
        <v>3751</v>
      </c>
      <c r="E611" s="2"/>
      <c r="F611" s="2"/>
      <c r="G611" s="2"/>
      <c r="H611" s="2"/>
      <c r="I611" s="3">
        <f t="shared" si="9"/>
        <v>108</v>
      </c>
    </row>
    <row r="612" spans="1:9" x14ac:dyDescent="0.3">
      <c r="A612" s="2" t="s">
        <v>9567</v>
      </c>
      <c r="B612" s="2" t="s">
        <v>3782</v>
      </c>
      <c r="C612" s="2" t="s">
        <v>354</v>
      </c>
      <c r="D612" s="2" t="s">
        <v>3783</v>
      </c>
      <c r="E612" s="2"/>
      <c r="F612" s="2"/>
      <c r="G612" s="2"/>
      <c r="H612" s="2" t="s">
        <v>646</v>
      </c>
      <c r="I612" s="3">
        <f t="shared" si="9"/>
        <v>109</v>
      </c>
    </row>
    <row r="613" spans="1:9" ht="24" x14ac:dyDescent="0.3">
      <c r="A613" s="2" t="s">
        <v>9568</v>
      </c>
      <c r="B613" s="2" t="s">
        <v>3785</v>
      </c>
      <c r="C613" s="2" t="s">
        <v>860</v>
      </c>
      <c r="D613" s="2" t="s">
        <v>3786</v>
      </c>
      <c r="E613" s="2" t="s">
        <v>39</v>
      </c>
      <c r="F613" s="2"/>
      <c r="G613" s="2"/>
      <c r="H613" s="2"/>
      <c r="I613" s="3">
        <f t="shared" si="9"/>
        <v>109</v>
      </c>
    </row>
    <row r="614" spans="1:9" ht="24" x14ac:dyDescent="0.3">
      <c r="A614" s="2" t="s">
        <v>9570</v>
      </c>
      <c r="B614" s="2" t="s">
        <v>2117</v>
      </c>
      <c r="C614" s="2" t="s">
        <v>389</v>
      </c>
      <c r="D614" s="2" t="s">
        <v>3784</v>
      </c>
      <c r="E614" s="2"/>
      <c r="F614" s="2"/>
      <c r="G614" s="2"/>
      <c r="H614" s="2"/>
      <c r="I614" s="3">
        <f t="shared" si="9"/>
        <v>109</v>
      </c>
    </row>
    <row r="615" spans="1:9" ht="24" x14ac:dyDescent="0.3">
      <c r="A615" s="2" t="s">
        <v>9567</v>
      </c>
      <c r="B615" s="2" t="s">
        <v>3822</v>
      </c>
      <c r="C615" s="2" t="s">
        <v>2984</v>
      </c>
      <c r="D615" s="2" t="s">
        <v>3823</v>
      </c>
      <c r="E615" s="2"/>
      <c r="F615" s="2"/>
      <c r="G615" s="2"/>
      <c r="H615" s="2"/>
      <c r="I615" s="3">
        <f t="shared" si="9"/>
        <v>110</v>
      </c>
    </row>
    <row r="616" spans="1:9" ht="24" x14ac:dyDescent="0.3">
      <c r="A616" s="2" t="s">
        <v>9567</v>
      </c>
      <c r="B616" s="2" t="s">
        <v>3861</v>
      </c>
      <c r="C616" s="2" t="s">
        <v>500</v>
      </c>
      <c r="D616" s="2" t="s">
        <v>3862</v>
      </c>
      <c r="E616" s="2" t="s">
        <v>39</v>
      </c>
      <c r="F616" s="2"/>
      <c r="G616" s="2"/>
      <c r="H616" s="2" t="s">
        <v>402</v>
      </c>
      <c r="I616" s="3">
        <f t="shared" si="9"/>
        <v>110</v>
      </c>
    </row>
    <row r="617" spans="1:9" ht="24" x14ac:dyDescent="0.3">
      <c r="A617" s="2" t="s">
        <v>9568</v>
      </c>
      <c r="B617" s="2" t="s">
        <v>3865</v>
      </c>
      <c r="C617" s="2" t="s">
        <v>3866</v>
      </c>
      <c r="D617" s="2" t="s">
        <v>3867</v>
      </c>
      <c r="E617" s="2" t="s">
        <v>39</v>
      </c>
      <c r="F617" s="2"/>
      <c r="G617" s="2"/>
      <c r="H617" s="2"/>
      <c r="I617" s="3">
        <f t="shared" si="9"/>
        <v>110</v>
      </c>
    </row>
    <row r="618" spans="1:9" ht="24" x14ac:dyDescent="0.3">
      <c r="A618" s="2" t="s">
        <v>9569</v>
      </c>
      <c r="B618" s="2" t="s">
        <v>3834</v>
      </c>
      <c r="C618" s="2" t="s">
        <v>3835</v>
      </c>
      <c r="D618" s="2" t="s">
        <v>3836</v>
      </c>
      <c r="E618" s="2" t="s">
        <v>1510</v>
      </c>
      <c r="F618" s="2"/>
      <c r="G618" s="2"/>
      <c r="H618" s="2" t="s">
        <v>194</v>
      </c>
      <c r="I618" s="3">
        <f t="shared" si="9"/>
        <v>110</v>
      </c>
    </row>
    <row r="619" spans="1:9" ht="24" x14ac:dyDescent="0.3">
      <c r="A619" s="2" t="s">
        <v>9570</v>
      </c>
      <c r="B619" s="2" t="s">
        <v>3077</v>
      </c>
      <c r="C619" s="2"/>
      <c r="D619" s="2" t="s">
        <v>3821</v>
      </c>
      <c r="E619" s="2" t="s">
        <v>39</v>
      </c>
      <c r="F619" s="2"/>
      <c r="G619" s="2"/>
      <c r="H619" s="2" t="s">
        <v>646</v>
      </c>
      <c r="I619" s="3">
        <f t="shared" si="9"/>
        <v>110</v>
      </c>
    </row>
    <row r="620" spans="1:9" ht="24" x14ac:dyDescent="0.3">
      <c r="A620" s="2" t="s">
        <v>9571</v>
      </c>
      <c r="B620" s="2" t="s">
        <v>3832</v>
      </c>
      <c r="C620" s="2" t="s">
        <v>2063</v>
      </c>
      <c r="D620" s="2" t="s">
        <v>3833</v>
      </c>
      <c r="E620" s="2" t="s">
        <v>1510</v>
      </c>
      <c r="F620" s="2"/>
      <c r="G620" s="2"/>
      <c r="H620" s="2" t="s">
        <v>194</v>
      </c>
      <c r="I620" s="3">
        <f t="shared" si="9"/>
        <v>110</v>
      </c>
    </row>
    <row r="621" spans="1:9" ht="24" x14ac:dyDescent="0.3">
      <c r="A621" s="2" t="s">
        <v>9567</v>
      </c>
      <c r="B621" s="2" t="s">
        <v>3876</v>
      </c>
      <c r="C621" s="2" t="s">
        <v>354</v>
      </c>
      <c r="D621" s="2" t="s">
        <v>3877</v>
      </c>
      <c r="E621" s="2" t="s">
        <v>39</v>
      </c>
      <c r="F621" s="2"/>
      <c r="G621" s="2"/>
      <c r="H621" s="2"/>
      <c r="I621" s="3">
        <f t="shared" si="9"/>
        <v>111</v>
      </c>
    </row>
    <row r="622" spans="1:9" ht="24" x14ac:dyDescent="0.3">
      <c r="A622" s="2" t="s">
        <v>9567</v>
      </c>
      <c r="B622" s="2" t="s">
        <v>619</v>
      </c>
      <c r="C622" s="2" t="s">
        <v>500</v>
      </c>
      <c r="D622" s="2" t="s">
        <v>3878</v>
      </c>
      <c r="E622" s="2" t="s">
        <v>39</v>
      </c>
      <c r="F622" s="2"/>
      <c r="G622" s="2"/>
      <c r="H622" s="2" t="s">
        <v>402</v>
      </c>
      <c r="I622" s="3">
        <f t="shared" si="9"/>
        <v>111</v>
      </c>
    </row>
    <row r="623" spans="1:9" ht="24" x14ac:dyDescent="0.3">
      <c r="A623" s="2" t="s">
        <v>9567</v>
      </c>
      <c r="B623" s="2" t="s">
        <v>3886</v>
      </c>
      <c r="C623" s="2" t="s">
        <v>500</v>
      </c>
      <c r="D623" s="2" t="s">
        <v>3887</v>
      </c>
      <c r="E623" s="2" t="s">
        <v>39</v>
      </c>
      <c r="F623" s="2"/>
      <c r="G623" s="2"/>
      <c r="H623" s="2" t="s">
        <v>402</v>
      </c>
      <c r="I623" s="3">
        <f t="shared" si="9"/>
        <v>111</v>
      </c>
    </row>
    <row r="624" spans="1:9" ht="24" x14ac:dyDescent="0.3">
      <c r="A624" s="2" t="s">
        <v>9568</v>
      </c>
      <c r="B624" s="2" t="s">
        <v>3893</v>
      </c>
      <c r="C624" s="2" t="s">
        <v>1814</v>
      </c>
      <c r="D624" s="2" t="s">
        <v>3894</v>
      </c>
      <c r="E624" s="2"/>
      <c r="F624" s="2"/>
      <c r="G624" s="2"/>
      <c r="H624" s="2"/>
      <c r="I624" s="3">
        <f t="shared" si="9"/>
        <v>111</v>
      </c>
    </row>
    <row r="625" spans="1:9" ht="24" x14ac:dyDescent="0.3">
      <c r="A625" s="2" t="s">
        <v>9568</v>
      </c>
      <c r="B625" s="2" t="s">
        <v>3543</v>
      </c>
      <c r="C625" s="2" t="s">
        <v>2707</v>
      </c>
      <c r="D625" s="2" t="s">
        <v>3895</v>
      </c>
      <c r="E625" s="2" t="s">
        <v>2524</v>
      </c>
      <c r="F625" s="2"/>
      <c r="G625" s="2"/>
      <c r="H625" s="2" t="s">
        <v>898</v>
      </c>
      <c r="I625" s="3">
        <f t="shared" si="9"/>
        <v>111</v>
      </c>
    </row>
    <row r="626" spans="1:9" ht="24" x14ac:dyDescent="0.3">
      <c r="A626" s="2" t="s">
        <v>9570</v>
      </c>
      <c r="B626" s="2" t="s">
        <v>3872</v>
      </c>
      <c r="C626" s="2" t="s">
        <v>389</v>
      </c>
      <c r="D626" s="2" t="s">
        <v>3873</v>
      </c>
      <c r="E626" s="2"/>
      <c r="F626" s="2"/>
      <c r="G626" s="2"/>
      <c r="H626" s="2" t="s">
        <v>194</v>
      </c>
      <c r="I626" s="3">
        <f t="shared" si="9"/>
        <v>111</v>
      </c>
    </row>
    <row r="627" spans="1:9" ht="24" x14ac:dyDescent="0.3">
      <c r="A627" s="2" t="s">
        <v>9571</v>
      </c>
      <c r="B627" s="2" t="s">
        <v>3888</v>
      </c>
      <c r="C627" s="2"/>
      <c r="D627" s="2" t="s">
        <v>3889</v>
      </c>
      <c r="E627" s="2"/>
      <c r="F627" s="2"/>
      <c r="G627" s="2"/>
      <c r="H627" s="2"/>
      <c r="I627" s="3">
        <f t="shared" si="9"/>
        <v>111</v>
      </c>
    </row>
    <row r="628" spans="1:9" ht="24" x14ac:dyDescent="0.3">
      <c r="A628" s="2" t="s">
        <v>9567</v>
      </c>
      <c r="B628" s="2" t="s">
        <v>3908</v>
      </c>
      <c r="C628" s="2" t="s">
        <v>263</v>
      </c>
      <c r="D628" s="2" t="s">
        <v>3909</v>
      </c>
      <c r="E628" s="2" t="s">
        <v>39</v>
      </c>
      <c r="F628" s="2"/>
      <c r="G628" s="2"/>
      <c r="H628" s="2"/>
      <c r="I628" s="3">
        <f t="shared" si="9"/>
        <v>112</v>
      </c>
    </row>
    <row r="629" spans="1:9" ht="24" x14ac:dyDescent="0.3">
      <c r="A629" s="2" t="s">
        <v>9567</v>
      </c>
      <c r="B629" s="2" t="s">
        <v>3931</v>
      </c>
      <c r="C629" s="2" t="s">
        <v>3932</v>
      </c>
      <c r="D629" s="2" t="s">
        <v>3933</v>
      </c>
      <c r="E629" s="2" t="s">
        <v>1188</v>
      </c>
      <c r="F629" s="2"/>
      <c r="G629" s="2"/>
      <c r="H629" s="2"/>
      <c r="I629" s="3">
        <f t="shared" si="9"/>
        <v>112</v>
      </c>
    </row>
    <row r="630" spans="1:9" ht="24" x14ac:dyDescent="0.3">
      <c r="A630" s="2" t="s">
        <v>9568</v>
      </c>
      <c r="B630" s="2" t="s">
        <v>2706</v>
      </c>
      <c r="C630" s="2" t="s">
        <v>2707</v>
      </c>
      <c r="D630" s="2" t="s">
        <v>8718</v>
      </c>
      <c r="E630" s="2" t="s">
        <v>2568</v>
      </c>
      <c r="F630" s="2"/>
      <c r="G630" s="2"/>
      <c r="H630" s="2" t="s">
        <v>898</v>
      </c>
      <c r="I630" s="3">
        <f t="shared" si="9"/>
        <v>112</v>
      </c>
    </row>
    <row r="631" spans="1:9" ht="24" x14ac:dyDescent="0.3">
      <c r="A631" s="2" t="s">
        <v>9568</v>
      </c>
      <c r="B631" s="2" t="s">
        <v>3941</v>
      </c>
      <c r="C631" s="2" t="s">
        <v>1754</v>
      </c>
      <c r="D631" s="2" t="s">
        <v>3942</v>
      </c>
      <c r="E631" s="2" t="s">
        <v>39</v>
      </c>
      <c r="F631" s="2"/>
      <c r="G631" s="2"/>
      <c r="H631" s="2"/>
      <c r="I631" s="3">
        <f t="shared" si="9"/>
        <v>112</v>
      </c>
    </row>
    <row r="632" spans="1:9" ht="24" x14ac:dyDescent="0.3">
      <c r="A632" s="2" t="s">
        <v>9567</v>
      </c>
      <c r="B632" s="2" t="s">
        <v>3961</v>
      </c>
      <c r="C632" s="2" t="s">
        <v>395</v>
      </c>
      <c r="D632" s="2" t="s">
        <v>3962</v>
      </c>
      <c r="E632" s="2"/>
      <c r="F632" s="2"/>
      <c r="G632" s="2"/>
      <c r="H632" s="2"/>
      <c r="I632" s="3">
        <f t="shared" si="9"/>
        <v>113</v>
      </c>
    </row>
    <row r="633" spans="1:9" ht="24" x14ac:dyDescent="0.3">
      <c r="A633" s="2" t="s">
        <v>9567</v>
      </c>
      <c r="B633" s="2" t="s">
        <v>3976</v>
      </c>
      <c r="C633" s="2" t="s">
        <v>263</v>
      </c>
      <c r="D633" s="2" t="s">
        <v>3977</v>
      </c>
      <c r="E633" s="2" t="s">
        <v>39</v>
      </c>
      <c r="F633" s="2"/>
      <c r="G633" s="2"/>
      <c r="H633" s="2"/>
      <c r="I633" s="3">
        <f t="shared" si="9"/>
        <v>113</v>
      </c>
    </row>
    <row r="634" spans="1:9" ht="24" x14ac:dyDescent="0.3">
      <c r="A634" s="2" t="s">
        <v>9568</v>
      </c>
      <c r="B634" s="2" t="s">
        <v>1804</v>
      </c>
      <c r="C634" s="2" t="s">
        <v>1805</v>
      </c>
      <c r="D634" s="2" t="s">
        <v>3981</v>
      </c>
      <c r="E634" s="2" t="s">
        <v>39</v>
      </c>
      <c r="F634" s="2"/>
      <c r="G634" s="2"/>
      <c r="H634" s="2"/>
      <c r="I634" s="3">
        <f t="shared" si="9"/>
        <v>113</v>
      </c>
    </row>
    <row r="635" spans="1:9" ht="24" x14ac:dyDescent="0.3">
      <c r="A635" s="2" t="s">
        <v>9568</v>
      </c>
      <c r="B635" s="2" t="s">
        <v>3982</v>
      </c>
      <c r="C635" s="2" t="s">
        <v>1754</v>
      </c>
      <c r="D635" s="2" t="s">
        <v>3983</v>
      </c>
      <c r="E635" s="2"/>
      <c r="F635" s="2"/>
      <c r="G635" s="2"/>
      <c r="H635" s="2"/>
      <c r="I635" s="3">
        <f t="shared" si="9"/>
        <v>113</v>
      </c>
    </row>
    <row r="636" spans="1:9" ht="24" x14ac:dyDescent="0.3">
      <c r="A636" s="2" t="s">
        <v>9567</v>
      </c>
      <c r="B636" s="2" t="s">
        <v>2654</v>
      </c>
      <c r="C636" s="2" t="s">
        <v>354</v>
      </c>
      <c r="D636" s="2" t="s">
        <v>3988</v>
      </c>
      <c r="E636" s="2" t="s">
        <v>39</v>
      </c>
      <c r="F636" s="2"/>
      <c r="G636" s="2"/>
      <c r="H636" s="2"/>
      <c r="I636" s="3">
        <f t="shared" si="9"/>
        <v>114</v>
      </c>
    </row>
    <row r="637" spans="1:9" ht="24" x14ac:dyDescent="0.3">
      <c r="A637" s="2" t="s">
        <v>9567</v>
      </c>
      <c r="B637" s="2" t="s">
        <v>619</v>
      </c>
      <c r="C637" s="2" t="s">
        <v>500</v>
      </c>
      <c r="D637" s="2" t="s">
        <v>4006</v>
      </c>
      <c r="E637" s="2" t="s">
        <v>39</v>
      </c>
      <c r="F637" s="2"/>
      <c r="G637" s="2"/>
      <c r="H637" s="2" t="s">
        <v>402</v>
      </c>
      <c r="I637" s="3">
        <f t="shared" si="9"/>
        <v>114</v>
      </c>
    </row>
    <row r="638" spans="1:9" ht="24" x14ac:dyDescent="0.3">
      <c r="A638" s="2" t="s">
        <v>9567</v>
      </c>
      <c r="B638" s="2" t="s">
        <v>4020</v>
      </c>
      <c r="C638" s="2" t="s">
        <v>4021</v>
      </c>
      <c r="D638" s="2" t="s">
        <v>4022</v>
      </c>
      <c r="E638" s="2"/>
      <c r="F638" s="2"/>
      <c r="G638" s="2"/>
      <c r="H638" s="2"/>
      <c r="I638" s="3">
        <f t="shared" si="9"/>
        <v>114</v>
      </c>
    </row>
    <row r="639" spans="1:9" ht="24" x14ac:dyDescent="0.3">
      <c r="A639" s="2" t="s">
        <v>9568</v>
      </c>
      <c r="B639" s="2" t="s">
        <v>4009</v>
      </c>
      <c r="C639" s="2" t="s">
        <v>1371</v>
      </c>
      <c r="D639" s="2" t="s">
        <v>4010</v>
      </c>
      <c r="E639" s="2"/>
      <c r="F639" s="2"/>
      <c r="G639" s="2"/>
      <c r="H639" s="2"/>
      <c r="I639" s="3">
        <f t="shared" si="9"/>
        <v>114</v>
      </c>
    </row>
    <row r="640" spans="1:9" ht="24" x14ac:dyDescent="0.3">
      <c r="A640" s="2" t="s">
        <v>9568</v>
      </c>
      <c r="B640" s="2" t="s">
        <v>4011</v>
      </c>
      <c r="C640" s="2" t="s">
        <v>1178</v>
      </c>
      <c r="D640" s="2" t="s">
        <v>4012</v>
      </c>
      <c r="E640" s="2" t="s">
        <v>39</v>
      </c>
      <c r="F640" s="2"/>
      <c r="G640" s="2"/>
      <c r="H640" s="2"/>
      <c r="I640" s="3">
        <f t="shared" si="9"/>
        <v>114</v>
      </c>
    </row>
    <row r="641" spans="1:9" ht="24" x14ac:dyDescent="0.3">
      <c r="A641" s="2" t="s">
        <v>9568</v>
      </c>
      <c r="B641" s="2" t="s">
        <v>4013</v>
      </c>
      <c r="C641" s="2" t="s">
        <v>4014</v>
      </c>
      <c r="D641" s="2" t="s">
        <v>4015</v>
      </c>
      <c r="E641" s="2" t="s">
        <v>39</v>
      </c>
      <c r="F641" s="2"/>
      <c r="G641" s="2"/>
      <c r="H641" s="2" t="s">
        <v>1176</v>
      </c>
      <c r="I641" s="3">
        <f t="shared" si="9"/>
        <v>114</v>
      </c>
    </row>
    <row r="642" spans="1:9" ht="24" x14ac:dyDescent="0.3">
      <c r="A642" s="2" t="s">
        <v>9568</v>
      </c>
      <c r="B642" s="2" t="s">
        <v>4016</v>
      </c>
      <c r="C642" s="2" t="s">
        <v>4017</v>
      </c>
      <c r="D642" s="2" t="s">
        <v>4018</v>
      </c>
      <c r="E642" s="2" t="s">
        <v>211</v>
      </c>
      <c r="F642" s="2"/>
      <c r="G642" s="2"/>
      <c r="H642" s="2"/>
      <c r="I642" s="3">
        <f t="shared" ref="I642:I705" si="10">LEN(D642)</f>
        <v>114</v>
      </c>
    </row>
    <row r="643" spans="1:9" ht="24" x14ac:dyDescent="0.3">
      <c r="A643" s="2" t="s">
        <v>9568</v>
      </c>
      <c r="B643" s="2" t="s">
        <v>3069</v>
      </c>
      <c r="C643" s="2" t="s">
        <v>2519</v>
      </c>
      <c r="D643" s="2" t="s">
        <v>4019</v>
      </c>
      <c r="E643" s="2" t="s">
        <v>39</v>
      </c>
      <c r="F643" s="2"/>
      <c r="G643" s="2"/>
      <c r="H643" s="2"/>
      <c r="I643" s="3">
        <f t="shared" si="10"/>
        <v>114</v>
      </c>
    </row>
    <row r="644" spans="1:9" ht="24" x14ac:dyDescent="0.3">
      <c r="A644" s="2" t="s">
        <v>9571</v>
      </c>
      <c r="B644" s="2" t="s">
        <v>2770</v>
      </c>
      <c r="C644" s="2" t="s">
        <v>4007</v>
      </c>
      <c r="D644" s="2" t="s">
        <v>4008</v>
      </c>
      <c r="E644" s="2" t="s">
        <v>2121</v>
      </c>
      <c r="F644" s="2"/>
      <c r="G644" s="2"/>
      <c r="H644" s="2"/>
      <c r="I644" s="3">
        <f t="shared" si="10"/>
        <v>114</v>
      </c>
    </row>
    <row r="645" spans="1:9" ht="24" x14ac:dyDescent="0.3">
      <c r="A645" s="2" t="s">
        <v>9567</v>
      </c>
      <c r="B645" s="2" t="s">
        <v>195</v>
      </c>
      <c r="C645" s="2" t="s">
        <v>263</v>
      </c>
      <c r="D645" s="2" t="s">
        <v>4034</v>
      </c>
      <c r="E645" s="2" t="s">
        <v>39</v>
      </c>
      <c r="F645" s="2"/>
      <c r="G645" s="2"/>
      <c r="H645" s="2" t="s">
        <v>646</v>
      </c>
      <c r="I645" s="3">
        <f t="shared" si="10"/>
        <v>115</v>
      </c>
    </row>
    <row r="646" spans="1:9" ht="24" x14ac:dyDescent="0.3">
      <c r="A646" s="2" t="s">
        <v>9568</v>
      </c>
      <c r="B646" s="2" t="s">
        <v>4086</v>
      </c>
      <c r="C646" s="2" t="s">
        <v>4087</v>
      </c>
      <c r="D646" s="2" t="s">
        <v>9340</v>
      </c>
      <c r="E646" s="2"/>
      <c r="F646" s="2" t="s">
        <v>1778</v>
      </c>
      <c r="G646" s="2" t="s">
        <v>1717</v>
      </c>
      <c r="H646" s="2"/>
      <c r="I646" s="3">
        <f t="shared" si="10"/>
        <v>115</v>
      </c>
    </row>
    <row r="647" spans="1:9" ht="24" x14ac:dyDescent="0.3">
      <c r="A647" s="2" t="s">
        <v>9568</v>
      </c>
      <c r="B647" s="2" t="s">
        <v>4036</v>
      </c>
      <c r="C647" s="2" t="s">
        <v>1754</v>
      </c>
      <c r="D647" s="2" t="s">
        <v>4037</v>
      </c>
      <c r="E647" s="2"/>
      <c r="F647" s="2"/>
      <c r="G647" s="2"/>
      <c r="H647" s="2"/>
      <c r="I647" s="3">
        <f t="shared" si="10"/>
        <v>115</v>
      </c>
    </row>
    <row r="648" spans="1:9" ht="24" x14ac:dyDescent="0.3">
      <c r="A648" s="2" t="s">
        <v>9568</v>
      </c>
      <c r="B648" s="2" t="s">
        <v>2706</v>
      </c>
      <c r="C648" s="2" t="s">
        <v>2707</v>
      </c>
      <c r="D648" s="2" t="s">
        <v>8720</v>
      </c>
      <c r="E648" s="2" t="s">
        <v>3209</v>
      </c>
      <c r="F648" s="2"/>
      <c r="G648" s="2"/>
      <c r="H648" s="2" t="s">
        <v>898</v>
      </c>
      <c r="I648" s="3">
        <f t="shared" si="10"/>
        <v>115</v>
      </c>
    </row>
    <row r="649" spans="1:9" ht="24" x14ac:dyDescent="0.3">
      <c r="A649" s="2" t="s">
        <v>9568</v>
      </c>
      <c r="B649" s="2" t="s">
        <v>4040</v>
      </c>
      <c r="C649" s="2" t="s">
        <v>178</v>
      </c>
      <c r="D649" s="2" t="s">
        <v>4041</v>
      </c>
      <c r="E649" s="2" t="s">
        <v>39</v>
      </c>
      <c r="F649" s="2"/>
      <c r="G649" s="2"/>
      <c r="H649" s="2"/>
      <c r="I649" s="3">
        <f t="shared" si="10"/>
        <v>115</v>
      </c>
    </row>
    <row r="650" spans="1:9" ht="24" x14ac:dyDescent="0.3">
      <c r="A650" s="2" t="s">
        <v>9570</v>
      </c>
      <c r="B650" s="2" t="s">
        <v>3477</v>
      </c>
      <c r="C650" s="2" t="s">
        <v>389</v>
      </c>
      <c r="D650" s="2" t="s">
        <v>4023</v>
      </c>
      <c r="E650" s="2" t="s">
        <v>2891</v>
      </c>
      <c r="F650" s="2"/>
      <c r="G650" s="2"/>
      <c r="H650" s="2"/>
      <c r="I650" s="3">
        <f t="shared" si="10"/>
        <v>115</v>
      </c>
    </row>
    <row r="651" spans="1:9" ht="24" x14ac:dyDescent="0.3">
      <c r="A651" s="2" t="s">
        <v>9571</v>
      </c>
      <c r="B651" s="2" t="s">
        <v>2770</v>
      </c>
      <c r="C651" s="2" t="s">
        <v>4024</v>
      </c>
      <c r="D651" s="2" t="s">
        <v>4025</v>
      </c>
      <c r="E651" s="2"/>
      <c r="F651" s="2"/>
      <c r="G651" s="2" t="s">
        <v>350</v>
      </c>
      <c r="H651" s="2"/>
      <c r="I651" s="3">
        <f t="shared" si="10"/>
        <v>115</v>
      </c>
    </row>
    <row r="652" spans="1:9" ht="24" x14ac:dyDescent="0.3">
      <c r="A652" s="2" t="s">
        <v>9568</v>
      </c>
      <c r="B652" s="2" t="s">
        <v>4071</v>
      </c>
      <c r="C652" s="2" t="s">
        <v>823</v>
      </c>
      <c r="D652" s="2" t="s">
        <v>4072</v>
      </c>
      <c r="E652" s="2"/>
      <c r="F652" s="2"/>
      <c r="G652" s="2"/>
      <c r="H652" s="2"/>
      <c r="I652" s="3">
        <f t="shared" si="10"/>
        <v>116</v>
      </c>
    </row>
    <row r="653" spans="1:9" ht="24" x14ac:dyDescent="0.3">
      <c r="A653" s="2" t="s">
        <v>9571</v>
      </c>
      <c r="B653" s="2" t="s">
        <v>4052</v>
      </c>
      <c r="C653" s="2"/>
      <c r="D653" s="2" t="s">
        <v>4053</v>
      </c>
      <c r="E653" s="2"/>
      <c r="F653" s="2"/>
      <c r="G653" s="2"/>
      <c r="H653" s="2"/>
      <c r="I653" s="3">
        <f t="shared" si="10"/>
        <v>116</v>
      </c>
    </row>
    <row r="654" spans="1:9" ht="24" x14ac:dyDescent="0.3">
      <c r="A654" s="2" t="s">
        <v>9571</v>
      </c>
      <c r="B654" s="2" t="s">
        <v>4069</v>
      </c>
      <c r="C654" s="2" t="s">
        <v>240</v>
      </c>
      <c r="D654" s="2" t="s">
        <v>4070</v>
      </c>
      <c r="E654" s="2" t="s">
        <v>211</v>
      </c>
      <c r="F654" s="2"/>
      <c r="G654" s="2"/>
      <c r="H654" s="2"/>
      <c r="I654" s="3">
        <f t="shared" si="10"/>
        <v>116</v>
      </c>
    </row>
    <row r="655" spans="1:9" ht="24" x14ac:dyDescent="0.3">
      <c r="A655" s="2" t="s">
        <v>9567</v>
      </c>
      <c r="B655" s="2" t="s">
        <v>1156</v>
      </c>
      <c r="C655" s="2" t="s">
        <v>354</v>
      </c>
      <c r="D655" s="2" t="s">
        <v>4094</v>
      </c>
      <c r="E655" s="2" t="s">
        <v>3263</v>
      </c>
      <c r="F655" s="2"/>
      <c r="G655" s="2"/>
      <c r="H655" s="2"/>
      <c r="I655" s="3">
        <f t="shared" si="10"/>
        <v>117</v>
      </c>
    </row>
    <row r="656" spans="1:9" ht="24" x14ac:dyDescent="0.3">
      <c r="A656" s="2" t="s">
        <v>9568</v>
      </c>
      <c r="B656" s="2" t="s">
        <v>323</v>
      </c>
      <c r="C656" s="2" t="s">
        <v>875</v>
      </c>
      <c r="D656" s="2" t="s">
        <v>4079</v>
      </c>
      <c r="E656" s="2"/>
      <c r="F656" s="2"/>
      <c r="G656" s="2" t="s">
        <v>1717</v>
      </c>
      <c r="H656" s="2"/>
      <c r="I656" s="3">
        <f t="shared" si="10"/>
        <v>117</v>
      </c>
    </row>
    <row r="657" spans="1:9" ht="24" x14ac:dyDescent="0.3">
      <c r="A657" s="2" t="s">
        <v>9568</v>
      </c>
      <c r="B657" s="2" t="s">
        <v>4083</v>
      </c>
      <c r="C657" s="2" t="s">
        <v>4084</v>
      </c>
      <c r="D657" s="2" t="s">
        <v>4085</v>
      </c>
      <c r="E657" s="2" t="s">
        <v>39</v>
      </c>
      <c r="F657" s="2"/>
      <c r="G657" s="2"/>
      <c r="H657" s="2"/>
      <c r="I657" s="3">
        <f t="shared" si="10"/>
        <v>117</v>
      </c>
    </row>
    <row r="658" spans="1:9" ht="24" x14ac:dyDescent="0.3">
      <c r="A658" s="2" t="s">
        <v>9568</v>
      </c>
      <c r="B658" s="2" t="s">
        <v>4099</v>
      </c>
      <c r="C658" s="2" t="s">
        <v>4100</v>
      </c>
      <c r="D658" s="2" t="s">
        <v>4101</v>
      </c>
      <c r="E658" s="2"/>
      <c r="F658" s="2"/>
      <c r="G658" s="2"/>
      <c r="H658" s="2"/>
      <c r="I658" s="3">
        <f t="shared" si="10"/>
        <v>117</v>
      </c>
    </row>
    <row r="659" spans="1:9" ht="24" x14ac:dyDescent="0.3">
      <c r="A659" s="2" t="s">
        <v>9568</v>
      </c>
      <c r="B659" s="2" t="s">
        <v>1570</v>
      </c>
      <c r="C659" s="2" t="s">
        <v>4123</v>
      </c>
      <c r="D659" s="2" t="s">
        <v>4124</v>
      </c>
      <c r="E659" s="2"/>
      <c r="F659" s="2"/>
      <c r="G659" s="2"/>
      <c r="H659" s="2"/>
      <c r="I659" s="3">
        <f t="shared" si="10"/>
        <v>117</v>
      </c>
    </row>
    <row r="660" spans="1:9" ht="24" x14ac:dyDescent="0.3">
      <c r="A660" s="2" t="s">
        <v>9569</v>
      </c>
      <c r="B660" s="2" t="s">
        <v>4115</v>
      </c>
      <c r="C660" s="2"/>
      <c r="D660" s="2" t="s">
        <v>4116</v>
      </c>
      <c r="E660" s="2" t="s">
        <v>39</v>
      </c>
      <c r="F660" s="2"/>
      <c r="G660" s="2" t="s">
        <v>4117</v>
      </c>
      <c r="H660" s="2"/>
      <c r="I660" s="3">
        <f t="shared" si="10"/>
        <v>117</v>
      </c>
    </row>
    <row r="661" spans="1:9" ht="24" x14ac:dyDescent="0.3">
      <c r="A661" s="2" t="s">
        <v>9571</v>
      </c>
      <c r="B661" s="2" t="s">
        <v>1321</v>
      </c>
      <c r="C661" s="2" t="s">
        <v>57</v>
      </c>
      <c r="D661" s="2" t="s">
        <v>4080</v>
      </c>
      <c r="E661" s="2"/>
      <c r="F661" s="2"/>
      <c r="G661" s="2"/>
      <c r="H661" s="2"/>
      <c r="I661" s="3">
        <f t="shared" si="10"/>
        <v>117</v>
      </c>
    </row>
    <row r="662" spans="1:9" ht="24" x14ac:dyDescent="0.3">
      <c r="A662" s="2" t="s">
        <v>9571</v>
      </c>
      <c r="B662" s="2" t="s">
        <v>4097</v>
      </c>
      <c r="C662" s="2" t="s">
        <v>491</v>
      </c>
      <c r="D662" s="2" t="s">
        <v>4098</v>
      </c>
      <c r="E662" s="2"/>
      <c r="F662" s="2"/>
      <c r="G662" s="2"/>
      <c r="H662" s="2"/>
      <c r="I662" s="3">
        <f t="shared" si="10"/>
        <v>117</v>
      </c>
    </row>
    <row r="663" spans="1:9" ht="24" x14ac:dyDescent="0.3">
      <c r="A663" s="2" t="s">
        <v>9571</v>
      </c>
      <c r="B663" s="2" t="s">
        <v>3730</v>
      </c>
      <c r="C663" s="2" t="s">
        <v>240</v>
      </c>
      <c r="D663" s="2" t="s">
        <v>4118</v>
      </c>
      <c r="E663" s="2" t="s">
        <v>2121</v>
      </c>
      <c r="F663" s="2"/>
      <c r="G663" s="2"/>
      <c r="H663" s="2"/>
      <c r="I663" s="3">
        <f t="shared" si="10"/>
        <v>117</v>
      </c>
    </row>
    <row r="664" spans="1:9" ht="24" x14ac:dyDescent="0.3">
      <c r="A664" s="2" t="s">
        <v>9567</v>
      </c>
      <c r="B664" s="2" t="s">
        <v>4125</v>
      </c>
      <c r="C664" s="2" t="s">
        <v>4126</v>
      </c>
      <c r="D664" s="2" t="s">
        <v>4127</v>
      </c>
      <c r="E664" s="2"/>
      <c r="F664" s="2"/>
      <c r="G664" s="2"/>
      <c r="H664" s="2" t="s">
        <v>898</v>
      </c>
      <c r="I664" s="3">
        <f t="shared" si="10"/>
        <v>118</v>
      </c>
    </row>
    <row r="665" spans="1:9" ht="24" x14ac:dyDescent="0.3">
      <c r="A665" s="2" t="s">
        <v>9567</v>
      </c>
      <c r="B665" s="2" t="s">
        <v>4152</v>
      </c>
      <c r="C665" s="2" t="s">
        <v>263</v>
      </c>
      <c r="D665" s="2" t="s">
        <v>4153</v>
      </c>
      <c r="E665" s="2" t="s">
        <v>39</v>
      </c>
      <c r="F665" s="2"/>
      <c r="G665" s="2"/>
      <c r="H665" s="2"/>
      <c r="I665" s="3">
        <f t="shared" si="10"/>
        <v>118</v>
      </c>
    </row>
    <row r="666" spans="1:9" ht="24" x14ac:dyDescent="0.3">
      <c r="A666" s="2" t="s">
        <v>9568</v>
      </c>
      <c r="B666" s="2" t="s">
        <v>2304</v>
      </c>
      <c r="C666" s="2" t="s">
        <v>4134</v>
      </c>
      <c r="D666" s="2" t="s">
        <v>4135</v>
      </c>
      <c r="E666" s="2"/>
      <c r="F666" s="2"/>
      <c r="G666" s="2"/>
      <c r="H666" s="2" t="s">
        <v>1644</v>
      </c>
      <c r="I666" s="3">
        <f t="shared" si="10"/>
        <v>118</v>
      </c>
    </row>
    <row r="667" spans="1:9" ht="24" x14ac:dyDescent="0.3">
      <c r="A667" s="2" t="s">
        <v>9568</v>
      </c>
      <c r="B667" s="2" t="s">
        <v>642</v>
      </c>
      <c r="C667" s="2" t="s">
        <v>1371</v>
      </c>
      <c r="D667" s="2" t="s">
        <v>4150</v>
      </c>
      <c r="E667" s="2"/>
      <c r="F667" s="2"/>
      <c r="G667" s="2"/>
      <c r="H667" s="2"/>
      <c r="I667" s="3">
        <f t="shared" si="10"/>
        <v>118</v>
      </c>
    </row>
    <row r="668" spans="1:9" ht="24" x14ac:dyDescent="0.3">
      <c r="A668" s="2" t="s">
        <v>9568</v>
      </c>
      <c r="B668" s="2" t="s">
        <v>4154</v>
      </c>
      <c r="C668" s="2" t="s">
        <v>1754</v>
      </c>
      <c r="D668" s="2" t="s">
        <v>4155</v>
      </c>
      <c r="E668" s="2" t="s">
        <v>39</v>
      </c>
      <c r="F668" s="2"/>
      <c r="G668" s="2"/>
      <c r="H668" s="2"/>
      <c r="I668" s="3">
        <f t="shared" si="10"/>
        <v>118</v>
      </c>
    </row>
    <row r="669" spans="1:9" ht="24" x14ac:dyDescent="0.3">
      <c r="A669" s="2" t="s">
        <v>9571</v>
      </c>
      <c r="B669" s="2" t="s">
        <v>4136</v>
      </c>
      <c r="C669" s="2"/>
      <c r="D669" s="2" t="s">
        <v>4137</v>
      </c>
      <c r="E669" s="2"/>
      <c r="F669" s="2"/>
      <c r="G669" s="2"/>
      <c r="H669" s="2"/>
      <c r="I669" s="3">
        <f t="shared" si="10"/>
        <v>118</v>
      </c>
    </row>
    <row r="670" spans="1:9" ht="24" x14ac:dyDescent="0.3">
      <c r="A670" s="2" t="s">
        <v>9567</v>
      </c>
      <c r="B670" s="2" t="s">
        <v>4158</v>
      </c>
      <c r="C670" s="2" t="s">
        <v>408</v>
      </c>
      <c r="D670" s="2" t="s">
        <v>4159</v>
      </c>
      <c r="E670" s="2"/>
      <c r="F670" s="2"/>
      <c r="G670" s="2"/>
      <c r="H670" s="2"/>
      <c r="I670" s="3">
        <f t="shared" si="10"/>
        <v>119</v>
      </c>
    </row>
    <row r="671" spans="1:9" ht="24" x14ac:dyDescent="0.3">
      <c r="A671" s="2" t="s">
        <v>9567</v>
      </c>
      <c r="B671" s="2" t="s">
        <v>4176</v>
      </c>
      <c r="C671" s="2" t="s">
        <v>389</v>
      </c>
      <c r="D671" s="2" t="s">
        <v>4177</v>
      </c>
      <c r="E671" s="2" t="s">
        <v>39</v>
      </c>
      <c r="F671" s="2"/>
      <c r="G671" s="2"/>
      <c r="H671" s="2"/>
      <c r="I671" s="3">
        <f t="shared" si="10"/>
        <v>119</v>
      </c>
    </row>
    <row r="672" spans="1:9" ht="24" x14ac:dyDescent="0.3">
      <c r="A672" s="2" t="s">
        <v>9568</v>
      </c>
      <c r="B672" s="2" t="s">
        <v>4165</v>
      </c>
      <c r="C672" s="2" t="s">
        <v>1983</v>
      </c>
      <c r="D672" s="2" t="s">
        <v>4166</v>
      </c>
      <c r="E672" s="2" t="s">
        <v>3643</v>
      </c>
      <c r="F672" s="2"/>
      <c r="G672" s="2"/>
      <c r="H672" s="2"/>
      <c r="I672" s="3">
        <f t="shared" si="10"/>
        <v>119</v>
      </c>
    </row>
    <row r="673" spans="1:9" ht="24" x14ac:dyDescent="0.3">
      <c r="A673" s="2" t="s">
        <v>9568</v>
      </c>
      <c r="B673" s="2" t="s">
        <v>4183</v>
      </c>
      <c r="C673" s="2" t="s">
        <v>1178</v>
      </c>
      <c r="D673" s="2" t="s">
        <v>4184</v>
      </c>
      <c r="E673" s="2" t="s">
        <v>39</v>
      </c>
      <c r="F673" s="2"/>
      <c r="G673" s="2"/>
      <c r="H673" s="2"/>
      <c r="I673" s="3">
        <f t="shared" si="10"/>
        <v>119</v>
      </c>
    </row>
    <row r="674" spans="1:9" ht="24" x14ac:dyDescent="0.3">
      <c r="A674" s="2" t="s">
        <v>9569</v>
      </c>
      <c r="B674" s="2" t="s">
        <v>4185</v>
      </c>
      <c r="C674" s="2" t="s">
        <v>275</v>
      </c>
      <c r="D674" s="2" t="s">
        <v>4186</v>
      </c>
      <c r="E674" s="2" t="s">
        <v>393</v>
      </c>
      <c r="F674" s="2"/>
      <c r="G674" s="2"/>
      <c r="H674" s="2"/>
      <c r="I674" s="3">
        <f t="shared" si="10"/>
        <v>119</v>
      </c>
    </row>
    <row r="675" spans="1:9" ht="24" x14ac:dyDescent="0.3">
      <c r="A675" s="2" t="s">
        <v>9570</v>
      </c>
      <c r="B675" s="2" t="s">
        <v>4169</v>
      </c>
      <c r="C675" s="2"/>
      <c r="D675" s="2" t="s">
        <v>4170</v>
      </c>
      <c r="E675" s="2" t="s">
        <v>39</v>
      </c>
      <c r="F675" s="2"/>
      <c r="G675" s="2"/>
      <c r="H675" s="2"/>
      <c r="I675" s="3">
        <f t="shared" si="10"/>
        <v>119</v>
      </c>
    </row>
    <row r="676" spans="1:9" ht="24" x14ac:dyDescent="0.3">
      <c r="A676" s="2" t="s">
        <v>9571</v>
      </c>
      <c r="B676" s="2" t="s">
        <v>4160</v>
      </c>
      <c r="C676" s="2" t="s">
        <v>4161</v>
      </c>
      <c r="D676" s="2" t="s">
        <v>4162</v>
      </c>
      <c r="E676" s="2"/>
      <c r="F676" s="2"/>
      <c r="G676" s="2"/>
      <c r="H676" s="2"/>
      <c r="I676" s="3">
        <f t="shared" si="10"/>
        <v>119</v>
      </c>
    </row>
    <row r="677" spans="1:9" ht="24" x14ac:dyDescent="0.3">
      <c r="A677" s="2" t="s">
        <v>9567</v>
      </c>
      <c r="B677" s="2" t="s">
        <v>4196</v>
      </c>
      <c r="C677" s="2" t="s">
        <v>354</v>
      </c>
      <c r="D677" s="2" t="s">
        <v>4197</v>
      </c>
      <c r="E677" s="2" t="s">
        <v>379</v>
      </c>
      <c r="F677" s="2"/>
      <c r="G677" s="2"/>
      <c r="H677" s="2"/>
      <c r="I677" s="3">
        <f t="shared" si="10"/>
        <v>120</v>
      </c>
    </row>
    <row r="678" spans="1:9" ht="24" x14ac:dyDescent="0.3">
      <c r="A678" s="2" t="s">
        <v>9568</v>
      </c>
      <c r="B678" s="2" t="s">
        <v>323</v>
      </c>
      <c r="C678" s="2" t="s">
        <v>875</v>
      </c>
      <c r="D678" s="2" t="s">
        <v>4223</v>
      </c>
      <c r="E678" s="2" t="s">
        <v>4224</v>
      </c>
      <c r="F678" s="2"/>
      <c r="G678" s="2"/>
      <c r="H678" s="2"/>
      <c r="I678" s="3">
        <f t="shared" si="10"/>
        <v>120</v>
      </c>
    </row>
    <row r="679" spans="1:9" ht="24" x14ac:dyDescent="0.3">
      <c r="A679" s="2" t="s">
        <v>9568</v>
      </c>
      <c r="B679" s="2" t="s">
        <v>4227</v>
      </c>
      <c r="C679" s="2" t="s">
        <v>4228</v>
      </c>
      <c r="D679" s="2" t="s">
        <v>4229</v>
      </c>
      <c r="E679" s="2" t="s">
        <v>211</v>
      </c>
      <c r="F679" s="2"/>
      <c r="G679" s="2"/>
      <c r="H679" s="2"/>
      <c r="I679" s="3">
        <f t="shared" si="10"/>
        <v>120</v>
      </c>
    </row>
    <row r="680" spans="1:9" ht="24" x14ac:dyDescent="0.3">
      <c r="A680" s="2" t="s">
        <v>9568</v>
      </c>
      <c r="B680" s="2" t="s">
        <v>4230</v>
      </c>
      <c r="C680" s="2" t="s">
        <v>4228</v>
      </c>
      <c r="D680" s="2" t="s">
        <v>4231</v>
      </c>
      <c r="E680" s="2" t="s">
        <v>211</v>
      </c>
      <c r="F680" s="2"/>
      <c r="G680" s="2"/>
      <c r="H680" s="2"/>
      <c r="I680" s="3">
        <f t="shared" si="10"/>
        <v>120</v>
      </c>
    </row>
    <row r="681" spans="1:9" ht="24" x14ac:dyDescent="0.3">
      <c r="A681" s="2" t="s">
        <v>9567</v>
      </c>
      <c r="B681" s="2" t="s">
        <v>4264</v>
      </c>
      <c r="C681" s="2"/>
      <c r="D681" s="2" t="s">
        <v>4265</v>
      </c>
      <c r="E681" s="2" t="s">
        <v>39</v>
      </c>
      <c r="F681" s="2"/>
      <c r="G681" s="2"/>
      <c r="H681" s="2"/>
      <c r="I681" s="3">
        <f t="shared" si="10"/>
        <v>121</v>
      </c>
    </row>
    <row r="682" spans="1:9" ht="24" x14ac:dyDescent="0.3">
      <c r="A682" s="2" t="s">
        <v>9568</v>
      </c>
      <c r="B682" s="2" t="s">
        <v>375</v>
      </c>
      <c r="C682" s="2" t="s">
        <v>1249</v>
      </c>
      <c r="D682" s="2" t="s">
        <v>4236</v>
      </c>
      <c r="E682" s="2"/>
      <c r="F682" s="2"/>
      <c r="G682" s="2" t="s">
        <v>1717</v>
      </c>
      <c r="H682" s="2"/>
      <c r="I682" s="3">
        <f t="shared" si="10"/>
        <v>121</v>
      </c>
    </row>
    <row r="683" spans="1:9" ht="24" x14ac:dyDescent="0.3">
      <c r="A683" s="2" t="s">
        <v>9568</v>
      </c>
      <c r="B683" s="2" t="s">
        <v>4242</v>
      </c>
      <c r="C683" s="2" t="s">
        <v>4161</v>
      </c>
      <c r="D683" s="2" t="s">
        <v>4243</v>
      </c>
      <c r="E683" s="2" t="s">
        <v>39</v>
      </c>
      <c r="F683" s="2"/>
      <c r="G683" s="2"/>
      <c r="H683" s="2"/>
      <c r="I683" s="3">
        <f t="shared" si="10"/>
        <v>121</v>
      </c>
    </row>
    <row r="684" spans="1:9" ht="24" x14ac:dyDescent="0.3">
      <c r="A684" s="2" t="s">
        <v>9568</v>
      </c>
      <c r="B684" s="2" t="s">
        <v>4266</v>
      </c>
      <c r="C684" s="2" t="s">
        <v>2814</v>
      </c>
      <c r="D684" s="2" t="s">
        <v>4267</v>
      </c>
      <c r="E684" s="2" t="s">
        <v>211</v>
      </c>
      <c r="F684" s="2"/>
      <c r="G684" s="2"/>
      <c r="H684" s="2"/>
      <c r="I684" s="3">
        <f t="shared" si="10"/>
        <v>121</v>
      </c>
    </row>
    <row r="685" spans="1:9" ht="24" x14ac:dyDescent="0.3">
      <c r="A685" s="2" t="s">
        <v>9569</v>
      </c>
      <c r="B685" s="2" t="s">
        <v>4248</v>
      </c>
      <c r="C685" s="2" t="s">
        <v>4249</v>
      </c>
      <c r="D685" s="2" t="s">
        <v>4250</v>
      </c>
      <c r="E685" s="2"/>
      <c r="F685" s="2"/>
      <c r="G685" s="2"/>
      <c r="H685" s="2"/>
      <c r="I685" s="3">
        <f t="shared" si="10"/>
        <v>121</v>
      </c>
    </row>
    <row r="686" spans="1:9" ht="24" x14ac:dyDescent="0.3">
      <c r="A686" s="2" t="s">
        <v>9570</v>
      </c>
      <c r="B686" s="2" t="s">
        <v>4237</v>
      </c>
      <c r="C686" s="2"/>
      <c r="D686" s="2" t="s">
        <v>4238</v>
      </c>
      <c r="E686" s="2" t="s">
        <v>39</v>
      </c>
      <c r="F686" s="2"/>
      <c r="G686" s="2"/>
      <c r="H686" s="2"/>
      <c r="I686" s="3">
        <f t="shared" si="10"/>
        <v>121</v>
      </c>
    </row>
    <row r="687" spans="1:9" ht="24" x14ac:dyDescent="0.3">
      <c r="A687" s="2" t="s">
        <v>9570</v>
      </c>
      <c r="B687" s="2" t="s">
        <v>4240</v>
      </c>
      <c r="C687" s="2" t="s">
        <v>389</v>
      </c>
      <c r="D687" s="2" t="s">
        <v>4241</v>
      </c>
      <c r="E687" s="2"/>
      <c r="F687" s="2"/>
      <c r="G687" s="2"/>
      <c r="H687" s="2"/>
      <c r="I687" s="3">
        <f t="shared" si="10"/>
        <v>121</v>
      </c>
    </row>
    <row r="688" spans="1:9" ht="24" x14ac:dyDescent="0.3">
      <c r="A688" s="2" t="s">
        <v>9571</v>
      </c>
      <c r="B688" s="2" t="s">
        <v>4246</v>
      </c>
      <c r="C688" s="2" t="s">
        <v>95</v>
      </c>
      <c r="D688" s="2" t="s">
        <v>4247</v>
      </c>
      <c r="E688" s="2" t="s">
        <v>39</v>
      </c>
      <c r="F688" s="2"/>
      <c r="G688" s="2"/>
      <c r="H688" s="2"/>
      <c r="I688" s="3">
        <f t="shared" si="10"/>
        <v>121</v>
      </c>
    </row>
    <row r="689" spans="1:9" ht="24" x14ac:dyDescent="0.3">
      <c r="A689" s="2" t="s">
        <v>9567</v>
      </c>
      <c r="B689" s="2" t="s">
        <v>3215</v>
      </c>
      <c r="C689" s="2" t="s">
        <v>500</v>
      </c>
      <c r="D689" s="2" t="s">
        <v>4279</v>
      </c>
      <c r="E689" s="2" t="s">
        <v>39</v>
      </c>
      <c r="F689" s="2"/>
      <c r="G689" s="2"/>
      <c r="H689" s="2" t="s">
        <v>402</v>
      </c>
      <c r="I689" s="3">
        <f t="shared" si="10"/>
        <v>122</v>
      </c>
    </row>
    <row r="690" spans="1:9" ht="24" x14ac:dyDescent="0.3">
      <c r="A690" s="2" t="s">
        <v>9567</v>
      </c>
      <c r="B690" s="2" t="s">
        <v>4280</v>
      </c>
      <c r="C690" s="2" t="s">
        <v>1647</v>
      </c>
      <c r="D690" s="2" t="s">
        <v>4281</v>
      </c>
      <c r="E690" s="2"/>
      <c r="F690" s="2"/>
      <c r="G690" s="2"/>
      <c r="H690" s="2" t="s">
        <v>646</v>
      </c>
      <c r="I690" s="3">
        <f t="shared" si="10"/>
        <v>122</v>
      </c>
    </row>
    <row r="691" spans="1:9" ht="24" x14ac:dyDescent="0.3">
      <c r="A691" s="2" t="s">
        <v>9567</v>
      </c>
      <c r="B691" s="2" t="s">
        <v>4297</v>
      </c>
      <c r="C691" s="2" t="s">
        <v>437</v>
      </c>
      <c r="D691" s="2" t="s">
        <v>4298</v>
      </c>
      <c r="E691" s="2" t="s">
        <v>39</v>
      </c>
      <c r="F691" s="2"/>
      <c r="G691" s="2"/>
      <c r="H691" s="2" t="s">
        <v>194</v>
      </c>
      <c r="I691" s="3">
        <f t="shared" si="10"/>
        <v>122</v>
      </c>
    </row>
    <row r="692" spans="1:9" ht="24" x14ac:dyDescent="0.3">
      <c r="A692" s="2" t="s">
        <v>9568</v>
      </c>
      <c r="B692" s="2" t="s">
        <v>4271</v>
      </c>
      <c r="C692" s="2" t="s">
        <v>2054</v>
      </c>
      <c r="D692" s="2" t="s">
        <v>4272</v>
      </c>
      <c r="E692" s="2" t="s">
        <v>39</v>
      </c>
      <c r="F692" s="2"/>
      <c r="G692" s="2"/>
      <c r="H692" s="2"/>
      <c r="I692" s="3">
        <f t="shared" si="10"/>
        <v>122</v>
      </c>
    </row>
    <row r="693" spans="1:9" ht="24" x14ac:dyDescent="0.3">
      <c r="A693" s="2" t="s">
        <v>9568</v>
      </c>
      <c r="B693" s="2" t="s">
        <v>4268</v>
      </c>
      <c r="C693" s="2" t="s">
        <v>4269</v>
      </c>
      <c r="D693" s="2" t="s">
        <v>4270</v>
      </c>
      <c r="E693" s="2"/>
      <c r="F693" s="2"/>
      <c r="G693" s="2"/>
      <c r="H693" s="2"/>
      <c r="I693" s="3">
        <f t="shared" si="10"/>
        <v>122</v>
      </c>
    </row>
    <row r="694" spans="1:9" ht="24" x14ac:dyDescent="0.3">
      <c r="A694" s="2" t="s">
        <v>9571</v>
      </c>
      <c r="B694" s="2" t="s">
        <v>4275</v>
      </c>
      <c r="C694" s="2" t="s">
        <v>95</v>
      </c>
      <c r="D694" s="2" t="s">
        <v>4276</v>
      </c>
      <c r="E694" s="2" t="s">
        <v>39</v>
      </c>
      <c r="F694" s="2"/>
      <c r="G694" s="2"/>
      <c r="H694" s="2"/>
      <c r="I694" s="3">
        <f t="shared" si="10"/>
        <v>122</v>
      </c>
    </row>
    <row r="695" spans="1:9" ht="24" x14ac:dyDescent="0.3">
      <c r="A695" s="2" t="s">
        <v>9567</v>
      </c>
      <c r="B695" s="2" t="s">
        <v>896</v>
      </c>
      <c r="C695" s="2" t="s">
        <v>4126</v>
      </c>
      <c r="D695" s="2" t="s">
        <v>4303</v>
      </c>
      <c r="E695" s="2"/>
      <c r="F695" s="2"/>
      <c r="G695" s="2"/>
      <c r="H695" s="2" t="s">
        <v>898</v>
      </c>
      <c r="I695" s="3">
        <f t="shared" si="10"/>
        <v>123</v>
      </c>
    </row>
    <row r="696" spans="1:9" ht="24" x14ac:dyDescent="0.3">
      <c r="A696" s="2" t="s">
        <v>9567</v>
      </c>
      <c r="B696" s="2" t="s">
        <v>4318</v>
      </c>
      <c r="C696" s="2" t="s">
        <v>263</v>
      </c>
      <c r="D696" s="2" t="s">
        <v>4319</v>
      </c>
      <c r="E696" s="2"/>
      <c r="F696" s="2"/>
      <c r="G696" s="2"/>
      <c r="H696" s="2"/>
      <c r="I696" s="3">
        <f t="shared" si="10"/>
        <v>123</v>
      </c>
    </row>
    <row r="697" spans="1:9" ht="24" x14ac:dyDescent="0.3">
      <c r="A697" s="2" t="s">
        <v>9567</v>
      </c>
      <c r="B697" s="2" t="s">
        <v>4322</v>
      </c>
      <c r="C697" s="2" t="s">
        <v>437</v>
      </c>
      <c r="D697" s="2" t="s">
        <v>4323</v>
      </c>
      <c r="E697" s="2" t="s">
        <v>39</v>
      </c>
      <c r="F697" s="2"/>
      <c r="G697" s="2"/>
      <c r="H697" s="2"/>
      <c r="I697" s="3">
        <f t="shared" si="10"/>
        <v>123</v>
      </c>
    </row>
    <row r="698" spans="1:9" ht="24" x14ac:dyDescent="0.3">
      <c r="A698" s="2" t="s">
        <v>9568</v>
      </c>
      <c r="B698" s="2" t="s">
        <v>4301</v>
      </c>
      <c r="C698" s="2" t="s">
        <v>4084</v>
      </c>
      <c r="D698" s="2" t="s">
        <v>4302</v>
      </c>
      <c r="E698" s="2"/>
      <c r="F698" s="2"/>
      <c r="G698" s="2"/>
      <c r="H698" s="2"/>
      <c r="I698" s="3">
        <f t="shared" si="10"/>
        <v>123</v>
      </c>
    </row>
    <row r="699" spans="1:9" ht="24" x14ac:dyDescent="0.3">
      <c r="A699" s="2" t="s">
        <v>9568</v>
      </c>
      <c r="B699" s="2" t="s">
        <v>4304</v>
      </c>
      <c r="C699" s="2" t="s">
        <v>860</v>
      </c>
      <c r="D699" s="2" t="s">
        <v>4305</v>
      </c>
      <c r="E699" s="2"/>
      <c r="F699" s="2"/>
      <c r="G699" s="2"/>
      <c r="H699" s="2"/>
      <c r="I699" s="3">
        <f t="shared" si="10"/>
        <v>123</v>
      </c>
    </row>
    <row r="700" spans="1:9" ht="24" x14ac:dyDescent="0.3">
      <c r="A700" s="2" t="s">
        <v>9568</v>
      </c>
      <c r="B700" s="2" t="s">
        <v>2706</v>
      </c>
      <c r="C700" s="2" t="s">
        <v>2707</v>
      </c>
      <c r="D700" s="2" t="s">
        <v>8721</v>
      </c>
      <c r="E700" s="2" t="s">
        <v>3980</v>
      </c>
      <c r="F700" s="2"/>
      <c r="G700" s="2"/>
      <c r="H700" s="2" t="s">
        <v>898</v>
      </c>
      <c r="I700" s="3">
        <f t="shared" si="10"/>
        <v>123</v>
      </c>
    </row>
    <row r="701" spans="1:9" ht="24" x14ac:dyDescent="0.3">
      <c r="A701" s="2" t="s">
        <v>9571</v>
      </c>
      <c r="B701" s="2" t="s">
        <v>4313</v>
      </c>
      <c r="C701" s="2" t="s">
        <v>240</v>
      </c>
      <c r="D701" s="2" t="s">
        <v>4314</v>
      </c>
      <c r="E701" s="2" t="s">
        <v>4315</v>
      </c>
      <c r="F701" s="2"/>
      <c r="G701" s="2"/>
      <c r="H701" s="2"/>
      <c r="I701" s="3">
        <f t="shared" si="10"/>
        <v>123</v>
      </c>
    </row>
    <row r="702" spans="1:9" ht="24" x14ac:dyDescent="0.3">
      <c r="A702" s="2" t="s">
        <v>9567</v>
      </c>
      <c r="B702" s="2" t="s">
        <v>4327</v>
      </c>
      <c r="C702" s="2" t="s">
        <v>263</v>
      </c>
      <c r="D702" s="2" t="s">
        <v>4328</v>
      </c>
      <c r="E702" s="2"/>
      <c r="F702" s="2"/>
      <c r="G702" s="2"/>
      <c r="H702" s="2"/>
      <c r="I702" s="3">
        <f t="shared" si="10"/>
        <v>124</v>
      </c>
    </row>
    <row r="703" spans="1:9" ht="24" x14ac:dyDescent="0.3">
      <c r="A703" s="2" t="s">
        <v>9568</v>
      </c>
      <c r="B703" s="2" t="s">
        <v>4324</v>
      </c>
      <c r="C703" s="2" t="s">
        <v>4325</v>
      </c>
      <c r="D703" s="2" t="s">
        <v>4326</v>
      </c>
      <c r="E703" s="2" t="s">
        <v>39</v>
      </c>
      <c r="F703" s="2"/>
      <c r="G703" s="2"/>
      <c r="H703" s="2"/>
      <c r="I703" s="3">
        <f t="shared" si="10"/>
        <v>124</v>
      </c>
    </row>
    <row r="704" spans="1:9" ht="24" x14ac:dyDescent="0.3">
      <c r="A704" s="2" t="s">
        <v>9568</v>
      </c>
      <c r="B704" s="2" t="s">
        <v>4331</v>
      </c>
      <c r="C704" s="2" t="s">
        <v>1684</v>
      </c>
      <c r="D704" s="2" t="s">
        <v>4332</v>
      </c>
      <c r="E704" s="2"/>
      <c r="F704" s="2"/>
      <c r="G704" s="2"/>
      <c r="H704" s="2"/>
      <c r="I704" s="3">
        <f t="shared" si="10"/>
        <v>124</v>
      </c>
    </row>
    <row r="705" spans="1:9" ht="24" x14ac:dyDescent="0.3">
      <c r="A705" s="2" t="s">
        <v>9570</v>
      </c>
      <c r="B705" s="2" t="s">
        <v>4335</v>
      </c>
      <c r="C705" s="2"/>
      <c r="D705" s="2" t="s">
        <v>4336</v>
      </c>
      <c r="E705" s="2"/>
      <c r="F705" s="2"/>
      <c r="G705" s="2"/>
      <c r="H705" s="2"/>
      <c r="I705" s="3">
        <f t="shared" si="10"/>
        <v>124</v>
      </c>
    </row>
    <row r="706" spans="1:9" ht="24" x14ac:dyDescent="0.3">
      <c r="A706" s="2" t="s">
        <v>9570</v>
      </c>
      <c r="B706" s="2" t="s">
        <v>4337</v>
      </c>
      <c r="C706" s="2"/>
      <c r="D706" s="2" t="s">
        <v>4338</v>
      </c>
      <c r="E706" s="2"/>
      <c r="F706" s="2"/>
      <c r="G706" s="2"/>
      <c r="H706" s="2"/>
      <c r="I706" s="3">
        <f t="shared" ref="I706:I769" si="11">LEN(D706)</f>
        <v>124</v>
      </c>
    </row>
    <row r="707" spans="1:9" ht="24" x14ac:dyDescent="0.3">
      <c r="A707" s="2" t="s">
        <v>9567</v>
      </c>
      <c r="B707" s="2" t="s">
        <v>1156</v>
      </c>
      <c r="C707" s="2" t="s">
        <v>354</v>
      </c>
      <c r="D707" s="2" t="s">
        <v>4376</v>
      </c>
      <c r="E707" s="2" t="s">
        <v>39</v>
      </c>
      <c r="F707" s="2"/>
      <c r="G707" s="2"/>
      <c r="H707" s="2" t="s">
        <v>194</v>
      </c>
      <c r="I707" s="3">
        <f t="shared" si="11"/>
        <v>125</v>
      </c>
    </row>
    <row r="708" spans="1:9" ht="24" x14ac:dyDescent="0.3">
      <c r="A708" s="2" t="s">
        <v>9567</v>
      </c>
      <c r="B708" s="2" t="s">
        <v>4383</v>
      </c>
      <c r="C708" s="2" t="s">
        <v>263</v>
      </c>
      <c r="D708" s="2" t="s">
        <v>4384</v>
      </c>
      <c r="E708" s="2"/>
      <c r="F708" s="2"/>
      <c r="G708" s="2"/>
      <c r="H708" s="2" t="s">
        <v>646</v>
      </c>
      <c r="I708" s="3">
        <f t="shared" si="11"/>
        <v>125</v>
      </c>
    </row>
    <row r="709" spans="1:9" ht="24" x14ac:dyDescent="0.3">
      <c r="A709" s="2" t="s">
        <v>9567</v>
      </c>
      <c r="B709" s="2" t="s">
        <v>4385</v>
      </c>
      <c r="C709" s="2"/>
      <c r="D709" s="2" t="s">
        <v>4386</v>
      </c>
      <c r="E709" s="2" t="s">
        <v>39</v>
      </c>
      <c r="F709" s="2"/>
      <c r="G709" s="2"/>
      <c r="H709" s="2" t="s">
        <v>194</v>
      </c>
      <c r="I709" s="3">
        <f t="shared" si="11"/>
        <v>125</v>
      </c>
    </row>
    <row r="710" spans="1:9" ht="24" x14ac:dyDescent="0.3">
      <c r="A710" s="2" t="s">
        <v>9568</v>
      </c>
      <c r="B710" s="2" t="s">
        <v>4364</v>
      </c>
      <c r="C710" s="2" t="s">
        <v>4365</v>
      </c>
      <c r="D710" s="2" t="s">
        <v>4366</v>
      </c>
      <c r="E710" s="2" t="s">
        <v>39</v>
      </c>
      <c r="F710" s="2"/>
      <c r="G710" s="2"/>
      <c r="H710" s="2"/>
      <c r="I710" s="3">
        <f t="shared" si="11"/>
        <v>125</v>
      </c>
    </row>
    <row r="711" spans="1:9" ht="24" x14ac:dyDescent="0.3">
      <c r="A711" s="2" t="s">
        <v>9568</v>
      </c>
      <c r="B711" s="2" t="s">
        <v>2268</v>
      </c>
      <c r="C711" s="2" t="s">
        <v>1249</v>
      </c>
      <c r="D711" s="2" t="s">
        <v>4369</v>
      </c>
      <c r="E711" s="2"/>
      <c r="F711" s="2"/>
      <c r="G711" s="2"/>
      <c r="H711" s="2"/>
      <c r="I711" s="3">
        <f t="shared" si="11"/>
        <v>125</v>
      </c>
    </row>
    <row r="712" spans="1:9" ht="24" x14ac:dyDescent="0.3">
      <c r="A712" s="2" t="s">
        <v>9568</v>
      </c>
      <c r="B712" s="2" t="s">
        <v>4387</v>
      </c>
      <c r="C712" s="2" t="s">
        <v>1244</v>
      </c>
      <c r="D712" s="2" t="s">
        <v>4388</v>
      </c>
      <c r="E712" s="2" t="s">
        <v>39</v>
      </c>
      <c r="F712" s="2"/>
      <c r="G712" s="2"/>
      <c r="H712" s="2"/>
      <c r="I712" s="3">
        <f t="shared" si="11"/>
        <v>125</v>
      </c>
    </row>
    <row r="713" spans="1:9" ht="24" x14ac:dyDescent="0.3">
      <c r="A713" s="2" t="s">
        <v>9571</v>
      </c>
      <c r="B713" s="2" t="s">
        <v>4367</v>
      </c>
      <c r="C713" s="2" t="s">
        <v>1647</v>
      </c>
      <c r="D713" s="2" t="s">
        <v>4368</v>
      </c>
      <c r="E713" s="2"/>
      <c r="F713" s="2"/>
      <c r="G713" s="2"/>
      <c r="H713" s="2" t="s">
        <v>1644</v>
      </c>
      <c r="I713" s="3">
        <f t="shared" si="11"/>
        <v>125</v>
      </c>
    </row>
    <row r="714" spans="1:9" ht="24" x14ac:dyDescent="0.3">
      <c r="A714" s="2" t="s">
        <v>9567</v>
      </c>
      <c r="B714" s="2" t="s">
        <v>4393</v>
      </c>
      <c r="C714" s="2" t="s">
        <v>95</v>
      </c>
      <c r="D714" s="2" t="s">
        <v>4394</v>
      </c>
      <c r="E714" s="2"/>
      <c r="F714" s="2"/>
      <c r="G714" s="2"/>
      <c r="H714" s="2" t="s">
        <v>646</v>
      </c>
      <c r="I714" s="3">
        <f t="shared" si="11"/>
        <v>126</v>
      </c>
    </row>
    <row r="715" spans="1:9" ht="24" x14ac:dyDescent="0.3">
      <c r="A715" s="2" t="s">
        <v>9567</v>
      </c>
      <c r="B715" s="2" t="s">
        <v>4395</v>
      </c>
      <c r="C715" s="2" t="s">
        <v>263</v>
      </c>
      <c r="D715" s="2" t="s">
        <v>4396</v>
      </c>
      <c r="E715" s="2" t="s">
        <v>39</v>
      </c>
      <c r="F715" s="2"/>
      <c r="G715" s="2"/>
      <c r="H715" s="2"/>
      <c r="I715" s="3">
        <f t="shared" si="11"/>
        <v>126</v>
      </c>
    </row>
    <row r="716" spans="1:9" ht="24" x14ac:dyDescent="0.3">
      <c r="A716" s="2" t="s">
        <v>9567</v>
      </c>
      <c r="B716" s="2" t="s">
        <v>195</v>
      </c>
      <c r="C716" s="2" t="s">
        <v>263</v>
      </c>
      <c r="D716" s="2" t="s">
        <v>4427</v>
      </c>
      <c r="E716" s="2" t="s">
        <v>39</v>
      </c>
      <c r="F716" s="2"/>
      <c r="G716" s="2"/>
      <c r="H716" s="2" t="s">
        <v>646</v>
      </c>
      <c r="I716" s="3">
        <f t="shared" si="11"/>
        <v>126</v>
      </c>
    </row>
    <row r="717" spans="1:9" ht="24" x14ac:dyDescent="0.3">
      <c r="A717" s="2" t="s">
        <v>9567</v>
      </c>
      <c r="B717" s="2" t="s">
        <v>4429</v>
      </c>
      <c r="C717" s="2" t="s">
        <v>263</v>
      </c>
      <c r="D717" s="2" t="s">
        <v>4430</v>
      </c>
      <c r="E717" s="2"/>
      <c r="F717" s="2"/>
      <c r="G717" s="2"/>
      <c r="H717" s="2" t="s">
        <v>646</v>
      </c>
      <c r="I717" s="3">
        <f t="shared" si="11"/>
        <v>126</v>
      </c>
    </row>
    <row r="718" spans="1:9" ht="24" x14ac:dyDescent="0.3">
      <c r="A718" s="2" t="s">
        <v>9568</v>
      </c>
      <c r="B718" s="2" t="s">
        <v>4389</v>
      </c>
      <c r="C718" s="2" t="s">
        <v>1249</v>
      </c>
      <c r="D718" s="2" t="s">
        <v>4390</v>
      </c>
      <c r="E718" s="2"/>
      <c r="F718" s="2"/>
      <c r="G718" s="2" t="s">
        <v>1717</v>
      </c>
      <c r="H718" s="2" t="s">
        <v>646</v>
      </c>
      <c r="I718" s="3">
        <f t="shared" si="11"/>
        <v>126</v>
      </c>
    </row>
    <row r="719" spans="1:9" ht="24" x14ac:dyDescent="0.3">
      <c r="A719" s="2" t="s">
        <v>9568</v>
      </c>
      <c r="B719" s="2" t="s">
        <v>4464</v>
      </c>
      <c r="C719" s="2" t="s">
        <v>4465</v>
      </c>
      <c r="D719" s="2" t="s">
        <v>9350</v>
      </c>
      <c r="E719" s="2"/>
      <c r="F719" s="2" t="s">
        <v>1778</v>
      </c>
      <c r="G719" s="2" t="s">
        <v>1717</v>
      </c>
      <c r="H719" s="2"/>
      <c r="I719" s="3">
        <f t="shared" si="11"/>
        <v>126</v>
      </c>
    </row>
    <row r="720" spans="1:9" ht="24" x14ac:dyDescent="0.3">
      <c r="A720" s="2" t="s">
        <v>9570</v>
      </c>
      <c r="B720" s="2" t="s">
        <v>4409</v>
      </c>
      <c r="C720" s="2"/>
      <c r="D720" s="2" t="s">
        <v>4410</v>
      </c>
      <c r="E720" s="2"/>
      <c r="F720" s="2"/>
      <c r="G720" s="2"/>
      <c r="H720" s="2" t="s">
        <v>646</v>
      </c>
      <c r="I720" s="3">
        <f t="shared" si="11"/>
        <v>126</v>
      </c>
    </row>
    <row r="721" spans="1:9" ht="24" x14ac:dyDescent="0.3">
      <c r="A721" s="2" t="s">
        <v>9567</v>
      </c>
      <c r="B721" s="2" t="s">
        <v>4434</v>
      </c>
      <c r="C721" s="2" t="s">
        <v>354</v>
      </c>
      <c r="D721" s="2" t="s">
        <v>4435</v>
      </c>
      <c r="E721" s="2" t="s">
        <v>39</v>
      </c>
      <c r="F721" s="2"/>
      <c r="G721" s="2"/>
      <c r="H721" s="2"/>
      <c r="I721" s="3">
        <f t="shared" si="11"/>
        <v>127</v>
      </c>
    </row>
    <row r="722" spans="1:9" ht="24" x14ac:dyDescent="0.3">
      <c r="A722" s="2" t="s">
        <v>9567</v>
      </c>
      <c r="B722" s="2" t="s">
        <v>3395</v>
      </c>
      <c r="C722" s="2" t="s">
        <v>354</v>
      </c>
      <c r="D722" s="2" t="s">
        <v>4439</v>
      </c>
      <c r="E722" s="2" t="s">
        <v>1776</v>
      </c>
      <c r="F722" s="2"/>
      <c r="G722" s="2"/>
      <c r="H722" s="2"/>
      <c r="I722" s="3">
        <f t="shared" si="11"/>
        <v>127</v>
      </c>
    </row>
    <row r="723" spans="1:9" ht="24" x14ac:dyDescent="0.3">
      <c r="A723" s="2" t="s">
        <v>9570</v>
      </c>
      <c r="B723" s="2" t="s">
        <v>4441</v>
      </c>
      <c r="C723" s="2" t="s">
        <v>389</v>
      </c>
      <c r="D723" s="2" t="s">
        <v>4442</v>
      </c>
      <c r="E723" s="2"/>
      <c r="F723" s="2"/>
      <c r="G723" s="2"/>
      <c r="H723" s="2"/>
      <c r="I723" s="3">
        <f t="shared" si="11"/>
        <v>127</v>
      </c>
    </row>
    <row r="724" spans="1:9" ht="24" x14ac:dyDescent="0.3">
      <c r="A724" s="2" t="s">
        <v>9571</v>
      </c>
      <c r="B724" s="2" t="s">
        <v>1321</v>
      </c>
      <c r="C724" s="2" t="s">
        <v>1772</v>
      </c>
      <c r="D724" s="2" t="s">
        <v>4438</v>
      </c>
      <c r="E724" s="2"/>
      <c r="F724" s="2"/>
      <c r="G724" s="2"/>
      <c r="H724" s="2"/>
      <c r="I724" s="3">
        <f t="shared" si="11"/>
        <v>127</v>
      </c>
    </row>
    <row r="725" spans="1:9" ht="24" x14ac:dyDescent="0.3">
      <c r="A725" s="2" t="s">
        <v>9568</v>
      </c>
      <c r="B725" s="2" t="s">
        <v>4455</v>
      </c>
      <c r="C725" s="2" t="s">
        <v>1642</v>
      </c>
      <c r="D725" s="2" t="s">
        <v>4456</v>
      </c>
      <c r="E725" s="2"/>
      <c r="F725" s="2"/>
      <c r="G725" s="2"/>
      <c r="H725" s="2"/>
      <c r="I725" s="3">
        <f t="shared" si="11"/>
        <v>128</v>
      </c>
    </row>
    <row r="726" spans="1:9" ht="24" x14ac:dyDescent="0.3">
      <c r="A726" s="2" t="s">
        <v>9569</v>
      </c>
      <c r="B726" s="2" t="s">
        <v>4453</v>
      </c>
      <c r="C726" s="2"/>
      <c r="D726" s="2" t="s">
        <v>4454</v>
      </c>
      <c r="E726" s="2"/>
      <c r="F726" s="2"/>
      <c r="G726" s="2"/>
      <c r="H726" s="2"/>
      <c r="I726" s="3">
        <f t="shared" si="11"/>
        <v>128</v>
      </c>
    </row>
    <row r="727" spans="1:9" ht="24" x14ac:dyDescent="0.3">
      <c r="A727" s="2" t="s">
        <v>9569</v>
      </c>
      <c r="B727" s="2" t="s">
        <v>4457</v>
      </c>
      <c r="C727" s="2" t="s">
        <v>1647</v>
      </c>
      <c r="D727" s="2" t="s">
        <v>4458</v>
      </c>
      <c r="E727" s="2"/>
      <c r="F727" s="2"/>
      <c r="G727" s="2"/>
      <c r="H727" s="2" t="s">
        <v>1644</v>
      </c>
      <c r="I727" s="3">
        <f t="shared" si="11"/>
        <v>128</v>
      </c>
    </row>
    <row r="728" spans="1:9" ht="24" x14ac:dyDescent="0.3">
      <c r="A728" s="2" t="s">
        <v>9570</v>
      </c>
      <c r="B728" s="2" t="s">
        <v>4459</v>
      </c>
      <c r="C728" s="2" t="s">
        <v>181</v>
      </c>
      <c r="D728" s="2" t="s">
        <v>4460</v>
      </c>
      <c r="E728" s="2"/>
      <c r="F728" s="2"/>
      <c r="G728" s="2"/>
      <c r="H728" s="2" t="s">
        <v>646</v>
      </c>
      <c r="I728" s="3">
        <f t="shared" si="11"/>
        <v>128</v>
      </c>
    </row>
    <row r="729" spans="1:9" ht="24" x14ac:dyDescent="0.3">
      <c r="A729" s="2" t="s">
        <v>9571</v>
      </c>
      <c r="B729" s="2" t="s">
        <v>1321</v>
      </c>
      <c r="C729" s="2" t="s">
        <v>57</v>
      </c>
      <c r="D729" s="2" t="s">
        <v>9309</v>
      </c>
      <c r="E729" s="2"/>
      <c r="F729" s="2" t="s">
        <v>1778</v>
      </c>
      <c r="G729" s="2" t="s">
        <v>1717</v>
      </c>
      <c r="H729" s="2" t="s">
        <v>646</v>
      </c>
      <c r="I729" s="3">
        <f t="shared" si="11"/>
        <v>128</v>
      </c>
    </row>
    <row r="730" spans="1:9" ht="24" x14ac:dyDescent="0.3">
      <c r="A730" s="2" t="s">
        <v>9567</v>
      </c>
      <c r="B730" s="2" t="s">
        <v>1156</v>
      </c>
      <c r="C730" s="2" t="s">
        <v>354</v>
      </c>
      <c r="D730" s="2" t="s">
        <v>4510</v>
      </c>
      <c r="E730" s="2" t="s">
        <v>1776</v>
      </c>
      <c r="F730" s="2"/>
      <c r="G730" s="2"/>
      <c r="H730" s="2"/>
      <c r="I730" s="3">
        <f t="shared" si="11"/>
        <v>129</v>
      </c>
    </row>
    <row r="731" spans="1:9" ht="24" x14ac:dyDescent="0.3">
      <c r="A731" s="2" t="s">
        <v>9568</v>
      </c>
      <c r="B731" s="2" t="s">
        <v>4508</v>
      </c>
      <c r="C731" s="2" t="s">
        <v>4134</v>
      </c>
      <c r="D731" s="2" t="s">
        <v>4509</v>
      </c>
      <c r="E731" s="2"/>
      <c r="F731" s="2"/>
      <c r="G731" s="2"/>
      <c r="H731" s="2" t="s">
        <v>1644</v>
      </c>
      <c r="I731" s="3">
        <f t="shared" si="11"/>
        <v>129</v>
      </c>
    </row>
    <row r="732" spans="1:9" ht="24" x14ac:dyDescent="0.3">
      <c r="A732" s="2" t="s">
        <v>9568</v>
      </c>
      <c r="B732" s="2" t="s">
        <v>4536</v>
      </c>
      <c r="C732" s="2" t="s">
        <v>4161</v>
      </c>
      <c r="D732" s="2" t="s">
        <v>4537</v>
      </c>
      <c r="E732" s="2"/>
      <c r="F732" s="2"/>
      <c r="G732" s="2"/>
      <c r="H732" s="2"/>
      <c r="I732" s="3">
        <f t="shared" si="11"/>
        <v>129</v>
      </c>
    </row>
    <row r="733" spans="1:9" ht="24" x14ac:dyDescent="0.3">
      <c r="A733" s="2" t="s">
        <v>9571</v>
      </c>
      <c r="B733" s="2" t="s">
        <v>4491</v>
      </c>
      <c r="C733" s="2" t="s">
        <v>4492</v>
      </c>
      <c r="D733" s="2" t="s">
        <v>4493</v>
      </c>
      <c r="E733" s="2" t="s">
        <v>39</v>
      </c>
      <c r="F733" s="2"/>
      <c r="G733" s="2"/>
      <c r="H733" s="2" t="s">
        <v>86</v>
      </c>
      <c r="I733" s="3">
        <f t="shared" si="11"/>
        <v>129</v>
      </c>
    </row>
    <row r="734" spans="1:9" ht="24" x14ac:dyDescent="0.3">
      <c r="A734" s="2" t="s">
        <v>9571</v>
      </c>
      <c r="B734" s="2" t="s">
        <v>4511</v>
      </c>
      <c r="C734" s="2" t="s">
        <v>57</v>
      </c>
      <c r="D734" s="2" t="s">
        <v>4512</v>
      </c>
      <c r="E734" s="2"/>
      <c r="F734" s="2"/>
      <c r="G734" s="2"/>
      <c r="H734" s="2"/>
      <c r="I734" s="3">
        <f t="shared" si="11"/>
        <v>129</v>
      </c>
    </row>
    <row r="735" spans="1:9" ht="24" x14ac:dyDescent="0.3">
      <c r="A735" s="2" t="s">
        <v>9567</v>
      </c>
      <c r="B735" s="2" t="s">
        <v>4073</v>
      </c>
      <c r="C735" s="2" t="s">
        <v>500</v>
      </c>
      <c r="D735" s="2" t="s">
        <v>4556</v>
      </c>
      <c r="E735" s="2" t="s">
        <v>39</v>
      </c>
      <c r="F735" s="2"/>
      <c r="G735" s="2"/>
      <c r="H735" s="2" t="s">
        <v>402</v>
      </c>
      <c r="I735" s="3">
        <f t="shared" si="11"/>
        <v>130</v>
      </c>
    </row>
    <row r="736" spans="1:9" ht="24" x14ac:dyDescent="0.3">
      <c r="A736" s="2" t="s">
        <v>9567</v>
      </c>
      <c r="B736" s="2" t="s">
        <v>1704</v>
      </c>
      <c r="C736" s="2" t="s">
        <v>354</v>
      </c>
      <c r="D736" s="2" t="s">
        <v>4558</v>
      </c>
      <c r="E736" s="2" t="s">
        <v>39</v>
      </c>
      <c r="F736" s="2"/>
      <c r="G736" s="2"/>
      <c r="H736" s="2"/>
      <c r="I736" s="3">
        <f t="shared" si="11"/>
        <v>130</v>
      </c>
    </row>
    <row r="737" spans="1:9" ht="24" x14ac:dyDescent="0.3">
      <c r="A737" s="2" t="s">
        <v>9568</v>
      </c>
      <c r="B737" s="2" t="s">
        <v>3509</v>
      </c>
      <c r="C737" s="2" t="s">
        <v>3510</v>
      </c>
      <c r="D737" s="2" t="s">
        <v>4557</v>
      </c>
      <c r="E737" s="2" t="s">
        <v>39</v>
      </c>
      <c r="F737" s="2"/>
      <c r="G737" s="2"/>
      <c r="H737" s="2"/>
      <c r="I737" s="3">
        <f t="shared" si="11"/>
        <v>130</v>
      </c>
    </row>
    <row r="738" spans="1:9" ht="24" x14ac:dyDescent="0.3">
      <c r="A738" s="2" t="s">
        <v>9568</v>
      </c>
      <c r="B738" s="2" t="s">
        <v>4563</v>
      </c>
      <c r="C738" s="2" t="s">
        <v>1249</v>
      </c>
      <c r="D738" s="2" t="s">
        <v>4564</v>
      </c>
      <c r="E738" s="2"/>
      <c r="F738" s="2"/>
      <c r="G738" s="2" t="s">
        <v>1717</v>
      </c>
      <c r="H738" s="2" t="s">
        <v>646</v>
      </c>
      <c r="I738" s="3">
        <f t="shared" si="11"/>
        <v>131</v>
      </c>
    </row>
    <row r="739" spans="1:9" ht="24" x14ac:dyDescent="0.3">
      <c r="A739" s="2" t="s">
        <v>9568</v>
      </c>
      <c r="B739" s="2" t="s">
        <v>4588</v>
      </c>
      <c r="C739" s="2" t="s">
        <v>4589</v>
      </c>
      <c r="D739" s="2" t="s">
        <v>4590</v>
      </c>
      <c r="E739" s="2" t="s">
        <v>39</v>
      </c>
      <c r="F739" s="2"/>
      <c r="G739" s="2"/>
      <c r="H739" s="2"/>
      <c r="I739" s="3">
        <f t="shared" si="11"/>
        <v>131</v>
      </c>
    </row>
    <row r="740" spans="1:9" ht="24" x14ac:dyDescent="0.3">
      <c r="A740" s="2" t="s">
        <v>9568</v>
      </c>
      <c r="B740" s="2" t="s">
        <v>4591</v>
      </c>
      <c r="C740" s="2" t="s">
        <v>4592</v>
      </c>
      <c r="D740" s="2" t="s">
        <v>4593</v>
      </c>
      <c r="E740" s="2"/>
      <c r="F740" s="2"/>
      <c r="G740" s="2"/>
      <c r="H740" s="2"/>
      <c r="I740" s="3">
        <f t="shared" si="11"/>
        <v>131</v>
      </c>
    </row>
    <row r="741" spans="1:9" ht="24" x14ac:dyDescent="0.3">
      <c r="A741" s="2" t="s">
        <v>9567</v>
      </c>
      <c r="B741" s="2" t="s">
        <v>4607</v>
      </c>
      <c r="C741" s="2" t="s">
        <v>1647</v>
      </c>
      <c r="D741" s="2" t="s">
        <v>4608</v>
      </c>
      <c r="E741" s="2"/>
      <c r="F741" s="2"/>
      <c r="G741" s="2"/>
      <c r="H741" s="2" t="s">
        <v>646</v>
      </c>
      <c r="I741" s="3">
        <f t="shared" si="11"/>
        <v>132</v>
      </c>
    </row>
    <row r="742" spans="1:9" ht="24" x14ac:dyDescent="0.3">
      <c r="A742" s="2" t="s">
        <v>9567</v>
      </c>
      <c r="B742" s="2" t="s">
        <v>4268</v>
      </c>
      <c r="C742" s="2" t="s">
        <v>263</v>
      </c>
      <c r="D742" s="2" t="s">
        <v>4618</v>
      </c>
      <c r="E742" s="2"/>
      <c r="F742" s="2"/>
      <c r="G742" s="2"/>
      <c r="H742" s="2" t="s">
        <v>646</v>
      </c>
      <c r="I742" s="3">
        <f t="shared" si="11"/>
        <v>132</v>
      </c>
    </row>
    <row r="743" spans="1:9" ht="24" x14ac:dyDescent="0.3">
      <c r="A743" s="2" t="s">
        <v>9568</v>
      </c>
      <c r="B743" s="2" t="s">
        <v>4598</v>
      </c>
      <c r="C743" s="2" t="s">
        <v>4599</v>
      </c>
      <c r="D743" s="2" t="s">
        <v>4600</v>
      </c>
      <c r="E743" s="2" t="s">
        <v>39</v>
      </c>
      <c r="F743" s="2"/>
      <c r="G743" s="2"/>
      <c r="H743" s="2"/>
      <c r="I743" s="3">
        <f t="shared" si="11"/>
        <v>132</v>
      </c>
    </row>
    <row r="744" spans="1:9" ht="24" x14ac:dyDescent="0.3">
      <c r="A744" s="2" t="s">
        <v>9568</v>
      </c>
      <c r="B744" s="2" t="s">
        <v>4621</v>
      </c>
      <c r="C744" s="2" t="s">
        <v>1814</v>
      </c>
      <c r="D744" s="2" t="s">
        <v>4622</v>
      </c>
      <c r="E744" s="2" t="s">
        <v>39</v>
      </c>
      <c r="F744" s="2"/>
      <c r="G744" s="2"/>
      <c r="H744" s="2"/>
      <c r="I744" s="3">
        <f t="shared" si="11"/>
        <v>132</v>
      </c>
    </row>
    <row r="745" spans="1:9" ht="24" x14ac:dyDescent="0.3">
      <c r="A745" s="2" t="s">
        <v>9570</v>
      </c>
      <c r="B745" s="2" t="s">
        <v>4596</v>
      </c>
      <c r="C745" s="2"/>
      <c r="D745" s="2" t="s">
        <v>4597</v>
      </c>
      <c r="E745" s="2"/>
      <c r="F745" s="2"/>
      <c r="G745" s="2"/>
      <c r="H745" s="2"/>
      <c r="I745" s="3">
        <f t="shared" si="11"/>
        <v>132</v>
      </c>
    </row>
    <row r="746" spans="1:9" ht="24" x14ac:dyDescent="0.3">
      <c r="A746" s="2" t="s">
        <v>9567</v>
      </c>
      <c r="B746" s="2" t="s">
        <v>1922</v>
      </c>
      <c r="C746" s="2" t="s">
        <v>500</v>
      </c>
      <c r="D746" s="2" t="s">
        <v>4636</v>
      </c>
      <c r="E746" s="2" t="s">
        <v>39</v>
      </c>
      <c r="F746" s="2"/>
      <c r="G746" s="2"/>
      <c r="H746" s="2" t="s">
        <v>402</v>
      </c>
      <c r="I746" s="3">
        <f t="shared" si="11"/>
        <v>133</v>
      </c>
    </row>
    <row r="747" spans="1:9" ht="24" x14ac:dyDescent="0.3">
      <c r="A747" s="2" t="s">
        <v>9568</v>
      </c>
      <c r="B747" s="2" t="s">
        <v>4623</v>
      </c>
      <c r="C747" s="2" t="s">
        <v>2582</v>
      </c>
      <c r="D747" s="2" t="s">
        <v>8714</v>
      </c>
      <c r="E747" s="2" t="s">
        <v>4624</v>
      </c>
      <c r="F747" s="2"/>
      <c r="G747" s="2"/>
      <c r="H747" s="2" t="s">
        <v>898</v>
      </c>
      <c r="I747" s="3">
        <f t="shared" si="11"/>
        <v>133</v>
      </c>
    </row>
    <row r="748" spans="1:9" ht="24" x14ac:dyDescent="0.3">
      <c r="A748" s="2" t="s">
        <v>9568</v>
      </c>
      <c r="B748" s="2" t="s">
        <v>642</v>
      </c>
      <c r="C748" s="2" t="s">
        <v>2582</v>
      </c>
      <c r="D748" s="2" t="s">
        <v>8715</v>
      </c>
      <c r="E748" s="2" t="s">
        <v>4625</v>
      </c>
      <c r="F748" s="2"/>
      <c r="G748" s="2"/>
      <c r="H748" s="2" t="s">
        <v>898</v>
      </c>
      <c r="I748" s="3">
        <f t="shared" si="11"/>
        <v>133</v>
      </c>
    </row>
    <row r="749" spans="1:9" ht="24" x14ac:dyDescent="0.3">
      <c r="A749" s="2" t="s">
        <v>9568</v>
      </c>
      <c r="B749" s="2" t="s">
        <v>4643</v>
      </c>
      <c r="C749" s="2" t="s">
        <v>4325</v>
      </c>
      <c r="D749" s="2" t="s">
        <v>4644</v>
      </c>
      <c r="E749" s="2"/>
      <c r="F749" s="2"/>
      <c r="G749" s="2" t="s">
        <v>1717</v>
      </c>
      <c r="H749" s="2"/>
      <c r="I749" s="3">
        <f t="shared" si="11"/>
        <v>133</v>
      </c>
    </row>
    <row r="750" spans="1:9" ht="24" x14ac:dyDescent="0.3">
      <c r="A750" s="2" t="s">
        <v>9568</v>
      </c>
      <c r="B750" s="2" t="s">
        <v>4645</v>
      </c>
      <c r="C750" s="2" t="s">
        <v>4646</v>
      </c>
      <c r="D750" s="2" t="s">
        <v>4647</v>
      </c>
      <c r="E750" s="2"/>
      <c r="F750" s="2"/>
      <c r="G750" s="2"/>
      <c r="H750" s="2"/>
      <c r="I750" s="3">
        <f t="shared" si="11"/>
        <v>133</v>
      </c>
    </row>
    <row r="751" spans="1:9" ht="24" x14ac:dyDescent="0.3">
      <c r="A751" s="2" t="s">
        <v>9568</v>
      </c>
      <c r="B751" s="2" t="s">
        <v>2721</v>
      </c>
      <c r="C751" s="2" t="s">
        <v>4161</v>
      </c>
      <c r="D751" s="2" t="s">
        <v>4648</v>
      </c>
      <c r="E751" s="2"/>
      <c r="F751" s="2"/>
      <c r="G751" s="2"/>
      <c r="H751" s="2"/>
      <c r="I751" s="3">
        <f t="shared" si="11"/>
        <v>133</v>
      </c>
    </row>
    <row r="752" spans="1:9" ht="24" x14ac:dyDescent="0.3">
      <c r="A752" s="2" t="s">
        <v>9569</v>
      </c>
      <c r="B752" s="2" t="s">
        <v>2719</v>
      </c>
      <c r="C752" s="2" t="s">
        <v>1647</v>
      </c>
      <c r="D752" s="2" t="s">
        <v>4626</v>
      </c>
      <c r="E752" s="2"/>
      <c r="F752" s="2"/>
      <c r="G752" s="2"/>
      <c r="H752" s="2" t="s">
        <v>1644</v>
      </c>
      <c r="I752" s="3">
        <f t="shared" si="11"/>
        <v>133</v>
      </c>
    </row>
    <row r="753" spans="1:9" ht="24" x14ac:dyDescent="0.3">
      <c r="A753" s="2" t="s">
        <v>9571</v>
      </c>
      <c r="B753" s="2" t="s">
        <v>4634</v>
      </c>
      <c r="C753" s="2"/>
      <c r="D753" s="2" t="s">
        <v>4635</v>
      </c>
      <c r="E753" s="2" t="s">
        <v>39</v>
      </c>
      <c r="F753" s="2"/>
      <c r="G753" s="2"/>
      <c r="H753" s="2"/>
      <c r="I753" s="3">
        <f t="shared" si="11"/>
        <v>133</v>
      </c>
    </row>
    <row r="754" spans="1:9" ht="24" x14ac:dyDescent="0.3">
      <c r="A754" s="2" t="s">
        <v>9568</v>
      </c>
      <c r="B754" s="2" t="s">
        <v>4673</v>
      </c>
      <c r="C754" s="2" t="s">
        <v>4674</v>
      </c>
      <c r="D754" s="2" t="s">
        <v>4675</v>
      </c>
      <c r="E754" s="2" t="s">
        <v>39</v>
      </c>
      <c r="F754" s="2"/>
      <c r="G754" s="2"/>
      <c r="H754" s="2"/>
      <c r="I754" s="3">
        <f t="shared" si="11"/>
        <v>134</v>
      </c>
    </row>
    <row r="755" spans="1:9" ht="24" x14ac:dyDescent="0.3">
      <c r="A755" s="2" t="s">
        <v>9569</v>
      </c>
      <c r="B755" s="2" t="s">
        <v>732</v>
      </c>
      <c r="C755" s="2" t="s">
        <v>729</v>
      </c>
      <c r="D755" s="2" t="s">
        <v>4670</v>
      </c>
      <c r="E755" s="2" t="s">
        <v>4671</v>
      </c>
      <c r="F755" s="2"/>
      <c r="G755" s="2"/>
      <c r="H755" s="2" t="s">
        <v>646</v>
      </c>
      <c r="I755" s="3">
        <f t="shared" si="11"/>
        <v>134</v>
      </c>
    </row>
    <row r="756" spans="1:9" ht="24" x14ac:dyDescent="0.3">
      <c r="A756" s="2" t="s">
        <v>9570</v>
      </c>
      <c r="B756" s="2" t="s">
        <v>4649</v>
      </c>
      <c r="C756" s="2" t="s">
        <v>389</v>
      </c>
      <c r="D756" s="2" t="s">
        <v>4650</v>
      </c>
      <c r="E756" s="2"/>
      <c r="F756" s="2"/>
      <c r="G756" s="2"/>
      <c r="H756" s="2" t="s">
        <v>194</v>
      </c>
      <c r="I756" s="3">
        <f t="shared" si="11"/>
        <v>134</v>
      </c>
    </row>
    <row r="757" spans="1:9" ht="24" x14ac:dyDescent="0.3">
      <c r="A757" s="2" t="s">
        <v>9568</v>
      </c>
      <c r="B757" s="2" t="s">
        <v>827</v>
      </c>
      <c r="C757" s="2" t="s">
        <v>1642</v>
      </c>
      <c r="D757" s="2" t="s">
        <v>4676</v>
      </c>
      <c r="E757" s="2"/>
      <c r="F757" s="2"/>
      <c r="G757" s="2"/>
      <c r="H757" s="2" t="s">
        <v>1644</v>
      </c>
      <c r="I757" s="3">
        <f t="shared" si="11"/>
        <v>135</v>
      </c>
    </row>
    <row r="758" spans="1:9" ht="24" x14ac:dyDescent="0.3">
      <c r="A758" s="2" t="s">
        <v>9568</v>
      </c>
      <c r="B758" s="2" t="s">
        <v>4679</v>
      </c>
      <c r="C758" s="2" t="s">
        <v>637</v>
      </c>
      <c r="D758" s="2" t="s">
        <v>4680</v>
      </c>
      <c r="E758" s="2"/>
      <c r="F758" s="2"/>
      <c r="G758" s="2"/>
      <c r="H758" s="2"/>
      <c r="I758" s="3">
        <f t="shared" si="11"/>
        <v>135</v>
      </c>
    </row>
    <row r="759" spans="1:9" ht="24" x14ac:dyDescent="0.3">
      <c r="A759" s="2" t="s">
        <v>9568</v>
      </c>
      <c r="B759" s="2" t="s">
        <v>4681</v>
      </c>
      <c r="C759" s="2" t="s">
        <v>4084</v>
      </c>
      <c r="D759" s="2" t="s">
        <v>4682</v>
      </c>
      <c r="E759" s="2"/>
      <c r="F759" s="2"/>
      <c r="G759" s="2"/>
      <c r="H759" s="2"/>
      <c r="I759" s="3">
        <f t="shared" si="11"/>
        <v>135</v>
      </c>
    </row>
    <row r="760" spans="1:9" ht="24" x14ac:dyDescent="0.3">
      <c r="A760" s="2" t="s">
        <v>9568</v>
      </c>
      <c r="B760" s="2" t="s">
        <v>4688</v>
      </c>
      <c r="C760" s="2" t="s">
        <v>4689</v>
      </c>
      <c r="D760" s="2" t="s">
        <v>4690</v>
      </c>
      <c r="E760" s="2" t="s">
        <v>39</v>
      </c>
      <c r="F760" s="2"/>
      <c r="G760" s="2"/>
      <c r="H760" s="2"/>
      <c r="I760" s="3">
        <f t="shared" si="11"/>
        <v>135</v>
      </c>
    </row>
    <row r="761" spans="1:9" ht="24" x14ac:dyDescent="0.3">
      <c r="A761" s="2" t="s">
        <v>9569</v>
      </c>
      <c r="B761" s="2" t="s">
        <v>4693</v>
      </c>
      <c r="C761" s="2" t="s">
        <v>3580</v>
      </c>
      <c r="D761" s="2" t="s">
        <v>4694</v>
      </c>
      <c r="E761" s="2"/>
      <c r="F761" s="2"/>
      <c r="G761" s="2"/>
      <c r="H761" s="2"/>
      <c r="I761" s="3">
        <f t="shared" si="11"/>
        <v>135</v>
      </c>
    </row>
    <row r="762" spans="1:9" ht="24" x14ac:dyDescent="0.3">
      <c r="A762" s="2" t="s">
        <v>9569</v>
      </c>
      <c r="B762" s="2" t="s">
        <v>4695</v>
      </c>
      <c r="C762" s="2" t="s">
        <v>4696</v>
      </c>
      <c r="D762" s="2" t="s">
        <v>4697</v>
      </c>
      <c r="E762" s="2"/>
      <c r="F762" s="2"/>
      <c r="G762" s="2"/>
      <c r="H762" s="2"/>
      <c r="I762" s="3">
        <f t="shared" si="11"/>
        <v>135</v>
      </c>
    </row>
    <row r="763" spans="1:9" ht="24" x14ac:dyDescent="0.3">
      <c r="A763" s="2" t="s">
        <v>9568</v>
      </c>
      <c r="B763" s="2" t="s">
        <v>4770</v>
      </c>
      <c r="C763" s="2" t="s">
        <v>4771</v>
      </c>
      <c r="D763" s="2" t="s">
        <v>9363</v>
      </c>
      <c r="E763" s="2"/>
      <c r="F763" s="2" t="s">
        <v>1778</v>
      </c>
      <c r="G763" s="2" t="s">
        <v>1717</v>
      </c>
      <c r="H763" s="2"/>
      <c r="I763" s="3">
        <f t="shared" si="11"/>
        <v>136</v>
      </c>
    </row>
    <row r="764" spans="1:9" ht="24" x14ac:dyDescent="0.3">
      <c r="A764" s="2" t="s">
        <v>9569</v>
      </c>
      <c r="B764" s="2" t="s">
        <v>4717</v>
      </c>
      <c r="C764" s="2"/>
      <c r="D764" s="2" t="s">
        <v>4718</v>
      </c>
      <c r="E764" s="2" t="s">
        <v>616</v>
      </c>
      <c r="F764" s="2"/>
      <c r="G764" s="2"/>
      <c r="H764" s="2" t="s">
        <v>194</v>
      </c>
      <c r="I764" s="3">
        <f t="shared" si="11"/>
        <v>136</v>
      </c>
    </row>
    <row r="765" spans="1:9" ht="24" x14ac:dyDescent="0.3">
      <c r="A765" s="2" t="s">
        <v>9567</v>
      </c>
      <c r="B765" s="2" t="s">
        <v>4742</v>
      </c>
      <c r="C765" s="2" t="s">
        <v>4743</v>
      </c>
      <c r="D765" s="2" t="s">
        <v>4744</v>
      </c>
      <c r="E765" s="2"/>
      <c r="F765" s="2"/>
      <c r="G765" s="2"/>
      <c r="H765" s="2" t="s">
        <v>646</v>
      </c>
      <c r="I765" s="3">
        <f t="shared" si="11"/>
        <v>137</v>
      </c>
    </row>
    <row r="766" spans="1:9" ht="24" x14ac:dyDescent="0.3">
      <c r="A766" s="2" t="s">
        <v>9567</v>
      </c>
      <c r="B766" s="2" t="s">
        <v>4804</v>
      </c>
      <c r="C766" s="2" t="s">
        <v>45</v>
      </c>
      <c r="D766" s="2" t="s">
        <v>9003</v>
      </c>
      <c r="E766" s="2" t="s">
        <v>39</v>
      </c>
      <c r="F766" s="2" t="s">
        <v>4117</v>
      </c>
      <c r="G766" s="2" t="s">
        <v>1717</v>
      </c>
      <c r="H766" s="2"/>
      <c r="I766" s="3">
        <f t="shared" si="11"/>
        <v>137</v>
      </c>
    </row>
    <row r="767" spans="1:9" ht="24" x14ac:dyDescent="0.3">
      <c r="A767" s="2" t="s">
        <v>9568</v>
      </c>
      <c r="B767" s="2" t="s">
        <v>4728</v>
      </c>
      <c r="C767" s="2" t="s">
        <v>4729</v>
      </c>
      <c r="D767" s="2" t="s">
        <v>4730</v>
      </c>
      <c r="E767" s="2"/>
      <c r="F767" s="2"/>
      <c r="G767" s="2" t="s">
        <v>350</v>
      </c>
      <c r="H767" s="2"/>
      <c r="I767" s="3">
        <f t="shared" si="11"/>
        <v>137</v>
      </c>
    </row>
    <row r="768" spans="1:9" ht="24" x14ac:dyDescent="0.3">
      <c r="A768" s="2" t="s">
        <v>9568</v>
      </c>
      <c r="B768" s="2" t="s">
        <v>3395</v>
      </c>
      <c r="C768" s="2" t="s">
        <v>4729</v>
      </c>
      <c r="D768" s="2" t="s">
        <v>4731</v>
      </c>
      <c r="E768" s="2"/>
      <c r="F768" s="2"/>
      <c r="G768" s="2" t="s">
        <v>1717</v>
      </c>
      <c r="H768" s="2"/>
      <c r="I768" s="3">
        <f t="shared" si="11"/>
        <v>137</v>
      </c>
    </row>
    <row r="769" spans="1:9" ht="24" x14ac:dyDescent="0.3">
      <c r="A769" s="2" t="s">
        <v>9568</v>
      </c>
      <c r="B769" s="2" t="s">
        <v>1321</v>
      </c>
      <c r="C769" s="2" t="s">
        <v>1371</v>
      </c>
      <c r="D769" s="2" t="s">
        <v>4739</v>
      </c>
      <c r="E769" s="2"/>
      <c r="F769" s="2"/>
      <c r="G769" s="2"/>
      <c r="H769" s="2"/>
      <c r="I769" s="3">
        <f t="shared" si="11"/>
        <v>137</v>
      </c>
    </row>
    <row r="770" spans="1:9" ht="24" x14ac:dyDescent="0.3">
      <c r="A770" s="2" t="s">
        <v>9571</v>
      </c>
      <c r="B770" s="2" t="s">
        <v>4732</v>
      </c>
      <c r="C770" s="2" t="s">
        <v>4733</v>
      </c>
      <c r="D770" s="2" t="s">
        <v>4734</v>
      </c>
      <c r="E770" s="2"/>
      <c r="F770" s="2"/>
      <c r="G770" s="2"/>
      <c r="H770" s="2" t="s">
        <v>1644</v>
      </c>
      <c r="I770" s="3">
        <f t="shared" ref="I770:I833" si="12">LEN(D770)</f>
        <v>137</v>
      </c>
    </row>
    <row r="771" spans="1:9" ht="24" x14ac:dyDescent="0.3">
      <c r="A771" s="2" t="s">
        <v>9568</v>
      </c>
      <c r="B771" s="2" t="s">
        <v>4759</v>
      </c>
      <c r="C771" s="2" t="s">
        <v>1249</v>
      </c>
      <c r="D771" s="2" t="s">
        <v>4760</v>
      </c>
      <c r="E771" s="2"/>
      <c r="F771" s="2"/>
      <c r="G771" s="2" t="s">
        <v>1717</v>
      </c>
      <c r="H771" s="2"/>
      <c r="I771" s="3">
        <f t="shared" si="12"/>
        <v>138</v>
      </c>
    </row>
    <row r="772" spans="1:9" ht="24" x14ac:dyDescent="0.3">
      <c r="A772" s="2" t="s">
        <v>9567</v>
      </c>
      <c r="B772" s="2" t="s">
        <v>4801</v>
      </c>
      <c r="C772" s="2" t="s">
        <v>4802</v>
      </c>
      <c r="D772" s="2" t="s">
        <v>4803</v>
      </c>
      <c r="E772" s="2"/>
      <c r="F772" s="2"/>
      <c r="G772" s="2"/>
      <c r="H772" s="2"/>
      <c r="I772" s="3">
        <f t="shared" si="12"/>
        <v>139</v>
      </c>
    </row>
    <row r="773" spans="1:9" ht="24" x14ac:dyDescent="0.3">
      <c r="A773" s="2" t="s">
        <v>9567</v>
      </c>
      <c r="B773" s="2" t="s">
        <v>4815</v>
      </c>
      <c r="C773" s="2" t="s">
        <v>354</v>
      </c>
      <c r="D773" s="2" t="s">
        <v>4816</v>
      </c>
      <c r="E773" s="2" t="s">
        <v>39</v>
      </c>
      <c r="F773" s="2"/>
      <c r="G773" s="2"/>
      <c r="H773" s="2"/>
      <c r="I773" s="3">
        <f t="shared" si="12"/>
        <v>139</v>
      </c>
    </row>
    <row r="774" spans="1:9" ht="24" x14ac:dyDescent="0.3">
      <c r="A774" s="2" t="s">
        <v>9568</v>
      </c>
      <c r="B774" s="2" t="s">
        <v>4805</v>
      </c>
      <c r="C774" s="2" t="s">
        <v>4806</v>
      </c>
      <c r="D774" s="2" t="s">
        <v>4807</v>
      </c>
      <c r="E774" s="2"/>
      <c r="F774" s="2"/>
      <c r="G774" s="2"/>
      <c r="H774" s="2" t="s">
        <v>194</v>
      </c>
      <c r="I774" s="3">
        <f t="shared" si="12"/>
        <v>139</v>
      </c>
    </row>
    <row r="775" spans="1:9" ht="24" x14ac:dyDescent="0.3">
      <c r="A775" s="2" t="s">
        <v>9570</v>
      </c>
      <c r="B775" s="2" t="s">
        <v>4826</v>
      </c>
      <c r="C775" s="2"/>
      <c r="D775" s="2" t="s">
        <v>4827</v>
      </c>
      <c r="E775" s="2"/>
      <c r="F775" s="2"/>
      <c r="G775" s="2"/>
      <c r="H775" s="2"/>
      <c r="I775" s="3">
        <f t="shared" si="12"/>
        <v>139</v>
      </c>
    </row>
    <row r="776" spans="1:9" ht="24" x14ac:dyDescent="0.3">
      <c r="A776" s="2" t="s">
        <v>9571</v>
      </c>
      <c r="B776" s="2" t="s">
        <v>4808</v>
      </c>
      <c r="C776" s="2" t="s">
        <v>4007</v>
      </c>
      <c r="D776" s="2" t="s">
        <v>4809</v>
      </c>
      <c r="E776" s="2" t="s">
        <v>2121</v>
      </c>
      <c r="F776" s="2"/>
      <c r="G776" s="2"/>
      <c r="H776" s="2"/>
      <c r="I776" s="3">
        <f t="shared" si="12"/>
        <v>139</v>
      </c>
    </row>
    <row r="777" spans="1:9" ht="24" x14ac:dyDescent="0.3">
      <c r="A777" s="2" t="s">
        <v>9567</v>
      </c>
      <c r="B777" s="2" t="s">
        <v>4847</v>
      </c>
      <c r="C777" s="2" t="s">
        <v>2840</v>
      </c>
      <c r="D777" s="2" t="s">
        <v>4848</v>
      </c>
      <c r="E777" s="2"/>
      <c r="F777" s="2"/>
      <c r="G777" s="2"/>
      <c r="H777" s="2" t="s">
        <v>194</v>
      </c>
      <c r="I777" s="3">
        <f t="shared" si="12"/>
        <v>140</v>
      </c>
    </row>
    <row r="778" spans="1:9" ht="24" x14ac:dyDescent="0.3">
      <c r="A778" s="2" t="s">
        <v>9567</v>
      </c>
      <c r="B778" s="2" t="s">
        <v>4919</v>
      </c>
      <c r="C778" s="2" t="s">
        <v>50</v>
      </c>
      <c r="D778" s="2" t="s">
        <v>9004</v>
      </c>
      <c r="E778" s="2" t="s">
        <v>39</v>
      </c>
      <c r="F778" s="2" t="s">
        <v>1778</v>
      </c>
      <c r="G778" s="2" t="s">
        <v>1717</v>
      </c>
      <c r="H778" s="2"/>
      <c r="I778" s="3">
        <f t="shared" si="12"/>
        <v>140</v>
      </c>
    </row>
    <row r="779" spans="1:9" ht="24" x14ac:dyDescent="0.3">
      <c r="A779" s="2" t="s">
        <v>9568</v>
      </c>
      <c r="B779" s="2" t="s">
        <v>4271</v>
      </c>
      <c r="C779" s="2" t="s">
        <v>2054</v>
      </c>
      <c r="D779" s="2" t="s">
        <v>9327</v>
      </c>
      <c r="E779" s="2"/>
      <c r="F779" s="2" t="s">
        <v>1778</v>
      </c>
      <c r="G779" s="2" t="s">
        <v>1717</v>
      </c>
      <c r="H779" s="2"/>
      <c r="I779" s="3">
        <f t="shared" si="12"/>
        <v>140</v>
      </c>
    </row>
    <row r="780" spans="1:9" ht="24" x14ac:dyDescent="0.3">
      <c r="A780" s="2" t="s">
        <v>9568</v>
      </c>
      <c r="B780" s="2" t="s">
        <v>4862</v>
      </c>
      <c r="C780" s="2" t="s">
        <v>1178</v>
      </c>
      <c r="D780" s="2" t="s">
        <v>4863</v>
      </c>
      <c r="E780" s="2" t="s">
        <v>39</v>
      </c>
      <c r="F780" s="2"/>
      <c r="G780" s="2"/>
      <c r="H780" s="2"/>
      <c r="I780" s="3">
        <f t="shared" si="12"/>
        <v>140</v>
      </c>
    </row>
    <row r="781" spans="1:9" ht="24" x14ac:dyDescent="0.3">
      <c r="A781" s="2" t="s">
        <v>9567</v>
      </c>
      <c r="B781" s="2" t="s">
        <v>509</v>
      </c>
      <c r="C781" s="2" t="s">
        <v>500</v>
      </c>
      <c r="D781" s="2" t="s">
        <v>4896</v>
      </c>
      <c r="E781" s="2" t="s">
        <v>39</v>
      </c>
      <c r="F781" s="2"/>
      <c r="G781" s="2"/>
      <c r="H781" s="2" t="s">
        <v>402</v>
      </c>
      <c r="I781" s="3">
        <f t="shared" si="12"/>
        <v>141</v>
      </c>
    </row>
    <row r="782" spans="1:9" ht="24" x14ac:dyDescent="0.3">
      <c r="A782" s="2" t="s">
        <v>9567</v>
      </c>
      <c r="B782" s="2" t="s">
        <v>4909</v>
      </c>
      <c r="C782" s="2" t="s">
        <v>263</v>
      </c>
      <c r="D782" s="2" t="s">
        <v>4910</v>
      </c>
      <c r="E782" s="2" t="s">
        <v>39</v>
      </c>
      <c r="F782" s="2"/>
      <c r="G782" s="2"/>
      <c r="H782" s="2"/>
      <c r="I782" s="3">
        <f t="shared" si="12"/>
        <v>141</v>
      </c>
    </row>
    <row r="783" spans="1:9" ht="24" x14ac:dyDescent="0.3">
      <c r="A783" s="2" t="s">
        <v>9568</v>
      </c>
      <c r="B783" s="2" t="s">
        <v>4864</v>
      </c>
      <c r="C783" s="2" t="s">
        <v>4865</v>
      </c>
      <c r="D783" s="2" t="s">
        <v>4866</v>
      </c>
      <c r="E783" s="2" t="s">
        <v>39</v>
      </c>
      <c r="F783" s="2"/>
      <c r="G783" s="2"/>
      <c r="H783" s="2"/>
      <c r="I783" s="3">
        <f t="shared" si="12"/>
        <v>141</v>
      </c>
    </row>
    <row r="784" spans="1:9" ht="24" x14ac:dyDescent="0.3">
      <c r="A784" s="2" t="s">
        <v>9568</v>
      </c>
      <c r="B784" s="2" t="s">
        <v>4943</v>
      </c>
      <c r="C784" s="2" t="s">
        <v>1371</v>
      </c>
      <c r="D784" s="2" t="s">
        <v>9329</v>
      </c>
      <c r="E784" s="2"/>
      <c r="F784" s="2" t="s">
        <v>350</v>
      </c>
      <c r="G784" s="2" t="s">
        <v>1717</v>
      </c>
      <c r="H784" s="2"/>
      <c r="I784" s="3">
        <f t="shared" si="12"/>
        <v>141</v>
      </c>
    </row>
    <row r="785" spans="1:9" ht="24" x14ac:dyDescent="0.3">
      <c r="A785" s="2" t="s">
        <v>9568</v>
      </c>
      <c r="B785" s="2" t="s">
        <v>4945</v>
      </c>
      <c r="C785" s="2" t="s">
        <v>4084</v>
      </c>
      <c r="D785" s="2" t="s">
        <v>9334</v>
      </c>
      <c r="E785" s="2"/>
      <c r="F785" s="2" t="s">
        <v>1778</v>
      </c>
      <c r="G785" s="2" t="s">
        <v>1717</v>
      </c>
      <c r="H785" s="2"/>
      <c r="I785" s="3">
        <f t="shared" si="12"/>
        <v>141</v>
      </c>
    </row>
    <row r="786" spans="1:9" ht="24" x14ac:dyDescent="0.3">
      <c r="A786" s="2" t="s">
        <v>9568</v>
      </c>
      <c r="B786" s="2" t="s">
        <v>4870</v>
      </c>
      <c r="C786" s="2" t="s">
        <v>1249</v>
      </c>
      <c r="D786" s="2" t="s">
        <v>4871</v>
      </c>
      <c r="E786" s="2"/>
      <c r="F786" s="2"/>
      <c r="G786" s="2" t="s">
        <v>1717</v>
      </c>
      <c r="H786" s="2"/>
      <c r="I786" s="3">
        <f t="shared" si="12"/>
        <v>141</v>
      </c>
    </row>
    <row r="787" spans="1:9" ht="24" x14ac:dyDescent="0.3">
      <c r="A787" s="2" t="s">
        <v>9568</v>
      </c>
      <c r="B787" s="2" t="s">
        <v>4912</v>
      </c>
      <c r="C787" s="2" t="s">
        <v>1178</v>
      </c>
      <c r="D787" s="2" t="s">
        <v>4913</v>
      </c>
      <c r="E787" s="2" t="s">
        <v>39</v>
      </c>
      <c r="F787" s="2"/>
      <c r="G787" s="2"/>
      <c r="H787" s="2"/>
      <c r="I787" s="3">
        <f t="shared" si="12"/>
        <v>141</v>
      </c>
    </row>
    <row r="788" spans="1:9" ht="24" x14ac:dyDescent="0.3">
      <c r="A788" s="2" t="s">
        <v>9571</v>
      </c>
      <c r="B788" s="2" t="s">
        <v>4872</v>
      </c>
      <c r="C788" s="2" t="s">
        <v>500</v>
      </c>
      <c r="D788" s="2" t="s">
        <v>4873</v>
      </c>
      <c r="E788" s="2" t="s">
        <v>1776</v>
      </c>
      <c r="F788" s="2"/>
      <c r="G788" s="2"/>
      <c r="H788" s="2"/>
      <c r="I788" s="3">
        <f t="shared" si="12"/>
        <v>141</v>
      </c>
    </row>
    <row r="789" spans="1:9" ht="24" x14ac:dyDescent="0.3">
      <c r="A789" s="2" t="s">
        <v>9571</v>
      </c>
      <c r="B789" s="2" t="s">
        <v>4891</v>
      </c>
      <c r="C789" s="2" t="s">
        <v>4892</v>
      </c>
      <c r="D789" s="2" t="s">
        <v>4893</v>
      </c>
      <c r="E789" s="2"/>
      <c r="F789" s="2"/>
      <c r="G789" s="2" t="s">
        <v>1717</v>
      </c>
      <c r="H789" s="2"/>
      <c r="I789" s="3">
        <f t="shared" si="12"/>
        <v>141</v>
      </c>
    </row>
    <row r="790" spans="1:9" ht="24" x14ac:dyDescent="0.3">
      <c r="A790" s="2" t="s">
        <v>9567</v>
      </c>
      <c r="B790" s="2" t="s">
        <v>4978</v>
      </c>
      <c r="C790" s="2" t="s">
        <v>263</v>
      </c>
      <c r="D790" s="2" t="s">
        <v>9005</v>
      </c>
      <c r="E790" s="2"/>
      <c r="F790" s="2" t="s">
        <v>1778</v>
      </c>
      <c r="G790" s="2" t="s">
        <v>1717</v>
      </c>
      <c r="H790" s="2"/>
      <c r="I790" s="3">
        <f t="shared" si="12"/>
        <v>142</v>
      </c>
    </row>
    <row r="791" spans="1:9" ht="24" x14ac:dyDescent="0.3">
      <c r="A791" s="2" t="s">
        <v>9568</v>
      </c>
      <c r="B791" s="2" t="s">
        <v>4914</v>
      </c>
      <c r="C791" s="2" t="s">
        <v>875</v>
      </c>
      <c r="D791" s="2" t="s">
        <v>4915</v>
      </c>
      <c r="E791" s="2"/>
      <c r="F791" s="2"/>
      <c r="G791" s="2" t="s">
        <v>1717</v>
      </c>
      <c r="H791" s="2"/>
      <c r="I791" s="3">
        <f t="shared" si="12"/>
        <v>142</v>
      </c>
    </row>
    <row r="792" spans="1:9" ht="24" x14ac:dyDescent="0.3">
      <c r="A792" s="2" t="s">
        <v>9568</v>
      </c>
      <c r="B792" s="2" t="s">
        <v>4916</v>
      </c>
      <c r="C792" s="2" t="s">
        <v>4917</v>
      </c>
      <c r="D792" s="2" t="s">
        <v>4918</v>
      </c>
      <c r="E792" s="2" t="s">
        <v>39</v>
      </c>
      <c r="F792" s="2"/>
      <c r="G792" s="2"/>
      <c r="H792" s="2"/>
      <c r="I792" s="3">
        <f t="shared" si="12"/>
        <v>142</v>
      </c>
    </row>
    <row r="793" spans="1:9" ht="24" x14ac:dyDescent="0.3">
      <c r="A793" s="2" t="s">
        <v>9568</v>
      </c>
      <c r="B793" s="2" t="s">
        <v>4935</v>
      </c>
      <c r="C793" s="2" t="s">
        <v>1754</v>
      </c>
      <c r="D793" s="2" t="s">
        <v>4936</v>
      </c>
      <c r="E793" s="2"/>
      <c r="F793" s="2"/>
      <c r="G793" s="2"/>
      <c r="H793" s="2"/>
      <c r="I793" s="3">
        <f t="shared" si="12"/>
        <v>142</v>
      </c>
    </row>
    <row r="794" spans="1:9" ht="24" x14ac:dyDescent="0.3">
      <c r="A794" s="2" t="s">
        <v>9568</v>
      </c>
      <c r="B794" s="2" t="s">
        <v>2867</v>
      </c>
      <c r="C794" s="2" t="s">
        <v>5000</v>
      </c>
      <c r="D794" s="2" t="s">
        <v>9402</v>
      </c>
      <c r="E794" s="2" t="s">
        <v>3980</v>
      </c>
      <c r="F794" s="2" t="s">
        <v>1778</v>
      </c>
      <c r="G794" s="2" t="s">
        <v>1717</v>
      </c>
      <c r="H794" s="2" t="s">
        <v>898</v>
      </c>
      <c r="I794" s="3">
        <f t="shared" si="12"/>
        <v>142</v>
      </c>
    </row>
    <row r="795" spans="1:9" ht="24" x14ac:dyDescent="0.3">
      <c r="A795" s="2" t="s">
        <v>9571</v>
      </c>
      <c r="B795" s="2" t="s">
        <v>4987</v>
      </c>
      <c r="C795" s="2" t="s">
        <v>130</v>
      </c>
      <c r="D795" s="2" t="s">
        <v>9310</v>
      </c>
      <c r="E795" s="2"/>
      <c r="F795" s="2" t="s">
        <v>1778</v>
      </c>
      <c r="G795" s="2" t="s">
        <v>1717</v>
      </c>
      <c r="H795" s="2"/>
      <c r="I795" s="3">
        <f t="shared" si="12"/>
        <v>142</v>
      </c>
    </row>
    <row r="796" spans="1:9" ht="24" x14ac:dyDescent="0.3">
      <c r="A796" s="2" t="s">
        <v>9567</v>
      </c>
      <c r="B796" s="2" t="s">
        <v>4946</v>
      </c>
      <c r="C796" s="2" t="s">
        <v>1504</v>
      </c>
      <c r="D796" s="2" t="s">
        <v>4947</v>
      </c>
      <c r="E796" s="2"/>
      <c r="F796" s="2"/>
      <c r="G796" s="2"/>
      <c r="H796" s="2" t="s">
        <v>194</v>
      </c>
      <c r="I796" s="3">
        <f t="shared" si="12"/>
        <v>143</v>
      </c>
    </row>
    <row r="797" spans="1:9" ht="24" x14ac:dyDescent="0.3">
      <c r="A797" s="2" t="s">
        <v>9568</v>
      </c>
      <c r="B797" s="2" t="s">
        <v>4964</v>
      </c>
      <c r="C797" s="2" t="s">
        <v>4965</v>
      </c>
      <c r="D797" s="2" t="s">
        <v>4966</v>
      </c>
      <c r="E797" s="2" t="s">
        <v>242</v>
      </c>
      <c r="F797" s="2"/>
      <c r="G797" s="2"/>
      <c r="H797" s="2" t="s">
        <v>898</v>
      </c>
      <c r="I797" s="3">
        <f t="shared" si="12"/>
        <v>143</v>
      </c>
    </row>
    <row r="798" spans="1:9" ht="24" x14ac:dyDescent="0.3">
      <c r="A798" s="2" t="s">
        <v>9570</v>
      </c>
      <c r="B798" s="2" t="s">
        <v>3344</v>
      </c>
      <c r="C798" s="2" t="s">
        <v>491</v>
      </c>
      <c r="D798" s="2" t="s">
        <v>4944</v>
      </c>
      <c r="E798" s="2" t="s">
        <v>39</v>
      </c>
      <c r="F798" s="2"/>
      <c r="G798" s="2"/>
      <c r="H798" s="2"/>
      <c r="I798" s="3">
        <f t="shared" si="12"/>
        <v>143</v>
      </c>
    </row>
    <row r="799" spans="1:9" ht="24" x14ac:dyDescent="0.3">
      <c r="A799" s="2" t="s">
        <v>9571</v>
      </c>
      <c r="B799" s="2" t="s">
        <v>2042</v>
      </c>
      <c r="C799" s="2" t="s">
        <v>4968</v>
      </c>
      <c r="D799" s="2" t="s">
        <v>4969</v>
      </c>
      <c r="E799" s="2"/>
      <c r="F799" s="2"/>
      <c r="G799" s="2" t="s">
        <v>350</v>
      </c>
      <c r="H799" s="2"/>
      <c r="I799" s="3">
        <f t="shared" si="12"/>
        <v>143</v>
      </c>
    </row>
    <row r="800" spans="1:9" ht="24" x14ac:dyDescent="0.3">
      <c r="A800" s="2" t="s">
        <v>9568</v>
      </c>
      <c r="B800" s="2" t="s">
        <v>2304</v>
      </c>
      <c r="C800" s="2" t="s">
        <v>5038</v>
      </c>
      <c r="D800" s="2" t="s">
        <v>9339</v>
      </c>
      <c r="E800" s="2" t="s">
        <v>242</v>
      </c>
      <c r="F800" s="2" t="s">
        <v>1778</v>
      </c>
      <c r="G800" s="2" t="s">
        <v>1717</v>
      </c>
      <c r="H800" s="2"/>
      <c r="I800" s="3">
        <f t="shared" si="12"/>
        <v>144</v>
      </c>
    </row>
    <row r="801" spans="1:9" ht="24" x14ac:dyDescent="0.3">
      <c r="A801" s="2" t="s">
        <v>9568</v>
      </c>
      <c r="B801" s="2" t="s">
        <v>5001</v>
      </c>
      <c r="C801" s="2" t="s">
        <v>5002</v>
      </c>
      <c r="D801" s="2" t="s">
        <v>5003</v>
      </c>
      <c r="E801" s="2" t="s">
        <v>39</v>
      </c>
      <c r="F801" s="2"/>
      <c r="G801" s="2"/>
      <c r="H801" s="2"/>
      <c r="I801" s="3">
        <f t="shared" si="12"/>
        <v>144</v>
      </c>
    </row>
    <row r="802" spans="1:9" ht="36" x14ac:dyDescent="0.3">
      <c r="A802" s="2" t="s">
        <v>9569</v>
      </c>
      <c r="B802" s="2" t="s">
        <v>4991</v>
      </c>
      <c r="C802" s="2" t="s">
        <v>4992</v>
      </c>
      <c r="D802" s="2" t="s">
        <v>4993</v>
      </c>
      <c r="E802" s="2" t="s">
        <v>1510</v>
      </c>
      <c r="F802" s="2"/>
      <c r="G802" s="2"/>
      <c r="H802" s="2" t="s">
        <v>3494</v>
      </c>
      <c r="I802" s="3">
        <f t="shared" si="12"/>
        <v>144</v>
      </c>
    </row>
    <row r="803" spans="1:9" ht="24" x14ac:dyDescent="0.3">
      <c r="A803" s="2" t="s">
        <v>9567</v>
      </c>
      <c r="B803" s="2" t="s">
        <v>5004</v>
      </c>
      <c r="C803" s="2" t="s">
        <v>408</v>
      </c>
      <c r="D803" s="2" t="s">
        <v>5005</v>
      </c>
      <c r="E803" s="2"/>
      <c r="F803" s="2"/>
      <c r="G803" s="2"/>
      <c r="H803" s="2"/>
      <c r="I803" s="3">
        <f t="shared" si="12"/>
        <v>145</v>
      </c>
    </row>
    <row r="804" spans="1:9" ht="24" x14ac:dyDescent="0.3">
      <c r="A804" s="2" t="s">
        <v>9567</v>
      </c>
      <c r="B804" s="2" t="s">
        <v>5020</v>
      </c>
      <c r="C804" s="2" t="s">
        <v>491</v>
      </c>
      <c r="D804" s="2" t="s">
        <v>5021</v>
      </c>
      <c r="E804" s="2" t="s">
        <v>39</v>
      </c>
      <c r="F804" s="2"/>
      <c r="G804" s="2"/>
      <c r="H804" s="2"/>
      <c r="I804" s="3">
        <f t="shared" si="12"/>
        <v>145</v>
      </c>
    </row>
    <row r="805" spans="1:9" ht="24" x14ac:dyDescent="0.3">
      <c r="A805" s="2" t="s">
        <v>9568</v>
      </c>
      <c r="B805" s="2" t="s">
        <v>5018</v>
      </c>
      <c r="C805" s="2" t="s">
        <v>1178</v>
      </c>
      <c r="D805" s="2" t="s">
        <v>5019</v>
      </c>
      <c r="E805" s="2" t="s">
        <v>39</v>
      </c>
      <c r="F805" s="2"/>
      <c r="G805" s="2"/>
      <c r="H805" s="2"/>
      <c r="I805" s="3">
        <f t="shared" si="12"/>
        <v>145</v>
      </c>
    </row>
    <row r="806" spans="1:9" ht="24" x14ac:dyDescent="0.3">
      <c r="A806" s="2" t="s">
        <v>9568</v>
      </c>
      <c r="B806" s="2" t="s">
        <v>642</v>
      </c>
      <c r="C806" s="2" t="s">
        <v>4161</v>
      </c>
      <c r="D806" s="2" t="s">
        <v>5022</v>
      </c>
      <c r="E806" s="2"/>
      <c r="F806" s="2"/>
      <c r="G806" s="2"/>
      <c r="H806" s="2"/>
      <c r="I806" s="3">
        <f t="shared" si="12"/>
        <v>145</v>
      </c>
    </row>
    <row r="807" spans="1:9" ht="24" x14ac:dyDescent="0.3">
      <c r="A807" s="2" t="s">
        <v>9568</v>
      </c>
      <c r="B807" s="2" t="s">
        <v>5086</v>
      </c>
      <c r="C807" s="2" t="s">
        <v>5087</v>
      </c>
      <c r="D807" s="2" t="s">
        <v>9380</v>
      </c>
      <c r="E807" s="2"/>
      <c r="F807" s="2" t="s">
        <v>1778</v>
      </c>
      <c r="G807" s="2" t="s">
        <v>1717</v>
      </c>
      <c r="H807" s="2" t="s">
        <v>646</v>
      </c>
      <c r="I807" s="3">
        <f t="shared" si="12"/>
        <v>145</v>
      </c>
    </row>
    <row r="808" spans="1:9" ht="24" x14ac:dyDescent="0.3">
      <c r="A808" s="2" t="s">
        <v>9570</v>
      </c>
      <c r="B808" s="2" t="s">
        <v>5014</v>
      </c>
      <c r="C808" s="2" t="s">
        <v>5015</v>
      </c>
      <c r="D808" s="2" t="s">
        <v>5016</v>
      </c>
      <c r="E808" s="2" t="s">
        <v>5017</v>
      </c>
      <c r="F808" s="2"/>
      <c r="G808" s="2"/>
      <c r="H808" s="2" t="s">
        <v>194</v>
      </c>
      <c r="I808" s="3">
        <f t="shared" si="12"/>
        <v>145</v>
      </c>
    </row>
    <row r="809" spans="1:9" ht="24" x14ac:dyDescent="0.3">
      <c r="A809" s="2" t="s">
        <v>9567</v>
      </c>
      <c r="B809" s="2" t="s">
        <v>4297</v>
      </c>
      <c r="C809" s="2" t="s">
        <v>144</v>
      </c>
      <c r="D809" s="2" t="s">
        <v>5044</v>
      </c>
      <c r="E809" s="2" t="s">
        <v>39</v>
      </c>
      <c r="F809" s="2"/>
      <c r="G809" s="2"/>
      <c r="H809" s="2" t="s">
        <v>194</v>
      </c>
      <c r="I809" s="3">
        <f t="shared" si="12"/>
        <v>146</v>
      </c>
    </row>
    <row r="810" spans="1:9" ht="24" x14ac:dyDescent="0.3">
      <c r="A810" s="2" t="s">
        <v>9567</v>
      </c>
      <c r="B810" s="2" t="s">
        <v>5063</v>
      </c>
      <c r="C810" s="3" t="s">
        <v>198</v>
      </c>
      <c r="D810" s="2" t="s">
        <v>5064</v>
      </c>
      <c r="E810" s="2"/>
      <c r="F810" s="2"/>
      <c r="G810" s="2"/>
      <c r="H810" s="2"/>
      <c r="I810" s="3">
        <f t="shared" si="12"/>
        <v>146</v>
      </c>
    </row>
    <row r="811" spans="1:9" ht="24" x14ac:dyDescent="0.3">
      <c r="A811" s="2" t="s">
        <v>9568</v>
      </c>
      <c r="B811" s="2" t="s">
        <v>5105</v>
      </c>
      <c r="C811" s="2" t="s">
        <v>5106</v>
      </c>
      <c r="D811" s="2" t="s">
        <v>9365</v>
      </c>
      <c r="E811" s="2"/>
      <c r="F811" s="2" t="s">
        <v>4117</v>
      </c>
      <c r="G811" s="2" t="s">
        <v>1717</v>
      </c>
      <c r="H811" s="2"/>
      <c r="I811" s="3">
        <f t="shared" si="12"/>
        <v>146</v>
      </c>
    </row>
    <row r="812" spans="1:9" ht="24" x14ac:dyDescent="0.3">
      <c r="A812" s="2" t="s">
        <v>9568</v>
      </c>
      <c r="B812" s="2" t="s">
        <v>5067</v>
      </c>
      <c r="C812" s="2" t="s">
        <v>1244</v>
      </c>
      <c r="D812" s="2" t="s">
        <v>5068</v>
      </c>
      <c r="E812" s="2" t="s">
        <v>39</v>
      </c>
      <c r="F812" s="2"/>
      <c r="G812" s="2"/>
      <c r="H812" s="2"/>
      <c r="I812" s="3">
        <f t="shared" si="12"/>
        <v>146</v>
      </c>
    </row>
    <row r="813" spans="1:9" ht="24" x14ac:dyDescent="0.3">
      <c r="A813" s="2" t="s">
        <v>9568</v>
      </c>
      <c r="B813" s="2" t="s">
        <v>5070</v>
      </c>
      <c r="C813" s="2" t="s">
        <v>2814</v>
      </c>
      <c r="D813" s="2" t="s">
        <v>5071</v>
      </c>
      <c r="E813" s="2" t="s">
        <v>211</v>
      </c>
      <c r="F813" s="2"/>
      <c r="G813" s="2"/>
      <c r="H813" s="2"/>
      <c r="I813" s="3">
        <f t="shared" si="12"/>
        <v>146</v>
      </c>
    </row>
    <row r="814" spans="1:9" ht="24" x14ac:dyDescent="0.3">
      <c r="A814" s="2" t="s">
        <v>9570</v>
      </c>
      <c r="B814" s="2" t="s">
        <v>5036</v>
      </c>
      <c r="C814" s="2"/>
      <c r="D814" s="2" t="s">
        <v>5037</v>
      </c>
      <c r="E814" s="2"/>
      <c r="F814" s="2"/>
      <c r="G814" s="2"/>
      <c r="H814" s="2"/>
      <c r="I814" s="3">
        <f t="shared" si="12"/>
        <v>146</v>
      </c>
    </row>
    <row r="815" spans="1:9" ht="24" x14ac:dyDescent="0.3">
      <c r="A815" s="2" t="s">
        <v>9571</v>
      </c>
      <c r="B815" s="2" t="s">
        <v>5045</v>
      </c>
      <c r="C815" s="2" t="s">
        <v>1647</v>
      </c>
      <c r="D815" s="2" t="s">
        <v>5046</v>
      </c>
      <c r="E815" s="2"/>
      <c r="F815" s="2"/>
      <c r="G815" s="2"/>
      <c r="H815" s="2" t="s">
        <v>1644</v>
      </c>
      <c r="I815" s="3">
        <f t="shared" si="12"/>
        <v>146</v>
      </c>
    </row>
    <row r="816" spans="1:9" ht="24" x14ac:dyDescent="0.3">
      <c r="A816" s="2" t="s">
        <v>9571</v>
      </c>
      <c r="B816" s="2" t="s">
        <v>5065</v>
      </c>
      <c r="C816" s="2" t="s">
        <v>116</v>
      </c>
      <c r="D816" s="2" t="s">
        <v>5066</v>
      </c>
      <c r="E816" s="2"/>
      <c r="F816" s="2"/>
      <c r="G816" s="2"/>
      <c r="H816" s="2"/>
      <c r="I816" s="3">
        <f t="shared" si="12"/>
        <v>146</v>
      </c>
    </row>
    <row r="817" spans="1:9" ht="24" x14ac:dyDescent="0.3">
      <c r="A817" s="2" t="s">
        <v>9568</v>
      </c>
      <c r="B817" s="2" t="s">
        <v>5018</v>
      </c>
      <c r="C817" s="2" t="s">
        <v>1178</v>
      </c>
      <c r="D817" s="2" t="s">
        <v>5088</v>
      </c>
      <c r="E817" s="2"/>
      <c r="F817" s="2"/>
      <c r="G817" s="2"/>
      <c r="H817" s="2"/>
      <c r="I817" s="3">
        <f t="shared" si="12"/>
        <v>147</v>
      </c>
    </row>
    <row r="818" spans="1:9" ht="24" x14ac:dyDescent="0.3">
      <c r="A818" s="2" t="s">
        <v>9568</v>
      </c>
      <c r="B818" s="2" t="s">
        <v>4591</v>
      </c>
      <c r="C818" s="2" t="s">
        <v>985</v>
      </c>
      <c r="D818" s="2" t="s">
        <v>5089</v>
      </c>
      <c r="E818" s="2"/>
      <c r="F818" s="2"/>
      <c r="G818" s="2"/>
      <c r="H818" s="2"/>
      <c r="I818" s="3">
        <f t="shared" si="12"/>
        <v>147</v>
      </c>
    </row>
    <row r="819" spans="1:9" ht="24" x14ac:dyDescent="0.3">
      <c r="A819" s="2" t="s">
        <v>9569</v>
      </c>
      <c r="B819" s="2" t="s">
        <v>5080</v>
      </c>
      <c r="C819" s="2"/>
      <c r="D819" s="2" t="s">
        <v>5081</v>
      </c>
      <c r="E819" s="2"/>
      <c r="F819" s="2"/>
      <c r="G819" s="2"/>
      <c r="H819" s="2" t="s">
        <v>194</v>
      </c>
      <c r="I819" s="3">
        <f t="shared" si="12"/>
        <v>147</v>
      </c>
    </row>
    <row r="820" spans="1:9" ht="24" x14ac:dyDescent="0.3">
      <c r="A820" s="2" t="s">
        <v>9569</v>
      </c>
      <c r="B820" s="2" t="s">
        <v>5152</v>
      </c>
      <c r="C820" s="2" t="s">
        <v>2063</v>
      </c>
      <c r="D820" s="2" t="s">
        <v>9406</v>
      </c>
      <c r="E820" s="2" t="s">
        <v>1510</v>
      </c>
      <c r="F820" s="2" t="s">
        <v>1778</v>
      </c>
      <c r="G820" s="2" t="s">
        <v>1717</v>
      </c>
      <c r="H820" s="2"/>
      <c r="I820" s="3">
        <f t="shared" si="12"/>
        <v>147</v>
      </c>
    </row>
    <row r="821" spans="1:9" ht="24" x14ac:dyDescent="0.3">
      <c r="A821" s="2" t="s">
        <v>9567</v>
      </c>
      <c r="B821" s="2" t="s">
        <v>5110</v>
      </c>
      <c r="C821" s="2"/>
      <c r="D821" s="2" t="s">
        <v>5111</v>
      </c>
      <c r="E821" s="2"/>
      <c r="F821" s="2"/>
      <c r="G821" s="2"/>
      <c r="H821" s="2"/>
      <c r="I821" s="3">
        <f t="shared" si="12"/>
        <v>148</v>
      </c>
    </row>
    <row r="822" spans="1:9" ht="24" x14ac:dyDescent="0.3">
      <c r="A822" s="2" t="s">
        <v>9568</v>
      </c>
      <c r="B822" s="2" t="s">
        <v>5091</v>
      </c>
      <c r="C822" s="2" t="s">
        <v>1371</v>
      </c>
      <c r="D822" s="2" t="s">
        <v>5092</v>
      </c>
      <c r="E822" s="2"/>
      <c r="F822" s="2"/>
      <c r="G822" s="2" t="s">
        <v>1717</v>
      </c>
      <c r="H822" s="2"/>
      <c r="I822" s="3">
        <f t="shared" si="12"/>
        <v>148</v>
      </c>
    </row>
    <row r="823" spans="1:9" ht="24" x14ac:dyDescent="0.3">
      <c r="A823" s="2" t="s">
        <v>9568</v>
      </c>
      <c r="B823" s="2" t="s">
        <v>1634</v>
      </c>
      <c r="C823" s="2" t="s">
        <v>2582</v>
      </c>
      <c r="D823" s="2" t="s">
        <v>9331</v>
      </c>
      <c r="E823" s="2" t="s">
        <v>2524</v>
      </c>
      <c r="F823" s="2" t="s">
        <v>1778</v>
      </c>
      <c r="G823" s="2" t="s">
        <v>1717</v>
      </c>
      <c r="H823" s="2" t="s">
        <v>898</v>
      </c>
      <c r="I823" s="3">
        <f t="shared" si="12"/>
        <v>148</v>
      </c>
    </row>
    <row r="824" spans="1:9" ht="24" x14ac:dyDescent="0.3">
      <c r="A824" s="2" t="s">
        <v>9568</v>
      </c>
      <c r="B824" s="2" t="s">
        <v>4943</v>
      </c>
      <c r="C824" s="2" t="s">
        <v>5103</v>
      </c>
      <c r="D824" s="2" t="s">
        <v>5104</v>
      </c>
      <c r="E824" s="2"/>
      <c r="F824" s="2"/>
      <c r="G824" s="2"/>
      <c r="H824" s="2"/>
      <c r="I824" s="3">
        <f t="shared" si="12"/>
        <v>148</v>
      </c>
    </row>
    <row r="825" spans="1:9" ht="24" x14ac:dyDescent="0.3">
      <c r="A825" s="2" t="s">
        <v>9568</v>
      </c>
      <c r="B825" s="2" t="s">
        <v>3509</v>
      </c>
      <c r="C825" s="2" t="s">
        <v>3510</v>
      </c>
      <c r="D825" s="2" t="s">
        <v>5126</v>
      </c>
      <c r="E825" s="2" t="s">
        <v>39</v>
      </c>
      <c r="F825" s="2"/>
      <c r="G825" s="2"/>
      <c r="H825" s="2"/>
      <c r="I825" s="3">
        <f t="shared" si="12"/>
        <v>148</v>
      </c>
    </row>
    <row r="826" spans="1:9" ht="24" x14ac:dyDescent="0.3">
      <c r="A826" s="2" t="s">
        <v>9568</v>
      </c>
      <c r="B826" s="2" t="s">
        <v>2584</v>
      </c>
      <c r="C826" s="2" t="s">
        <v>1329</v>
      </c>
      <c r="D826" s="2" t="s">
        <v>5127</v>
      </c>
      <c r="E826" s="2" t="s">
        <v>39</v>
      </c>
      <c r="F826" s="2"/>
      <c r="G826" s="2"/>
      <c r="H826" s="2" t="s">
        <v>646</v>
      </c>
      <c r="I826" s="3">
        <f t="shared" si="12"/>
        <v>148</v>
      </c>
    </row>
    <row r="827" spans="1:9" ht="24" x14ac:dyDescent="0.3">
      <c r="A827" s="2" t="s">
        <v>9568</v>
      </c>
      <c r="B827" s="2" t="s">
        <v>5128</v>
      </c>
      <c r="C827" s="2" t="s">
        <v>5129</v>
      </c>
      <c r="D827" s="2" t="s">
        <v>8722</v>
      </c>
      <c r="E827" s="2" t="s">
        <v>1692</v>
      </c>
      <c r="F827" s="2"/>
      <c r="G827" s="2"/>
      <c r="H827" s="2"/>
      <c r="I827" s="3">
        <f t="shared" si="12"/>
        <v>148</v>
      </c>
    </row>
    <row r="828" spans="1:9" ht="24" x14ac:dyDescent="0.3">
      <c r="A828" s="2" t="s">
        <v>9567</v>
      </c>
      <c r="B828" s="2" t="s">
        <v>5133</v>
      </c>
      <c r="C828" s="2" t="s">
        <v>263</v>
      </c>
      <c r="D828" s="2" t="s">
        <v>5134</v>
      </c>
      <c r="E828" s="2"/>
      <c r="F828" s="2"/>
      <c r="G828" s="2" t="s">
        <v>1717</v>
      </c>
      <c r="H828" s="2"/>
      <c r="I828" s="3">
        <f t="shared" si="12"/>
        <v>149</v>
      </c>
    </row>
    <row r="829" spans="1:9" ht="24" x14ac:dyDescent="0.3">
      <c r="A829" s="2" t="s">
        <v>9567</v>
      </c>
      <c r="B829" s="2" t="s">
        <v>3077</v>
      </c>
      <c r="C829" s="2"/>
      <c r="D829" s="2" t="s">
        <v>5140</v>
      </c>
      <c r="E829" s="2" t="s">
        <v>39</v>
      </c>
      <c r="F829" s="2"/>
      <c r="G829" s="2"/>
      <c r="H829" s="2" t="s">
        <v>646</v>
      </c>
      <c r="I829" s="3">
        <f t="shared" si="12"/>
        <v>149</v>
      </c>
    </row>
    <row r="830" spans="1:9" ht="24" x14ac:dyDescent="0.3">
      <c r="A830" s="2" t="s">
        <v>9567</v>
      </c>
      <c r="B830" s="2" t="s">
        <v>3256</v>
      </c>
      <c r="C830" s="2" t="s">
        <v>500</v>
      </c>
      <c r="D830" s="2" t="s">
        <v>5159</v>
      </c>
      <c r="E830" s="2" t="s">
        <v>39</v>
      </c>
      <c r="F830" s="2"/>
      <c r="G830" s="2"/>
      <c r="H830" s="2" t="s">
        <v>402</v>
      </c>
      <c r="I830" s="3">
        <f t="shared" si="12"/>
        <v>149</v>
      </c>
    </row>
    <row r="831" spans="1:9" ht="24" x14ac:dyDescent="0.3">
      <c r="A831" s="2" t="s">
        <v>9568</v>
      </c>
      <c r="B831" s="2" t="s">
        <v>5154</v>
      </c>
      <c r="C831" s="2" t="s">
        <v>5155</v>
      </c>
      <c r="D831" s="2" t="s">
        <v>5156</v>
      </c>
      <c r="E831" s="2" t="s">
        <v>2693</v>
      </c>
      <c r="F831" s="2"/>
      <c r="G831" s="2"/>
      <c r="H831" s="2" t="s">
        <v>898</v>
      </c>
      <c r="I831" s="3">
        <f t="shared" si="12"/>
        <v>149</v>
      </c>
    </row>
    <row r="832" spans="1:9" ht="24" x14ac:dyDescent="0.3">
      <c r="A832" s="2" t="s">
        <v>9568</v>
      </c>
      <c r="B832" s="2" t="s">
        <v>1804</v>
      </c>
      <c r="C832" s="2" t="s">
        <v>1805</v>
      </c>
      <c r="D832" s="2" t="s">
        <v>5157</v>
      </c>
      <c r="E832" s="2" t="s">
        <v>39</v>
      </c>
      <c r="F832" s="2"/>
      <c r="G832" s="2"/>
      <c r="H832" s="2"/>
      <c r="I832" s="3">
        <f t="shared" si="12"/>
        <v>149</v>
      </c>
    </row>
    <row r="833" spans="1:9" ht="24" x14ac:dyDescent="0.3">
      <c r="A833" s="2" t="s">
        <v>9568</v>
      </c>
      <c r="B833" s="2" t="s">
        <v>1804</v>
      </c>
      <c r="C833" s="2" t="s">
        <v>1805</v>
      </c>
      <c r="D833" s="2" t="s">
        <v>5158</v>
      </c>
      <c r="E833" s="2" t="s">
        <v>39</v>
      </c>
      <c r="F833" s="2"/>
      <c r="G833" s="2"/>
      <c r="H833" s="2"/>
      <c r="I833" s="3">
        <f t="shared" si="12"/>
        <v>149</v>
      </c>
    </row>
    <row r="834" spans="1:9" ht="24" x14ac:dyDescent="0.3">
      <c r="A834" s="2" t="s">
        <v>9570</v>
      </c>
      <c r="B834" s="2" t="s">
        <v>5131</v>
      </c>
      <c r="C834" s="2"/>
      <c r="D834" s="2" t="s">
        <v>5132</v>
      </c>
      <c r="E834" s="2"/>
      <c r="F834" s="2"/>
      <c r="G834" s="2"/>
      <c r="H834" s="2"/>
      <c r="I834" s="3">
        <f t="shared" ref="I834:I897" si="13">LEN(D834)</f>
        <v>149</v>
      </c>
    </row>
    <row r="835" spans="1:9" ht="24" x14ac:dyDescent="0.3">
      <c r="A835" s="2" t="s">
        <v>9570</v>
      </c>
      <c r="B835" s="2" t="s">
        <v>5137</v>
      </c>
      <c r="C835" s="2"/>
      <c r="D835" s="2" t="s">
        <v>5138</v>
      </c>
      <c r="E835" s="2" t="s">
        <v>39</v>
      </c>
      <c r="F835" s="2"/>
      <c r="G835" s="2"/>
      <c r="H835" s="2"/>
      <c r="I835" s="3">
        <f t="shared" si="13"/>
        <v>149</v>
      </c>
    </row>
    <row r="836" spans="1:9" ht="24" x14ac:dyDescent="0.3">
      <c r="A836" s="2" t="s">
        <v>9568</v>
      </c>
      <c r="B836" s="2" t="s">
        <v>1634</v>
      </c>
      <c r="C836" s="2" t="s">
        <v>1371</v>
      </c>
      <c r="D836" s="2" t="s">
        <v>5162</v>
      </c>
      <c r="E836" s="2"/>
      <c r="F836" s="2"/>
      <c r="G836" s="2" t="s">
        <v>1717</v>
      </c>
      <c r="H836" s="2"/>
      <c r="I836" s="3">
        <f t="shared" si="13"/>
        <v>150</v>
      </c>
    </row>
    <row r="837" spans="1:9" ht="24" x14ac:dyDescent="0.3">
      <c r="A837" s="2" t="s">
        <v>9568</v>
      </c>
      <c r="B837" s="2" t="s">
        <v>1321</v>
      </c>
      <c r="C837" s="2" t="s">
        <v>2582</v>
      </c>
      <c r="D837" s="2" t="s">
        <v>5163</v>
      </c>
      <c r="E837" s="2" t="s">
        <v>5164</v>
      </c>
      <c r="F837" s="2"/>
      <c r="G837" s="2"/>
      <c r="H837" s="2" t="s">
        <v>898</v>
      </c>
      <c r="I837" s="3">
        <f t="shared" si="13"/>
        <v>150</v>
      </c>
    </row>
    <row r="838" spans="1:9" ht="24" x14ac:dyDescent="0.3">
      <c r="A838" s="2" t="s">
        <v>9568</v>
      </c>
      <c r="B838" s="2" t="s">
        <v>5232</v>
      </c>
      <c r="C838" s="2" t="s">
        <v>259</v>
      </c>
      <c r="D838" s="2" t="s">
        <v>9343</v>
      </c>
      <c r="E838" s="2" t="s">
        <v>39</v>
      </c>
      <c r="F838" s="2" t="s">
        <v>1778</v>
      </c>
      <c r="G838" s="2" t="s">
        <v>1717</v>
      </c>
      <c r="H838" s="2"/>
      <c r="I838" s="3">
        <f t="shared" si="13"/>
        <v>150</v>
      </c>
    </row>
    <row r="839" spans="1:9" ht="24" x14ac:dyDescent="0.3">
      <c r="A839" s="2" t="s">
        <v>9568</v>
      </c>
      <c r="B839" s="2" t="s">
        <v>5172</v>
      </c>
      <c r="C839" s="2" t="s">
        <v>860</v>
      </c>
      <c r="D839" s="2" t="s">
        <v>5173</v>
      </c>
      <c r="E839" s="2" t="s">
        <v>39</v>
      </c>
      <c r="F839" s="2"/>
      <c r="G839" s="2"/>
      <c r="H839" s="2" t="s">
        <v>646</v>
      </c>
      <c r="I839" s="3">
        <f t="shared" si="13"/>
        <v>150</v>
      </c>
    </row>
    <row r="840" spans="1:9" ht="24" x14ac:dyDescent="0.3">
      <c r="A840" s="2" t="s">
        <v>9568</v>
      </c>
      <c r="B840" s="2" t="s">
        <v>3244</v>
      </c>
      <c r="C840" s="2" t="s">
        <v>5000</v>
      </c>
      <c r="D840" s="2" t="s">
        <v>5199</v>
      </c>
      <c r="E840" s="2" t="s">
        <v>5200</v>
      </c>
      <c r="F840" s="2"/>
      <c r="G840" s="2"/>
      <c r="H840" s="2" t="s">
        <v>898</v>
      </c>
      <c r="I840" s="3">
        <f t="shared" si="13"/>
        <v>150</v>
      </c>
    </row>
    <row r="841" spans="1:9" ht="24" x14ac:dyDescent="0.3">
      <c r="A841" s="2" t="s">
        <v>9568</v>
      </c>
      <c r="B841" s="2" t="s">
        <v>5018</v>
      </c>
      <c r="C841" s="2" t="s">
        <v>1178</v>
      </c>
      <c r="D841" s="2" t="s">
        <v>5210</v>
      </c>
      <c r="E841" s="2" t="s">
        <v>39</v>
      </c>
      <c r="F841" s="2"/>
      <c r="G841" s="2"/>
      <c r="H841" s="2"/>
      <c r="I841" s="3">
        <f t="shared" si="13"/>
        <v>151</v>
      </c>
    </row>
    <row r="842" spans="1:9" ht="24" x14ac:dyDescent="0.3">
      <c r="A842" s="2" t="s">
        <v>9568</v>
      </c>
      <c r="B842" s="2" t="s">
        <v>3244</v>
      </c>
      <c r="C842" s="2" t="s">
        <v>1642</v>
      </c>
      <c r="D842" s="2" t="s">
        <v>5224</v>
      </c>
      <c r="E842" s="2"/>
      <c r="F842" s="2"/>
      <c r="G842" s="2"/>
      <c r="H842" s="2" t="s">
        <v>1644</v>
      </c>
      <c r="I842" s="3">
        <f t="shared" si="13"/>
        <v>152</v>
      </c>
    </row>
    <row r="843" spans="1:9" ht="24" x14ac:dyDescent="0.3">
      <c r="A843" s="2" t="s">
        <v>9568</v>
      </c>
      <c r="B843" s="2" t="s">
        <v>1982</v>
      </c>
      <c r="C843" s="2" t="s">
        <v>1642</v>
      </c>
      <c r="D843" s="2" t="s">
        <v>5225</v>
      </c>
      <c r="E843" s="2"/>
      <c r="F843" s="2"/>
      <c r="G843" s="2"/>
      <c r="H843" s="2" t="s">
        <v>1644</v>
      </c>
      <c r="I843" s="3">
        <f t="shared" si="13"/>
        <v>152</v>
      </c>
    </row>
    <row r="844" spans="1:9" ht="24" x14ac:dyDescent="0.3">
      <c r="A844" s="2" t="s">
        <v>9571</v>
      </c>
      <c r="B844" s="2" t="s">
        <v>5233</v>
      </c>
      <c r="C844" s="2" t="s">
        <v>1772</v>
      </c>
      <c r="D844" s="2" t="s">
        <v>5234</v>
      </c>
      <c r="E844" s="2" t="s">
        <v>39</v>
      </c>
      <c r="F844" s="2"/>
      <c r="G844" s="2"/>
      <c r="H844" s="2"/>
      <c r="I844" s="3">
        <f t="shared" si="13"/>
        <v>152</v>
      </c>
    </row>
    <row r="845" spans="1:9" ht="36" x14ac:dyDescent="0.3">
      <c r="A845" s="2" t="s">
        <v>9567</v>
      </c>
      <c r="B845" s="2" t="s">
        <v>5257</v>
      </c>
      <c r="C845" s="2" t="s">
        <v>263</v>
      </c>
      <c r="D845" s="2" t="s">
        <v>5258</v>
      </c>
      <c r="E845" s="2" t="s">
        <v>39</v>
      </c>
      <c r="F845" s="2"/>
      <c r="G845" s="2"/>
      <c r="H845" s="2"/>
      <c r="I845" s="3">
        <f t="shared" si="13"/>
        <v>153</v>
      </c>
    </row>
    <row r="846" spans="1:9" ht="24" x14ac:dyDescent="0.3">
      <c r="A846" s="2" t="s">
        <v>9568</v>
      </c>
      <c r="B846" s="2" t="s">
        <v>5259</v>
      </c>
      <c r="C846" s="2" t="s">
        <v>1983</v>
      </c>
      <c r="D846" s="2" t="s">
        <v>5260</v>
      </c>
      <c r="E846" s="2" t="s">
        <v>3643</v>
      </c>
      <c r="F846" s="2"/>
      <c r="G846" s="2"/>
      <c r="H846" s="2"/>
      <c r="I846" s="3">
        <f t="shared" si="13"/>
        <v>153</v>
      </c>
    </row>
    <row r="847" spans="1:9" ht="24" x14ac:dyDescent="0.3">
      <c r="A847" s="2" t="s">
        <v>9567</v>
      </c>
      <c r="B847" s="2" t="s">
        <v>5267</v>
      </c>
      <c r="C847" s="2" t="s">
        <v>354</v>
      </c>
      <c r="D847" s="2" t="s">
        <v>5268</v>
      </c>
      <c r="E847" s="2" t="s">
        <v>39</v>
      </c>
      <c r="F847" s="2"/>
      <c r="G847" s="2"/>
      <c r="H847" s="2"/>
      <c r="I847" s="3">
        <f t="shared" si="13"/>
        <v>154</v>
      </c>
    </row>
    <row r="848" spans="1:9" ht="24" x14ac:dyDescent="0.3">
      <c r="A848" s="2" t="s">
        <v>9568</v>
      </c>
      <c r="B848" s="2" t="s">
        <v>4914</v>
      </c>
      <c r="C848" s="2" t="s">
        <v>875</v>
      </c>
      <c r="D848" s="2" t="s">
        <v>5269</v>
      </c>
      <c r="E848" s="2"/>
      <c r="F848" s="2"/>
      <c r="G848" s="2" t="s">
        <v>1717</v>
      </c>
      <c r="H848" s="2"/>
      <c r="I848" s="3">
        <f t="shared" si="13"/>
        <v>154</v>
      </c>
    </row>
    <row r="849" spans="1:9" ht="24" x14ac:dyDescent="0.3">
      <c r="A849" s="2" t="s">
        <v>9568</v>
      </c>
      <c r="B849" s="2" t="s">
        <v>5270</v>
      </c>
      <c r="C849" s="2" t="s">
        <v>4365</v>
      </c>
      <c r="D849" s="2" t="s">
        <v>5271</v>
      </c>
      <c r="E849" s="2" t="s">
        <v>39</v>
      </c>
      <c r="F849" s="2"/>
      <c r="G849" s="2"/>
      <c r="H849" s="2"/>
      <c r="I849" s="3">
        <f t="shared" si="13"/>
        <v>154</v>
      </c>
    </row>
    <row r="850" spans="1:9" ht="24" x14ac:dyDescent="0.3">
      <c r="A850" s="2" t="s">
        <v>9568</v>
      </c>
      <c r="B850" s="2" t="s">
        <v>5290</v>
      </c>
      <c r="C850" s="2" t="s">
        <v>1639</v>
      </c>
      <c r="D850" s="2" t="s">
        <v>5291</v>
      </c>
      <c r="E850" s="2"/>
      <c r="F850" s="2"/>
      <c r="G850" s="2"/>
      <c r="H850" s="2" t="s">
        <v>1176</v>
      </c>
      <c r="I850" s="3">
        <f t="shared" si="13"/>
        <v>154</v>
      </c>
    </row>
    <row r="851" spans="1:9" ht="24" x14ac:dyDescent="0.3">
      <c r="A851" s="2" t="s">
        <v>9568</v>
      </c>
      <c r="B851" s="2" t="s">
        <v>5292</v>
      </c>
      <c r="C851" s="2" t="s">
        <v>5293</v>
      </c>
      <c r="D851" s="2" t="s">
        <v>5294</v>
      </c>
      <c r="E851" s="2" t="s">
        <v>39</v>
      </c>
      <c r="F851" s="2"/>
      <c r="G851" s="2"/>
      <c r="H851" s="2"/>
      <c r="I851" s="3">
        <f t="shared" si="13"/>
        <v>154</v>
      </c>
    </row>
    <row r="852" spans="1:9" ht="24" x14ac:dyDescent="0.3">
      <c r="A852" s="2" t="s">
        <v>9568</v>
      </c>
      <c r="B852" s="2" t="s">
        <v>5347</v>
      </c>
      <c r="C852" s="2" t="s">
        <v>5348</v>
      </c>
      <c r="D852" s="2" t="s">
        <v>9388</v>
      </c>
      <c r="E852" s="2" t="s">
        <v>39</v>
      </c>
      <c r="F852" s="2" t="s">
        <v>1778</v>
      </c>
      <c r="G852" s="2" t="s">
        <v>1717</v>
      </c>
      <c r="H852" s="2" t="s">
        <v>646</v>
      </c>
      <c r="I852" s="3">
        <f t="shared" si="13"/>
        <v>154</v>
      </c>
    </row>
    <row r="853" spans="1:9" ht="24" x14ac:dyDescent="0.3">
      <c r="A853" s="2" t="s">
        <v>9571</v>
      </c>
      <c r="B853" s="2" t="s">
        <v>5274</v>
      </c>
      <c r="C853" s="2" t="s">
        <v>5275</v>
      </c>
      <c r="D853" s="2" t="s">
        <v>8712</v>
      </c>
      <c r="E853" s="2" t="s">
        <v>556</v>
      </c>
      <c r="F853" s="2"/>
      <c r="G853" s="2"/>
      <c r="H853" s="2" t="s">
        <v>402</v>
      </c>
      <c r="I853" s="3">
        <f t="shared" si="13"/>
        <v>154</v>
      </c>
    </row>
    <row r="854" spans="1:9" ht="24" x14ac:dyDescent="0.3">
      <c r="A854" s="2" t="s">
        <v>9567</v>
      </c>
      <c r="B854" s="2" t="s">
        <v>1704</v>
      </c>
      <c r="C854" s="2"/>
      <c r="D854" s="2" t="s">
        <v>5316</v>
      </c>
      <c r="E854" s="2" t="s">
        <v>39</v>
      </c>
      <c r="F854" s="2"/>
      <c r="G854" s="2"/>
      <c r="H854" s="2"/>
      <c r="I854" s="3">
        <f t="shared" si="13"/>
        <v>155</v>
      </c>
    </row>
    <row r="855" spans="1:9" ht="24" x14ac:dyDescent="0.3">
      <c r="A855" s="2" t="s">
        <v>9567</v>
      </c>
      <c r="B855" s="2" t="s">
        <v>5330</v>
      </c>
      <c r="C855" s="2" t="s">
        <v>500</v>
      </c>
      <c r="D855" s="2" t="s">
        <v>5331</v>
      </c>
      <c r="E855" s="2"/>
      <c r="F855" s="2"/>
      <c r="G855" s="2"/>
      <c r="H855" s="2" t="s">
        <v>402</v>
      </c>
      <c r="I855" s="3">
        <f t="shared" si="13"/>
        <v>156</v>
      </c>
    </row>
    <row r="856" spans="1:9" ht="24" x14ac:dyDescent="0.3">
      <c r="A856" s="2" t="s">
        <v>9568</v>
      </c>
      <c r="B856" s="2" t="s">
        <v>5322</v>
      </c>
      <c r="C856" s="2" t="s">
        <v>1642</v>
      </c>
      <c r="D856" s="2" t="s">
        <v>5323</v>
      </c>
      <c r="E856" s="2"/>
      <c r="F856" s="2"/>
      <c r="G856" s="2"/>
      <c r="H856" s="2" t="s">
        <v>1644</v>
      </c>
      <c r="I856" s="3">
        <f t="shared" si="13"/>
        <v>156</v>
      </c>
    </row>
    <row r="857" spans="1:9" ht="24" x14ac:dyDescent="0.3">
      <c r="A857" s="2" t="s">
        <v>9568</v>
      </c>
      <c r="B857" s="2" t="s">
        <v>2171</v>
      </c>
      <c r="C857" s="2" t="s">
        <v>491</v>
      </c>
      <c r="D857" s="2" t="s">
        <v>5332</v>
      </c>
      <c r="E857" s="2" t="s">
        <v>39</v>
      </c>
      <c r="F857" s="2"/>
      <c r="G857" s="2"/>
      <c r="H857" s="2"/>
      <c r="I857" s="3">
        <f t="shared" si="13"/>
        <v>156</v>
      </c>
    </row>
    <row r="858" spans="1:9" ht="24" x14ac:dyDescent="0.3">
      <c r="A858" s="2" t="s">
        <v>9569</v>
      </c>
      <c r="B858" s="2" t="s">
        <v>5333</v>
      </c>
      <c r="C858" s="2" t="s">
        <v>240</v>
      </c>
      <c r="D858" s="2" t="s">
        <v>5334</v>
      </c>
      <c r="E858" s="2" t="s">
        <v>5335</v>
      </c>
      <c r="F858" s="2"/>
      <c r="G858" s="2"/>
      <c r="H858" s="2"/>
      <c r="I858" s="3">
        <f t="shared" si="13"/>
        <v>156</v>
      </c>
    </row>
    <row r="859" spans="1:9" ht="24" x14ac:dyDescent="0.3">
      <c r="A859" s="2" t="s">
        <v>9568</v>
      </c>
      <c r="B859" s="2" t="s">
        <v>5350</v>
      </c>
      <c r="C859" s="2" t="s">
        <v>5351</v>
      </c>
      <c r="D859" s="2" t="s">
        <v>5352</v>
      </c>
      <c r="E859" s="2" t="s">
        <v>39</v>
      </c>
      <c r="F859" s="2"/>
      <c r="G859" s="2"/>
      <c r="H859" s="2"/>
      <c r="I859" s="3">
        <f t="shared" si="13"/>
        <v>157</v>
      </c>
    </row>
    <row r="860" spans="1:9" ht="24" x14ac:dyDescent="0.3">
      <c r="A860" s="2" t="s">
        <v>9568</v>
      </c>
      <c r="B860" s="2" t="s">
        <v>5372</v>
      </c>
      <c r="C860" s="2" t="s">
        <v>1329</v>
      </c>
      <c r="D860" s="2" t="s">
        <v>5373</v>
      </c>
      <c r="E860" s="2" t="s">
        <v>39</v>
      </c>
      <c r="F860" s="2"/>
      <c r="G860" s="2"/>
      <c r="H860" s="2"/>
      <c r="I860" s="3">
        <f t="shared" si="13"/>
        <v>157</v>
      </c>
    </row>
    <row r="861" spans="1:9" ht="24" x14ac:dyDescent="0.3">
      <c r="A861" s="2" t="s">
        <v>9568</v>
      </c>
      <c r="B861" s="2" t="s">
        <v>5375</v>
      </c>
      <c r="C861" s="2" t="s">
        <v>2868</v>
      </c>
      <c r="D861" s="2" t="s">
        <v>5376</v>
      </c>
      <c r="E861" s="2"/>
      <c r="F861" s="2"/>
      <c r="G861" s="2"/>
      <c r="H861" s="2"/>
      <c r="I861" s="3">
        <f t="shared" si="13"/>
        <v>157</v>
      </c>
    </row>
    <row r="862" spans="1:9" ht="24" x14ac:dyDescent="0.3">
      <c r="A862" s="2" t="s">
        <v>9571</v>
      </c>
      <c r="B862" s="2" t="s">
        <v>5361</v>
      </c>
      <c r="C862" s="2" t="s">
        <v>1772</v>
      </c>
      <c r="D862" s="2" t="s">
        <v>5362</v>
      </c>
      <c r="E862" s="2" t="s">
        <v>39</v>
      </c>
      <c r="F862" s="2"/>
      <c r="G862" s="2"/>
      <c r="H862" s="2"/>
      <c r="I862" s="3">
        <f t="shared" si="13"/>
        <v>157</v>
      </c>
    </row>
    <row r="863" spans="1:9" ht="24" x14ac:dyDescent="0.3">
      <c r="A863" s="2" t="s">
        <v>9571</v>
      </c>
      <c r="B863" s="2" t="s">
        <v>1321</v>
      </c>
      <c r="C863" s="2" t="s">
        <v>5363</v>
      </c>
      <c r="D863" s="2" t="s">
        <v>5364</v>
      </c>
      <c r="E863" s="2" t="s">
        <v>3643</v>
      </c>
      <c r="F863" s="2"/>
      <c r="G863" s="2"/>
      <c r="H863" s="2" t="s">
        <v>194</v>
      </c>
      <c r="I863" s="3">
        <f t="shared" si="13"/>
        <v>157</v>
      </c>
    </row>
    <row r="864" spans="1:9" ht="24" x14ac:dyDescent="0.3">
      <c r="A864" s="2" t="s">
        <v>9567</v>
      </c>
      <c r="B864" s="2" t="s">
        <v>5424</v>
      </c>
      <c r="C864" s="2" t="s">
        <v>64</v>
      </c>
      <c r="D864" s="2" t="s">
        <v>9006</v>
      </c>
      <c r="E864" s="2" t="s">
        <v>39</v>
      </c>
      <c r="F864" s="2" t="s">
        <v>1778</v>
      </c>
      <c r="G864" s="2" t="s">
        <v>1717</v>
      </c>
      <c r="H864" s="2"/>
      <c r="I864" s="3">
        <f t="shared" si="13"/>
        <v>158</v>
      </c>
    </row>
    <row r="865" spans="1:9" ht="24" x14ac:dyDescent="0.3">
      <c r="A865" s="2" t="s">
        <v>9568</v>
      </c>
      <c r="B865" s="2" t="s">
        <v>4536</v>
      </c>
      <c r="C865" s="2" t="s">
        <v>1371</v>
      </c>
      <c r="D865" s="2" t="s">
        <v>9328</v>
      </c>
      <c r="E865" s="2"/>
      <c r="F865" s="2" t="s">
        <v>350</v>
      </c>
      <c r="G865" s="2" t="s">
        <v>1717</v>
      </c>
      <c r="H865" s="2"/>
      <c r="I865" s="3">
        <f t="shared" si="13"/>
        <v>158</v>
      </c>
    </row>
    <row r="866" spans="1:9" ht="24" x14ac:dyDescent="0.3">
      <c r="A866" s="2" t="s">
        <v>9568</v>
      </c>
      <c r="B866" s="2" t="s">
        <v>5377</v>
      </c>
      <c r="C866" s="2" t="s">
        <v>994</v>
      </c>
      <c r="D866" s="2" t="s">
        <v>5378</v>
      </c>
      <c r="E866" s="2"/>
      <c r="F866" s="2"/>
      <c r="G866" s="2" t="s">
        <v>1717</v>
      </c>
      <c r="H866" s="2" t="s">
        <v>216</v>
      </c>
      <c r="I866" s="3">
        <f t="shared" si="13"/>
        <v>158</v>
      </c>
    </row>
    <row r="867" spans="1:9" ht="24" x14ac:dyDescent="0.3">
      <c r="A867" s="2" t="s">
        <v>9568</v>
      </c>
      <c r="B867" s="2" t="s">
        <v>5444</v>
      </c>
      <c r="C867" s="2" t="s">
        <v>2707</v>
      </c>
      <c r="D867" s="2" t="s">
        <v>9391</v>
      </c>
      <c r="E867" s="2" t="s">
        <v>1140</v>
      </c>
      <c r="F867" s="2" t="s">
        <v>1778</v>
      </c>
      <c r="G867" s="2" t="s">
        <v>1717</v>
      </c>
      <c r="H867" s="2" t="s">
        <v>898</v>
      </c>
      <c r="I867" s="3">
        <f t="shared" si="13"/>
        <v>159</v>
      </c>
    </row>
    <row r="868" spans="1:9" ht="24" x14ac:dyDescent="0.3">
      <c r="A868" s="2" t="s">
        <v>9569</v>
      </c>
      <c r="B868" s="2" t="s">
        <v>5396</v>
      </c>
      <c r="C868" s="2" t="s">
        <v>5397</v>
      </c>
      <c r="D868" s="2" t="s">
        <v>5398</v>
      </c>
      <c r="E868" s="2" t="s">
        <v>1510</v>
      </c>
      <c r="F868" s="2"/>
      <c r="G868" s="2"/>
      <c r="H868" s="2"/>
      <c r="I868" s="3">
        <f t="shared" si="13"/>
        <v>159</v>
      </c>
    </row>
    <row r="869" spans="1:9" ht="24" x14ac:dyDescent="0.3">
      <c r="A869" s="2" t="s">
        <v>9569</v>
      </c>
      <c r="B869" s="2" t="s">
        <v>5399</v>
      </c>
      <c r="C869" s="2" t="s">
        <v>2057</v>
      </c>
      <c r="D869" s="2" t="s">
        <v>5400</v>
      </c>
      <c r="E869" s="2"/>
      <c r="F869" s="2"/>
      <c r="G869" s="2"/>
      <c r="H869" s="2"/>
      <c r="I869" s="3">
        <f t="shared" si="13"/>
        <v>159</v>
      </c>
    </row>
    <row r="870" spans="1:9" ht="24" x14ac:dyDescent="0.3">
      <c r="A870" s="2" t="s">
        <v>9568</v>
      </c>
      <c r="B870" s="2" t="s">
        <v>1634</v>
      </c>
      <c r="C870" s="2" t="s">
        <v>2582</v>
      </c>
      <c r="D870" s="2" t="s">
        <v>9330</v>
      </c>
      <c r="E870" s="2" t="s">
        <v>2136</v>
      </c>
      <c r="F870" s="2" t="s">
        <v>1778</v>
      </c>
      <c r="G870" s="2" t="s">
        <v>1717</v>
      </c>
      <c r="H870" s="2" t="s">
        <v>898</v>
      </c>
      <c r="I870" s="3">
        <f t="shared" si="13"/>
        <v>160</v>
      </c>
    </row>
    <row r="871" spans="1:9" ht="24" x14ac:dyDescent="0.3">
      <c r="A871" s="2" t="s">
        <v>9568</v>
      </c>
      <c r="B871" s="2" t="s">
        <v>5427</v>
      </c>
      <c r="C871" s="2" t="s">
        <v>5155</v>
      </c>
      <c r="D871" s="2" t="s">
        <v>5428</v>
      </c>
      <c r="E871" s="2" t="s">
        <v>211</v>
      </c>
      <c r="F871" s="2"/>
      <c r="G871" s="2"/>
      <c r="H871" s="2" t="s">
        <v>898</v>
      </c>
      <c r="I871" s="3">
        <f t="shared" si="13"/>
        <v>160</v>
      </c>
    </row>
    <row r="872" spans="1:9" ht="24" x14ac:dyDescent="0.3">
      <c r="A872" s="2" t="s">
        <v>9568</v>
      </c>
      <c r="B872" s="2" t="s">
        <v>5462</v>
      </c>
      <c r="C872" s="2" t="s">
        <v>5463</v>
      </c>
      <c r="D872" s="2" t="s">
        <v>9351</v>
      </c>
      <c r="E872" s="2" t="s">
        <v>211</v>
      </c>
      <c r="F872" s="2" t="s">
        <v>1778</v>
      </c>
      <c r="G872" s="2" t="s">
        <v>1717</v>
      </c>
      <c r="H872" s="2"/>
      <c r="I872" s="3">
        <f t="shared" si="13"/>
        <v>161</v>
      </c>
    </row>
    <row r="873" spans="1:9" ht="24" x14ac:dyDescent="0.3">
      <c r="A873" s="2" t="s">
        <v>9567</v>
      </c>
      <c r="B873" s="2" t="s">
        <v>5446</v>
      </c>
      <c r="C873" s="2" t="s">
        <v>1341</v>
      </c>
      <c r="D873" s="2" t="s">
        <v>5447</v>
      </c>
      <c r="E873" s="2"/>
      <c r="F873" s="2"/>
      <c r="G873" s="2"/>
      <c r="H873" s="2"/>
      <c r="I873" s="3">
        <f t="shared" si="13"/>
        <v>162</v>
      </c>
    </row>
    <row r="874" spans="1:9" ht="24" x14ac:dyDescent="0.3">
      <c r="A874" s="2" t="s">
        <v>9568</v>
      </c>
      <c r="B874" s="2" t="s">
        <v>1634</v>
      </c>
      <c r="C874" s="2" t="s">
        <v>1371</v>
      </c>
      <c r="D874" s="2" t="s">
        <v>5445</v>
      </c>
      <c r="E874" s="2"/>
      <c r="F874" s="2"/>
      <c r="G874" s="2" t="s">
        <v>1717</v>
      </c>
      <c r="H874" s="2"/>
      <c r="I874" s="3">
        <f t="shared" si="13"/>
        <v>162</v>
      </c>
    </row>
    <row r="875" spans="1:9" ht="24" x14ac:dyDescent="0.3">
      <c r="A875" s="2" t="s">
        <v>9568</v>
      </c>
      <c r="B875" s="2" t="s">
        <v>5452</v>
      </c>
      <c r="C875" s="2" t="s">
        <v>4228</v>
      </c>
      <c r="D875" s="2" t="s">
        <v>5453</v>
      </c>
      <c r="E875" s="2" t="s">
        <v>39</v>
      </c>
      <c r="F875" s="2"/>
      <c r="G875" s="2"/>
      <c r="H875" s="2"/>
      <c r="I875" s="3">
        <f t="shared" si="13"/>
        <v>162</v>
      </c>
    </row>
    <row r="876" spans="1:9" ht="24" x14ac:dyDescent="0.3">
      <c r="A876" s="2" t="s">
        <v>9568</v>
      </c>
      <c r="B876" s="2" t="s">
        <v>1570</v>
      </c>
      <c r="C876" s="2" t="s">
        <v>5454</v>
      </c>
      <c r="D876" s="2" t="s">
        <v>5455</v>
      </c>
      <c r="E876" s="2" t="s">
        <v>3700</v>
      </c>
      <c r="F876" s="2"/>
      <c r="G876" s="2"/>
      <c r="H876" s="2" t="s">
        <v>898</v>
      </c>
      <c r="I876" s="3">
        <f t="shared" si="13"/>
        <v>162</v>
      </c>
    </row>
    <row r="877" spans="1:9" ht="24" x14ac:dyDescent="0.3">
      <c r="A877" s="2" t="s">
        <v>9567</v>
      </c>
      <c r="B877" s="2" t="s">
        <v>5514</v>
      </c>
      <c r="C877" s="2" t="s">
        <v>113</v>
      </c>
      <c r="D877" s="2" t="s">
        <v>9007</v>
      </c>
      <c r="E877" s="2" t="s">
        <v>39</v>
      </c>
      <c r="F877" s="2" t="s">
        <v>4117</v>
      </c>
      <c r="G877" s="2" t="s">
        <v>1717</v>
      </c>
      <c r="H877" s="2"/>
      <c r="I877" s="3">
        <f t="shared" si="13"/>
        <v>163</v>
      </c>
    </row>
    <row r="878" spans="1:9" ht="24" x14ac:dyDescent="0.3">
      <c r="A878" s="2" t="s">
        <v>9568</v>
      </c>
      <c r="B878" s="2" t="s">
        <v>1634</v>
      </c>
      <c r="C878" s="2" t="s">
        <v>2582</v>
      </c>
      <c r="D878" s="2" t="s">
        <v>5456</v>
      </c>
      <c r="E878" s="2" t="s">
        <v>2524</v>
      </c>
      <c r="F878" s="2"/>
      <c r="G878" s="2"/>
      <c r="H878" s="2" t="s">
        <v>194</v>
      </c>
      <c r="I878" s="3">
        <f t="shared" si="13"/>
        <v>163</v>
      </c>
    </row>
    <row r="879" spans="1:9" ht="24" x14ac:dyDescent="0.3">
      <c r="A879" s="2" t="s">
        <v>9571</v>
      </c>
      <c r="B879" s="2" t="s">
        <v>1321</v>
      </c>
      <c r="C879" s="2" t="s">
        <v>1647</v>
      </c>
      <c r="D879" s="2" t="s">
        <v>5478</v>
      </c>
      <c r="E879" s="2" t="s">
        <v>1510</v>
      </c>
      <c r="F879" s="2"/>
      <c r="G879" s="2"/>
      <c r="H879" s="2" t="s">
        <v>194</v>
      </c>
      <c r="I879" s="3">
        <f t="shared" si="13"/>
        <v>164</v>
      </c>
    </row>
    <row r="880" spans="1:9" ht="24" x14ac:dyDescent="0.3">
      <c r="A880" s="2" t="s">
        <v>9568</v>
      </c>
      <c r="B880" s="2" t="s">
        <v>5505</v>
      </c>
      <c r="C880" s="2" t="s">
        <v>4365</v>
      </c>
      <c r="D880" s="2" t="s">
        <v>5506</v>
      </c>
      <c r="E880" s="2" t="s">
        <v>39</v>
      </c>
      <c r="F880" s="2"/>
      <c r="G880" s="2"/>
      <c r="H880" s="2"/>
      <c r="I880" s="3">
        <f t="shared" si="13"/>
        <v>165</v>
      </c>
    </row>
    <row r="881" spans="1:9" ht="24" x14ac:dyDescent="0.3">
      <c r="A881" s="2" t="s">
        <v>9568</v>
      </c>
      <c r="B881" s="2" t="s">
        <v>5350</v>
      </c>
      <c r="C881" s="2" t="s">
        <v>4325</v>
      </c>
      <c r="D881" s="2" t="s">
        <v>5530</v>
      </c>
      <c r="E881" s="2" t="s">
        <v>39</v>
      </c>
      <c r="F881" s="2"/>
      <c r="G881" s="2"/>
      <c r="H881" s="2"/>
      <c r="I881" s="3">
        <f t="shared" si="13"/>
        <v>166</v>
      </c>
    </row>
    <row r="882" spans="1:9" ht="24" x14ac:dyDescent="0.3">
      <c r="A882" s="2" t="s">
        <v>9569</v>
      </c>
      <c r="B882" s="2" t="s">
        <v>5531</v>
      </c>
      <c r="C882" s="2" t="s">
        <v>5532</v>
      </c>
      <c r="D882" s="2" t="s">
        <v>5533</v>
      </c>
      <c r="E882" s="2"/>
      <c r="F882" s="2"/>
      <c r="G882" s="2"/>
      <c r="H882" s="2"/>
      <c r="I882" s="3">
        <f t="shared" si="13"/>
        <v>166</v>
      </c>
    </row>
    <row r="883" spans="1:9" ht="24" x14ac:dyDescent="0.3">
      <c r="A883" s="2" t="s">
        <v>9568</v>
      </c>
      <c r="B883" s="2" t="s">
        <v>5567</v>
      </c>
      <c r="C883" s="2" t="s">
        <v>4592</v>
      </c>
      <c r="D883" s="2" t="s">
        <v>5568</v>
      </c>
      <c r="E883" s="2"/>
      <c r="F883" s="2"/>
      <c r="G883" s="2"/>
      <c r="H883" s="2"/>
      <c r="I883" s="3">
        <f t="shared" si="13"/>
        <v>168</v>
      </c>
    </row>
    <row r="884" spans="1:9" ht="24" x14ac:dyDescent="0.3">
      <c r="A884" s="2" t="s">
        <v>9567</v>
      </c>
      <c r="B884" s="2" t="s">
        <v>399</v>
      </c>
      <c r="C884" s="2" t="s">
        <v>500</v>
      </c>
      <c r="D884" s="2" t="s">
        <v>5602</v>
      </c>
      <c r="E884" s="2" t="s">
        <v>39</v>
      </c>
      <c r="F884" s="2"/>
      <c r="G884" s="2"/>
      <c r="H884" s="2" t="s">
        <v>402</v>
      </c>
      <c r="I884" s="3">
        <f t="shared" si="13"/>
        <v>169</v>
      </c>
    </row>
    <row r="885" spans="1:9" ht="24" x14ac:dyDescent="0.3">
      <c r="A885" s="2" t="s">
        <v>9568</v>
      </c>
      <c r="B885" s="2" t="s">
        <v>1321</v>
      </c>
      <c r="C885" s="2" t="s">
        <v>1983</v>
      </c>
      <c r="D885" s="2" t="s">
        <v>9357</v>
      </c>
      <c r="E885" s="2" t="s">
        <v>3643</v>
      </c>
      <c r="F885" s="2" t="s">
        <v>1778</v>
      </c>
      <c r="G885" s="2" t="s">
        <v>1717</v>
      </c>
      <c r="H885" s="2" t="s">
        <v>646</v>
      </c>
      <c r="I885" s="3">
        <f t="shared" si="13"/>
        <v>170</v>
      </c>
    </row>
    <row r="886" spans="1:9" ht="24" x14ac:dyDescent="0.3">
      <c r="A886" s="2" t="s">
        <v>9568</v>
      </c>
      <c r="B886" s="2" t="s">
        <v>5614</v>
      </c>
      <c r="C886" s="2" t="s">
        <v>1178</v>
      </c>
      <c r="D886" s="2" t="s">
        <v>5615</v>
      </c>
      <c r="E886" s="2" t="s">
        <v>39</v>
      </c>
      <c r="F886" s="2"/>
      <c r="G886" s="2"/>
      <c r="H886" s="2"/>
      <c r="I886" s="3">
        <f t="shared" si="13"/>
        <v>170</v>
      </c>
    </row>
    <row r="887" spans="1:9" ht="24" x14ac:dyDescent="0.3">
      <c r="A887" s="2" t="s">
        <v>9568</v>
      </c>
      <c r="B887" s="2" t="s">
        <v>5608</v>
      </c>
      <c r="C887" s="2" t="s">
        <v>5609</v>
      </c>
      <c r="D887" s="2" t="s">
        <v>5610</v>
      </c>
      <c r="E887" s="2" t="s">
        <v>383</v>
      </c>
      <c r="F887" s="2"/>
      <c r="G887" s="2"/>
      <c r="H887" s="2"/>
      <c r="I887" s="3">
        <f t="shared" si="13"/>
        <v>170</v>
      </c>
    </row>
    <row r="888" spans="1:9" ht="24" x14ac:dyDescent="0.3">
      <c r="A888" s="2" t="s">
        <v>9568</v>
      </c>
      <c r="B888" s="2" t="s">
        <v>2518</v>
      </c>
      <c r="C888" s="2" t="s">
        <v>3070</v>
      </c>
      <c r="D888" s="2" t="s">
        <v>9394</v>
      </c>
      <c r="E888" s="2" t="s">
        <v>39</v>
      </c>
      <c r="F888" s="2" t="s">
        <v>1778</v>
      </c>
      <c r="G888" s="2" t="s">
        <v>1717</v>
      </c>
      <c r="H888" s="2"/>
      <c r="I888" s="3">
        <f t="shared" si="13"/>
        <v>170</v>
      </c>
    </row>
    <row r="889" spans="1:9" ht="24" x14ac:dyDescent="0.3">
      <c r="A889" s="2" t="s">
        <v>9568</v>
      </c>
      <c r="B889" s="2" t="s">
        <v>1804</v>
      </c>
      <c r="C889" s="2" t="s">
        <v>1805</v>
      </c>
      <c r="D889" s="2" t="s">
        <v>5629</v>
      </c>
      <c r="E889" s="2" t="s">
        <v>39</v>
      </c>
      <c r="F889" s="2"/>
      <c r="G889" s="2"/>
      <c r="H889" s="2" t="s">
        <v>646</v>
      </c>
      <c r="I889" s="3">
        <f t="shared" si="13"/>
        <v>171</v>
      </c>
    </row>
    <row r="890" spans="1:9" ht="24" x14ac:dyDescent="0.3">
      <c r="A890" s="2" t="s">
        <v>9568</v>
      </c>
      <c r="B890" s="2" t="s">
        <v>5630</v>
      </c>
      <c r="C890" s="2" t="s">
        <v>1329</v>
      </c>
      <c r="D890" s="2" t="s">
        <v>5631</v>
      </c>
      <c r="E890" s="2"/>
      <c r="F890" s="2"/>
      <c r="G890" s="2"/>
      <c r="H890" s="2"/>
      <c r="I890" s="3">
        <f t="shared" si="13"/>
        <v>171</v>
      </c>
    </row>
    <row r="891" spans="1:9" ht="24" x14ac:dyDescent="0.3">
      <c r="A891" s="2" t="s">
        <v>9571</v>
      </c>
      <c r="B891" s="2" t="s">
        <v>5617</v>
      </c>
      <c r="C891" s="2" t="s">
        <v>14</v>
      </c>
      <c r="D891" s="2" t="s">
        <v>5618</v>
      </c>
      <c r="E891" s="2"/>
      <c r="F891" s="2"/>
      <c r="G891" s="2"/>
      <c r="H891" s="2"/>
      <c r="I891" s="3">
        <f t="shared" si="13"/>
        <v>171</v>
      </c>
    </row>
    <row r="892" spans="1:9" ht="24" x14ac:dyDescent="0.3">
      <c r="A892" s="2" t="s">
        <v>9567</v>
      </c>
      <c r="B892" s="2" t="s">
        <v>4297</v>
      </c>
      <c r="C892" s="2" t="s">
        <v>437</v>
      </c>
      <c r="D892" s="2" t="s">
        <v>5653</v>
      </c>
      <c r="E892" s="2" t="s">
        <v>39</v>
      </c>
      <c r="F892" s="2"/>
      <c r="G892" s="2"/>
      <c r="H892" s="2" t="s">
        <v>194</v>
      </c>
      <c r="I892" s="3">
        <f t="shared" si="13"/>
        <v>172</v>
      </c>
    </row>
    <row r="893" spans="1:9" ht="24" x14ac:dyDescent="0.3">
      <c r="A893" s="2" t="s">
        <v>9567</v>
      </c>
      <c r="B893" s="2" t="s">
        <v>5654</v>
      </c>
      <c r="C893" s="2" t="s">
        <v>5155</v>
      </c>
      <c r="D893" s="2" t="s">
        <v>8703</v>
      </c>
      <c r="E893" s="2" t="s">
        <v>211</v>
      </c>
      <c r="F893" s="2"/>
      <c r="G893" s="2"/>
      <c r="H893" s="2" t="s">
        <v>898</v>
      </c>
      <c r="I893" s="3">
        <f t="shared" si="13"/>
        <v>172</v>
      </c>
    </row>
    <row r="894" spans="1:9" ht="24" x14ac:dyDescent="0.3">
      <c r="A894" s="2" t="s">
        <v>9568</v>
      </c>
      <c r="B894" s="2" t="s">
        <v>5636</v>
      </c>
      <c r="C894" s="2" t="s">
        <v>5637</v>
      </c>
      <c r="D894" s="2" t="s">
        <v>5638</v>
      </c>
      <c r="E894" s="2" t="s">
        <v>5639</v>
      </c>
      <c r="F894" s="2"/>
      <c r="G894" s="2"/>
      <c r="H894" s="2" t="s">
        <v>898</v>
      </c>
      <c r="I894" s="3">
        <f t="shared" si="13"/>
        <v>172</v>
      </c>
    </row>
    <row r="895" spans="1:9" ht="24" x14ac:dyDescent="0.3">
      <c r="A895" s="2" t="s">
        <v>9568</v>
      </c>
      <c r="B895" s="2" t="s">
        <v>5702</v>
      </c>
      <c r="C895" s="2" t="s">
        <v>1983</v>
      </c>
      <c r="D895" s="2" t="s">
        <v>9356</v>
      </c>
      <c r="E895" s="2" t="s">
        <v>242</v>
      </c>
      <c r="F895" s="2" t="s">
        <v>1778</v>
      </c>
      <c r="G895" s="2" t="s">
        <v>1717</v>
      </c>
      <c r="H895" s="2"/>
      <c r="I895" s="3">
        <f t="shared" si="13"/>
        <v>173</v>
      </c>
    </row>
    <row r="896" spans="1:9" ht="24" x14ac:dyDescent="0.3">
      <c r="A896" s="2" t="s">
        <v>9568</v>
      </c>
      <c r="B896" s="2" t="s">
        <v>5688</v>
      </c>
      <c r="C896" s="2" t="s">
        <v>5689</v>
      </c>
      <c r="D896" s="2" t="s">
        <v>5690</v>
      </c>
      <c r="E896" s="2" t="s">
        <v>616</v>
      </c>
      <c r="F896" s="2"/>
      <c r="G896" s="2"/>
      <c r="H896" s="2"/>
      <c r="I896" s="3">
        <f t="shared" si="13"/>
        <v>174</v>
      </c>
    </row>
    <row r="897" spans="1:9" ht="24" x14ac:dyDescent="0.3">
      <c r="A897" s="2" t="s">
        <v>9567</v>
      </c>
      <c r="B897" s="2" t="s">
        <v>5706</v>
      </c>
      <c r="C897" s="2" t="s">
        <v>263</v>
      </c>
      <c r="D897" s="2" t="s">
        <v>5707</v>
      </c>
      <c r="E897" s="2" t="s">
        <v>39</v>
      </c>
      <c r="F897" s="2"/>
      <c r="G897" s="2"/>
      <c r="H897" s="2"/>
      <c r="I897" s="3">
        <f t="shared" si="13"/>
        <v>175</v>
      </c>
    </row>
    <row r="898" spans="1:9" ht="24" x14ac:dyDescent="0.3">
      <c r="A898" s="2" t="s">
        <v>9571</v>
      </c>
      <c r="B898" s="2" t="s">
        <v>5691</v>
      </c>
      <c r="C898" s="2" t="s">
        <v>5692</v>
      </c>
      <c r="D898" s="2" t="s">
        <v>5693</v>
      </c>
      <c r="E898" s="2"/>
      <c r="F898" s="2"/>
      <c r="G898" s="2"/>
      <c r="H898" s="2" t="s">
        <v>1644</v>
      </c>
      <c r="I898" s="3">
        <f t="shared" ref="I898:I961" si="14">LEN(D898)</f>
        <v>175</v>
      </c>
    </row>
    <row r="899" spans="1:9" ht="24" x14ac:dyDescent="0.3">
      <c r="A899" s="2" t="s">
        <v>9568</v>
      </c>
      <c r="B899" s="2" t="s">
        <v>2471</v>
      </c>
      <c r="C899" s="2" t="s">
        <v>268</v>
      </c>
      <c r="D899" s="2" t="s">
        <v>5719</v>
      </c>
      <c r="E899" s="2"/>
      <c r="F899" s="2"/>
      <c r="G899" s="2"/>
      <c r="H899" s="2"/>
      <c r="I899" s="3">
        <f t="shared" si="14"/>
        <v>176</v>
      </c>
    </row>
    <row r="900" spans="1:9" ht="24" x14ac:dyDescent="0.3">
      <c r="A900" s="2" t="s">
        <v>9570</v>
      </c>
      <c r="B900" s="2" t="s">
        <v>5720</v>
      </c>
      <c r="C900" s="2"/>
      <c r="D900" s="2" t="s">
        <v>5721</v>
      </c>
      <c r="E900" s="2"/>
      <c r="F900" s="2"/>
      <c r="G900" s="2"/>
      <c r="H900" s="2"/>
      <c r="I900" s="3">
        <f t="shared" si="14"/>
        <v>176</v>
      </c>
    </row>
    <row r="901" spans="1:9" ht="24" x14ac:dyDescent="0.3">
      <c r="A901" s="2" t="s">
        <v>9567</v>
      </c>
      <c r="B901" s="2" t="s">
        <v>5737</v>
      </c>
      <c r="C901" s="2" t="s">
        <v>395</v>
      </c>
      <c r="D901" s="2" t="s">
        <v>5738</v>
      </c>
      <c r="E901" s="2"/>
      <c r="F901" s="2"/>
      <c r="G901" s="2"/>
      <c r="H901" s="2"/>
      <c r="I901" s="3">
        <f t="shared" si="14"/>
        <v>177</v>
      </c>
    </row>
    <row r="902" spans="1:9" ht="24" x14ac:dyDescent="0.3">
      <c r="A902" s="2" t="s">
        <v>9568</v>
      </c>
      <c r="B902" s="2" t="s">
        <v>5735</v>
      </c>
      <c r="C902" s="2" t="s">
        <v>4365</v>
      </c>
      <c r="D902" s="2" t="s">
        <v>5736</v>
      </c>
      <c r="E902" s="2" t="s">
        <v>39</v>
      </c>
      <c r="F902" s="2"/>
      <c r="G902" s="2"/>
      <c r="H902" s="2"/>
      <c r="I902" s="3">
        <f t="shared" si="14"/>
        <v>177</v>
      </c>
    </row>
    <row r="903" spans="1:9" ht="24" x14ac:dyDescent="0.3">
      <c r="A903" s="2" t="s">
        <v>9568</v>
      </c>
      <c r="B903" s="2" t="s">
        <v>827</v>
      </c>
      <c r="C903" s="2" t="s">
        <v>1983</v>
      </c>
      <c r="D903" s="2" t="s">
        <v>9358</v>
      </c>
      <c r="E903" s="2" t="s">
        <v>2709</v>
      </c>
      <c r="F903" s="2" t="s">
        <v>1778</v>
      </c>
      <c r="G903" s="2" t="s">
        <v>1717</v>
      </c>
      <c r="H903" s="2"/>
      <c r="I903" s="3">
        <f t="shared" si="14"/>
        <v>177</v>
      </c>
    </row>
    <row r="904" spans="1:9" ht="24" x14ac:dyDescent="0.3">
      <c r="A904" s="2" t="s">
        <v>9568</v>
      </c>
      <c r="B904" s="2" t="s">
        <v>258</v>
      </c>
      <c r="C904" s="2" t="s">
        <v>5752</v>
      </c>
      <c r="D904" s="2" t="s">
        <v>5753</v>
      </c>
      <c r="E904" s="2" t="s">
        <v>3643</v>
      </c>
      <c r="F904" s="2"/>
      <c r="G904" s="2"/>
      <c r="H904" s="2"/>
      <c r="I904" s="3">
        <f t="shared" si="14"/>
        <v>178</v>
      </c>
    </row>
    <row r="905" spans="1:9" ht="24" x14ac:dyDescent="0.3">
      <c r="A905" s="2" t="s">
        <v>9567</v>
      </c>
      <c r="B905" s="2" t="s">
        <v>619</v>
      </c>
      <c r="C905" s="2" t="s">
        <v>914</v>
      </c>
      <c r="D905" s="2" t="s">
        <v>5803</v>
      </c>
      <c r="E905" s="2" t="s">
        <v>39</v>
      </c>
      <c r="F905" s="2"/>
      <c r="G905" s="2"/>
      <c r="H905" s="2" t="s">
        <v>402</v>
      </c>
      <c r="I905" s="3">
        <f t="shared" si="14"/>
        <v>179</v>
      </c>
    </row>
    <row r="906" spans="1:9" ht="24" x14ac:dyDescent="0.3">
      <c r="A906" s="2" t="s">
        <v>9567</v>
      </c>
      <c r="B906" s="2" t="s">
        <v>5847</v>
      </c>
      <c r="C906" s="2" t="s">
        <v>408</v>
      </c>
      <c r="D906" s="2" t="s">
        <v>9008</v>
      </c>
      <c r="E906" s="2"/>
      <c r="F906" s="2" t="s">
        <v>2281</v>
      </c>
      <c r="G906" s="2" t="s">
        <v>1717</v>
      </c>
      <c r="H906" s="2"/>
      <c r="I906" s="3">
        <f t="shared" si="14"/>
        <v>179</v>
      </c>
    </row>
    <row r="907" spans="1:9" ht="24" x14ac:dyDescent="0.3">
      <c r="A907" s="2" t="s">
        <v>9568</v>
      </c>
      <c r="B907" s="2" t="s">
        <v>5785</v>
      </c>
      <c r="C907" s="2" t="s">
        <v>5786</v>
      </c>
      <c r="D907" s="2" t="s">
        <v>5787</v>
      </c>
      <c r="E907" s="2" t="s">
        <v>39</v>
      </c>
      <c r="F907" s="2"/>
      <c r="G907" s="2"/>
      <c r="H907" s="2"/>
      <c r="I907" s="3">
        <f t="shared" si="14"/>
        <v>179</v>
      </c>
    </row>
    <row r="908" spans="1:9" ht="24" x14ac:dyDescent="0.3">
      <c r="A908" s="2" t="s">
        <v>9568</v>
      </c>
      <c r="B908" s="2" t="s">
        <v>5801</v>
      </c>
      <c r="C908" s="2" t="s">
        <v>554</v>
      </c>
      <c r="D908" s="2" t="s">
        <v>5802</v>
      </c>
      <c r="E908" s="2" t="s">
        <v>39</v>
      </c>
      <c r="F908" s="2"/>
      <c r="G908" s="2"/>
      <c r="H908" s="2"/>
      <c r="I908" s="3">
        <f t="shared" si="14"/>
        <v>179</v>
      </c>
    </row>
    <row r="909" spans="1:9" ht="24" x14ac:dyDescent="0.3">
      <c r="A909" s="2" t="s">
        <v>9567</v>
      </c>
      <c r="B909" s="2" t="s">
        <v>509</v>
      </c>
      <c r="C909" s="2" t="s">
        <v>500</v>
      </c>
      <c r="D909" s="2" t="s">
        <v>5818</v>
      </c>
      <c r="E909" s="2" t="s">
        <v>39</v>
      </c>
      <c r="F909" s="2"/>
      <c r="G909" s="2"/>
      <c r="H909" s="2" t="s">
        <v>402</v>
      </c>
      <c r="I909" s="3">
        <f t="shared" si="14"/>
        <v>180</v>
      </c>
    </row>
    <row r="910" spans="1:9" ht="24" x14ac:dyDescent="0.3">
      <c r="A910" s="2" t="s">
        <v>9568</v>
      </c>
      <c r="B910" s="2" t="s">
        <v>5850</v>
      </c>
      <c r="C910" s="2" t="s">
        <v>5851</v>
      </c>
      <c r="D910" s="2" t="s">
        <v>9337</v>
      </c>
      <c r="E910" s="2" t="s">
        <v>242</v>
      </c>
      <c r="F910" s="2" t="s">
        <v>1778</v>
      </c>
      <c r="G910" s="2" t="s">
        <v>1717</v>
      </c>
      <c r="H910" s="2"/>
      <c r="I910" s="3">
        <f t="shared" si="14"/>
        <v>180</v>
      </c>
    </row>
    <row r="911" spans="1:9" ht="24" x14ac:dyDescent="0.3">
      <c r="A911" s="2" t="s">
        <v>9568</v>
      </c>
      <c r="B911" s="2" t="s">
        <v>34</v>
      </c>
      <c r="C911" s="2" t="s">
        <v>823</v>
      </c>
      <c r="D911" s="2" t="s">
        <v>5822</v>
      </c>
      <c r="E911" s="2" t="s">
        <v>39</v>
      </c>
      <c r="F911" s="2"/>
      <c r="G911" s="2"/>
      <c r="H911" s="2"/>
      <c r="I911" s="3">
        <f t="shared" si="14"/>
        <v>180</v>
      </c>
    </row>
    <row r="912" spans="1:9" ht="24" x14ac:dyDescent="0.3">
      <c r="A912" s="2" t="s">
        <v>9571</v>
      </c>
      <c r="B912" s="2" t="s">
        <v>5810</v>
      </c>
      <c r="C912" s="2" t="s">
        <v>5811</v>
      </c>
      <c r="D912" s="2" t="s">
        <v>5812</v>
      </c>
      <c r="E912" s="2"/>
      <c r="F912" s="2"/>
      <c r="G912" s="2" t="s">
        <v>350</v>
      </c>
      <c r="H912" s="2"/>
      <c r="I912" s="3">
        <f t="shared" si="14"/>
        <v>180</v>
      </c>
    </row>
    <row r="913" spans="1:9" ht="24" x14ac:dyDescent="0.3">
      <c r="A913" s="2" t="s">
        <v>9567</v>
      </c>
      <c r="B913" s="2" t="s">
        <v>5884</v>
      </c>
      <c r="C913" s="2" t="s">
        <v>110</v>
      </c>
      <c r="D913" s="2" t="s">
        <v>9009</v>
      </c>
      <c r="E913" s="2" t="s">
        <v>39</v>
      </c>
      <c r="F913" s="2" t="s">
        <v>2281</v>
      </c>
      <c r="G913" s="2" t="s">
        <v>1717</v>
      </c>
      <c r="H913" s="2"/>
      <c r="I913" s="3">
        <f t="shared" si="14"/>
        <v>181</v>
      </c>
    </row>
    <row r="914" spans="1:9" ht="24" x14ac:dyDescent="0.3">
      <c r="A914" s="2" t="s">
        <v>9568</v>
      </c>
      <c r="B914" s="2" t="s">
        <v>5823</v>
      </c>
      <c r="C914" s="2" t="s">
        <v>4365</v>
      </c>
      <c r="D914" s="2" t="s">
        <v>5824</v>
      </c>
      <c r="E914" s="2" t="s">
        <v>39</v>
      </c>
      <c r="F914" s="2"/>
      <c r="G914" s="2"/>
      <c r="H914" s="2"/>
      <c r="I914" s="3">
        <f t="shared" si="14"/>
        <v>181</v>
      </c>
    </row>
    <row r="915" spans="1:9" ht="24" x14ac:dyDescent="0.3">
      <c r="A915" s="2" t="s">
        <v>9567</v>
      </c>
      <c r="B915" s="2" t="s">
        <v>5877</v>
      </c>
      <c r="C915" s="2" t="s">
        <v>329</v>
      </c>
      <c r="D915" s="2" t="s">
        <v>5878</v>
      </c>
      <c r="E915" s="2" t="s">
        <v>39</v>
      </c>
      <c r="F915" s="2"/>
      <c r="G915" s="2"/>
      <c r="H915" s="2"/>
      <c r="I915" s="3">
        <f t="shared" si="14"/>
        <v>182</v>
      </c>
    </row>
    <row r="916" spans="1:9" ht="24" x14ac:dyDescent="0.3">
      <c r="A916" s="2" t="s">
        <v>9568</v>
      </c>
      <c r="B916" s="2" t="s">
        <v>5879</v>
      </c>
      <c r="C916" s="2" t="s">
        <v>5880</v>
      </c>
      <c r="D916" s="2" t="s">
        <v>5881</v>
      </c>
      <c r="E916" s="2" t="s">
        <v>39</v>
      </c>
      <c r="F916" s="2"/>
      <c r="G916" s="2"/>
      <c r="H916" s="2"/>
      <c r="I916" s="3">
        <f t="shared" si="14"/>
        <v>182</v>
      </c>
    </row>
    <row r="917" spans="1:9" ht="24" x14ac:dyDescent="0.3">
      <c r="A917" s="2" t="s">
        <v>9568</v>
      </c>
      <c r="B917" s="2" t="s">
        <v>5882</v>
      </c>
      <c r="C917" s="2" t="s">
        <v>875</v>
      </c>
      <c r="D917" s="2" t="s">
        <v>5883</v>
      </c>
      <c r="E917" s="2" t="s">
        <v>39</v>
      </c>
      <c r="F917" s="2"/>
      <c r="G917" s="2" t="s">
        <v>350</v>
      </c>
      <c r="H917" s="2" t="s">
        <v>646</v>
      </c>
      <c r="I917" s="3">
        <f t="shared" si="14"/>
        <v>183</v>
      </c>
    </row>
    <row r="918" spans="1:9" ht="24" x14ac:dyDescent="0.3">
      <c r="A918" s="2" t="s">
        <v>9568</v>
      </c>
      <c r="B918" s="2" t="s">
        <v>5887</v>
      </c>
      <c r="C918" s="2" t="s">
        <v>1178</v>
      </c>
      <c r="D918" s="2" t="s">
        <v>5888</v>
      </c>
      <c r="E918" s="2" t="s">
        <v>39</v>
      </c>
      <c r="F918" s="2"/>
      <c r="G918" s="2"/>
      <c r="H918" s="2"/>
      <c r="I918" s="3">
        <f t="shared" si="14"/>
        <v>183</v>
      </c>
    </row>
    <row r="919" spans="1:9" ht="24" x14ac:dyDescent="0.3">
      <c r="A919" s="2" t="s">
        <v>9567</v>
      </c>
      <c r="B919" s="2" t="s">
        <v>4297</v>
      </c>
      <c r="C919" s="2" t="s">
        <v>1354</v>
      </c>
      <c r="D919" s="2" t="s">
        <v>5910</v>
      </c>
      <c r="E919" s="2" t="s">
        <v>39</v>
      </c>
      <c r="F919" s="2"/>
      <c r="G919" s="2"/>
      <c r="H919" s="2" t="s">
        <v>194</v>
      </c>
      <c r="I919" s="3">
        <f t="shared" si="14"/>
        <v>184</v>
      </c>
    </row>
    <row r="920" spans="1:9" ht="24" x14ac:dyDescent="0.3">
      <c r="A920" s="2" t="s">
        <v>9568</v>
      </c>
      <c r="B920" s="2" t="s">
        <v>213</v>
      </c>
      <c r="C920" s="2" t="s">
        <v>4161</v>
      </c>
      <c r="D920" s="2" t="s">
        <v>5904</v>
      </c>
      <c r="E920" s="2" t="s">
        <v>39</v>
      </c>
      <c r="F920" s="2"/>
      <c r="G920" s="2"/>
      <c r="H920" s="2"/>
      <c r="I920" s="3">
        <f t="shared" si="14"/>
        <v>184</v>
      </c>
    </row>
    <row r="921" spans="1:9" ht="24" x14ac:dyDescent="0.3">
      <c r="A921" s="2" t="s">
        <v>9568</v>
      </c>
      <c r="B921" s="2" t="s">
        <v>4011</v>
      </c>
      <c r="C921" s="2" t="s">
        <v>1178</v>
      </c>
      <c r="D921" s="2" t="s">
        <v>5911</v>
      </c>
      <c r="E921" s="2" t="s">
        <v>39</v>
      </c>
      <c r="F921" s="2"/>
      <c r="G921" s="2"/>
      <c r="H921" s="2"/>
      <c r="I921" s="3">
        <f t="shared" si="14"/>
        <v>184</v>
      </c>
    </row>
    <row r="922" spans="1:9" ht="24" x14ac:dyDescent="0.3">
      <c r="A922" s="2" t="s">
        <v>9568</v>
      </c>
      <c r="B922" s="2" t="s">
        <v>5912</v>
      </c>
      <c r="C922" s="2" t="s">
        <v>5913</v>
      </c>
      <c r="D922" s="2" t="s">
        <v>5914</v>
      </c>
      <c r="E922" s="2" t="s">
        <v>2524</v>
      </c>
      <c r="F922" s="2"/>
      <c r="G922" s="2"/>
      <c r="H922" s="2" t="s">
        <v>3494</v>
      </c>
      <c r="I922" s="3">
        <f t="shared" si="14"/>
        <v>184</v>
      </c>
    </row>
    <row r="923" spans="1:9" ht="24" x14ac:dyDescent="0.3">
      <c r="A923" s="2" t="s">
        <v>9569</v>
      </c>
      <c r="B923" s="2" t="s">
        <v>5934</v>
      </c>
      <c r="C923" s="2" t="s">
        <v>500</v>
      </c>
      <c r="D923" s="2" t="s">
        <v>5935</v>
      </c>
      <c r="E923" s="2" t="s">
        <v>2693</v>
      </c>
      <c r="F923" s="2"/>
      <c r="G923" s="2"/>
      <c r="H923" s="2"/>
      <c r="I923" s="3">
        <f t="shared" si="14"/>
        <v>186</v>
      </c>
    </row>
    <row r="924" spans="1:9" ht="24" x14ac:dyDescent="0.3">
      <c r="A924" s="2" t="s">
        <v>9568</v>
      </c>
      <c r="B924" s="2" t="s">
        <v>5943</v>
      </c>
      <c r="C924" s="2" t="s">
        <v>1249</v>
      </c>
      <c r="D924" s="2" t="s">
        <v>5944</v>
      </c>
      <c r="E924" s="2"/>
      <c r="F924" s="2"/>
      <c r="G924" s="2"/>
      <c r="H924" s="2"/>
      <c r="I924" s="3">
        <f t="shared" si="14"/>
        <v>187</v>
      </c>
    </row>
    <row r="925" spans="1:9" ht="24" x14ac:dyDescent="0.3">
      <c r="A925" s="2" t="s">
        <v>9568</v>
      </c>
      <c r="B925" s="2" t="s">
        <v>5018</v>
      </c>
      <c r="C925" s="2" t="s">
        <v>1178</v>
      </c>
      <c r="D925" s="2" t="s">
        <v>5955</v>
      </c>
      <c r="E925" s="2" t="s">
        <v>39</v>
      </c>
      <c r="F925" s="2"/>
      <c r="G925" s="2"/>
      <c r="H925" s="2"/>
      <c r="I925" s="3">
        <f t="shared" si="14"/>
        <v>187</v>
      </c>
    </row>
    <row r="926" spans="1:9" ht="24" x14ac:dyDescent="0.3">
      <c r="A926" s="2" t="s">
        <v>9568</v>
      </c>
      <c r="B926" s="2" t="s">
        <v>1804</v>
      </c>
      <c r="C926" s="2" t="s">
        <v>1805</v>
      </c>
      <c r="D926" s="2" t="s">
        <v>5956</v>
      </c>
      <c r="E926" s="2" t="s">
        <v>39</v>
      </c>
      <c r="F926" s="2"/>
      <c r="G926" s="2"/>
      <c r="H926" s="2"/>
      <c r="I926" s="3">
        <f t="shared" si="14"/>
        <v>187</v>
      </c>
    </row>
    <row r="927" spans="1:9" ht="24" x14ac:dyDescent="0.3">
      <c r="A927" s="2" t="s">
        <v>9568</v>
      </c>
      <c r="B927" s="2" t="s">
        <v>5972</v>
      </c>
      <c r="C927" s="2" t="s">
        <v>1754</v>
      </c>
      <c r="D927" s="2" t="s">
        <v>5973</v>
      </c>
      <c r="E927" s="2" t="s">
        <v>39</v>
      </c>
      <c r="F927" s="2"/>
      <c r="G927" s="2"/>
      <c r="H927" s="2" t="s">
        <v>646</v>
      </c>
      <c r="I927" s="3">
        <f t="shared" si="14"/>
        <v>188</v>
      </c>
    </row>
    <row r="928" spans="1:9" ht="24" x14ac:dyDescent="0.3">
      <c r="A928" s="2" t="s">
        <v>9567</v>
      </c>
      <c r="B928" s="2" t="s">
        <v>399</v>
      </c>
      <c r="C928" s="2" t="s">
        <v>500</v>
      </c>
      <c r="D928" s="2" t="s">
        <v>5982</v>
      </c>
      <c r="E928" s="2" t="s">
        <v>39</v>
      </c>
      <c r="F928" s="2"/>
      <c r="G928" s="2"/>
      <c r="H928" s="2" t="s">
        <v>402</v>
      </c>
      <c r="I928" s="3">
        <f t="shared" si="14"/>
        <v>189</v>
      </c>
    </row>
    <row r="929" spans="1:9" ht="24" x14ac:dyDescent="0.3">
      <c r="A929" s="2" t="s">
        <v>9568</v>
      </c>
      <c r="B929" s="2" t="s">
        <v>6022</v>
      </c>
      <c r="C929" s="2" t="s">
        <v>5637</v>
      </c>
      <c r="D929" s="2" t="s">
        <v>9335</v>
      </c>
      <c r="E929" s="2" t="s">
        <v>5017</v>
      </c>
      <c r="F929" s="2" t="s">
        <v>1778</v>
      </c>
      <c r="G929" s="2" t="s">
        <v>1717</v>
      </c>
      <c r="H929" s="2" t="s">
        <v>898</v>
      </c>
      <c r="I929" s="3">
        <f t="shared" si="14"/>
        <v>190</v>
      </c>
    </row>
    <row r="930" spans="1:9" ht="24" x14ac:dyDescent="0.3">
      <c r="A930" s="2" t="s">
        <v>9568</v>
      </c>
      <c r="B930" s="2" t="s">
        <v>5996</v>
      </c>
      <c r="C930" s="2" t="s">
        <v>823</v>
      </c>
      <c r="D930" s="2" t="s">
        <v>5997</v>
      </c>
      <c r="E930" s="2" t="s">
        <v>39</v>
      </c>
      <c r="F930" s="2"/>
      <c r="G930" s="2"/>
      <c r="H930" s="2"/>
      <c r="I930" s="3">
        <f t="shared" si="14"/>
        <v>190</v>
      </c>
    </row>
    <row r="931" spans="1:9" ht="24" x14ac:dyDescent="0.3">
      <c r="A931" s="2" t="s">
        <v>9568</v>
      </c>
      <c r="B931" s="2" t="s">
        <v>3782</v>
      </c>
      <c r="C931" s="2" t="s">
        <v>6019</v>
      </c>
      <c r="D931" s="2" t="s">
        <v>6020</v>
      </c>
      <c r="E931" s="2" t="s">
        <v>5017</v>
      </c>
      <c r="F931" s="2"/>
      <c r="G931" s="2"/>
      <c r="H931" s="2" t="s">
        <v>86</v>
      </c>
      <c r="I931" s="3">
        <f t="shared" si="14"/>
        <v>191</v>
      </c>
    </row>
    <row r="932" spans="1:9" ht="24" x14ac:dyDescent="0.3">
      <c r="A932" s="2" t="s">
        <v>9568</v>
      </c>
      <c r="B932" s="2" t="s">
        <v>1321</v>
      </c>
      <c r="C932" s="2" t="s">
        <v>1983</v>
      </c>
      <c r="D932" s="2" t="s">
        <v>9395</v>
      </c>
      <c r="E932" s="2" t="s">
        <v>3643</v>
      </c>
      <c r="F932" s="2" t="s">
        <v>1778</v>
      </c>
      <c r="G932" s="2" t="s">
        <v>1717</v>
      </c>
      <c r="H932" s="2"/>
      <c r="I932" s="3">
        <f t="shared" si="14"/>
        <v>191</v>
      </c>
    </row>
    <row r="933" spans="1:9" ht="24" x14ac:dyDescent="0.3">
      <c r="A933" s="2" t="s">
        <v>9571</v>
      </c>
      <c r="B933" s="2" t="s">
        <v>6010</v>
      </c>
      <c r="C933" s="2" t="s">
        <v>332</v>
      </c>
      <c r="D933" s="2" t="s">
        <v>6011</v>
      </c>
      <c r="E933" s="2"/>
      <c r="F933" s="2"/>
      <c r="G933" s="2"/>
      <c r="H933" s="2"/>
      <c r="I933" s="3">
        <f t="shared" si="14"/>
        <v>191</v>
      </c>
    </row>
    <row r="934" spans="1:9" ht="24" x14ac:dyDescent="0.3">
      <c r="A934" s="2" t="s">
        <v>9568</v>
      </c>
      <c r="B934" s="2" t="s">
        <v>6047</v>
      </c>
      <c r="C934" s="2" t="s">
        <v>5637</v>
      </c>
      <c r="D934" s="2" t="s">
        <v>9336</v>
      </c>
      <c r="E934" s="2" t="s">
        <v>2709</v>
      </c>
      <c r="F934" s="2" t="s">
        <v>1778</v>
      </c>
      <c r="G934" s="2" t="s">
        <v>1717</v>
      </c>
      <c r="H934" s="2" t="s">
        <v>898</v>
      </c>
      <c r="I934" s="3">
        <f t="shared" si="14"/>
        <v>192</v>
      </c>
    </row>
    <row r="935" spans="1:9" ht="24" x14ac:dyDescent="0.3">
      <c r="A935" s="2" t="s">
        <v>9568</v>
      </c>
      <c r="B935" s="2" t="s">
        <v>5636</v>
      </c>
      <c r="C935" s="2" t="s">
        <v>5637</v>
      </c>
      <c r="D935" s="2" t="s">
        <v>6033</v>
      </c>
      <c r="E935" s="2" t="s">
        <v>5017</v>
      </c>
      <c r="F935" s="2"/>
      <c r="G935" s="2"/>
      <c r="H935" s="2" t="s">
        <v>898</v>
      </c>
      <c r="I935" s="3">
        <f t="shared" si="14"/>
        <v>192</v>
      </c>
    </row>
    <row r="936" spans="1:9" ht="24" x14ac:dyDescent="0.3">
      <c r="A936" s="2" t="s">
        <v>9567</v>
      </c>
      <c r="B936" s="2" t="s">
        <v>509</v>
      </c>
      <c r="C936" s="2" t="s">
        <v>500</v>
      </c>
      <c r="D936" s="2" t="s">
        <v>6053</v>
      </c>
      <c r="E936" s="2" t="s">
        <v>39</v>
      </c>
      <c r="F936" s="2"/>
      <c r="G936" s="2"/>
      <c r="H936" s="2" t="s">
        <v>402</v>
      </c>
      <c r="I936" s="3">
        <f t="shared" si="14"/>
        <v>194</v>
      </c>
    </row>
    <row r="937" spans="1:9" ht="24" x14ac:dyDescent="0.3">
      <c r="A937" s="2" t="s">
        <v>9567</v>
      </c>
      <c r="B937" s="2" t="s">
        <v>6082</v>
      </c>
      <c r="C937" s="2" t="s">
        <v>250</v>
      </c>
      <c r="D937" s="2" t="s">
        <v>9010</v>
      </c>
      <c r="E937" s="2"/>
      <c r="F937" s="2" t="s">
        <v>350</v>
      </c>
      <c r="G937" s="2" t="s">
        <v>1717</v>
      </c>
      <c r="H937" s="2"/>
      <c r="I937" s="3">
        <f t="shared" si="14"/>
        <v>194</v>
      </c>
    </row>
    <row r="938" spans="1:9" ht="24" x14ac:dyDescent="0.3">
      <c r="A938" s="2" t="s">
        <v>9568</v>
      </c>
      <c r="B938" s="2" t="s">
        <v>6048</v>
      </c>
      <c r="C938" s="2" t="s">
        <v>6049</v>
      </c>
      <c r="D938" s="2" t="s">
        <v>6050</v>
      </c>
      <c r="E938" s="2"/>
      <c r="F938" s="2"/>
      <c r="G938" s="2"/>
      <c r="H938" s="2"/>
      <c r="I938" s="3">
        <f t="shared" si="14"/>
        <v>194</v>
      </c>
    </row>
    <row r="939" spans="1:9" ht="24" x14ac:dyDescent="0.3">
      <c r="A939" s="2" t="s">
        <v>9568</v>
      </c>
      <c r="B939" s="2" t="s">
        <v>34</v>
      </c>
      <c r="C939" s="2" t="s">
        <v>823</v>
      </c>
      <c r="D939" s="2" t="s">
        <v>6071</v>
      </c>
      <c r="E939" s="2" t="s">
        <v>39</v>
      </c>
      <c r="F939" s="2"/>
      <c r="G939" s="2"/>
      <c r="H939" s="2"/>
      <c r="I939" s="3">
        <f t="shared" si="14"/>
        <v>195</v>
      </c>
    </row>
    <row r="940" spans="1:9" ht="24" x14ac:dyDescent="0.3">
      <c r="A940" s="2" t="s">
        <v>9568</v>
      </c>
      <c r="B940" s="2" t="s">
        <v>6102</v>
      </c>
      <c r="C940" s="2" t="s">
        <v>6103</v>
      </c>
      <c r="D940" s="2" t="s">
        <v>9389</v>
      </c>
      <c r="E940" s="2" t="s">
        <v>39</v>
      </c>
      <c r="F940" s="2" t="s">
        <v>3082</v>
      </c>
      <c r="G940" s="2" t="s">
        <v>1717</v>
      </c>
      <c r="H940" s="2"/>
      <c r="I940" s="3">
        <f t="shared" si="14"/>
        <v>195</v>
      </c>
    </row>
    <row r="941" spans="1:9" ht="36" x14ac:dyDescent="0.3">
      <c r="A941" s="2" t="s">
        <v>9568</v>
      </c>
      <c r="B941" s="2" t="s">
        <v>6108</v>
      </c>
      <c r="C941" s="2" t="s">
        <v>1083</v>
      </c>
      <c r="D941" s="2" t="s">
        <v>9355</v>
      </c>
      <c r="E941" s="2" t="s">
        <v>3305</v>
      </c>
      <c r="F941" s="2" t="s">
        <v>1778</v>
      </c>
      <c r="G941" s="2" t="s">
        <v>1717</v>
      </c>
      <c r="H941" s="2"/>
      <c r="I941" s="3">
        <f t="shared" si="14"/>
        <v>196</v>
      </c>
    </row>
    <row r="942" spans="1:9" ht="24" x14ac:dyDescent="0.3">
      <c r="A942" s="2" t="s">
        <v>9568</v>
      </c>
      <c r="B942" s="2" t="s">
        <v>6085</v>
      </c>
      <c r="C942" s="2" t="s">
        <v>6086</v>
      </c>
      <c r="D942" s="2" t="s">
        <v>6087</v>
      </c>
      <c r="E942" s="2" t="s">
        <v>39</v>
      </c>
      <c r="F942" s="2"/>
      <c r="G942" s="2"/>
      <c r="H942" s="2"/>
      <c r="I942" s="3">
        <f t="shared" si="14"/>
        <v>196</v>
      </c>
    </row>
    <row r="943" spans="1:9" ht="24" x14ac:dyDescent="0.3">
      <c r="A943" s="2" t="s">
        <v>9571</v>
      </c>
      <c r="B943" s="2" t="s">
        <v>6109</v>
      </c>
      <c r="C943" s="2" t="s">
        <v>3656</v>
      </c>
      <c r="D943" s="2" t="s">
        <v>9311</v>
      </c>
      <c r="E943" s="2" t="s">
        <v>39</v>
      </c>
      <c r="F943" s="2" t="s">
        <v>350</v>
      </c>
      <c r="G943" s="2" t="s">
        <v>350</v>
      </c>
      <c r="H943" s="2"/>
      <c r="I943" s="3">
        <f t="shared" si="14"/>
        <v>196</v>
      </c>
    </row>
    <row r="944" spans="1:9" ht="24" x14ac:dyDescent="0.3">
      <c r="A944" s="2" t="s">
        <v>9571</v>
      </c>
      <c r="B944" s="2" t="s">
        <v>6099</v>
      </c>
      <c r="C944" s="2" t="s">
        <v>6100</v>
      </c>
      <c r="D944" s="2" t="s">
        <v>6101</v>
      </c>
      <c r="E944" s="2" t="s">
        <v>211</v>
      </c>
      <c r="F944" s="2"/>
      <c r="G944" s="2"/>
      <c r="H944" s="2"/>
      <c r="I944" s="3">
        <f t="shared" si="14"/>
        <v>197</v>
      </c>
    </row>
    <row r="945" spans="1:9" ht="24" x14ac:dyDescent="0.3">
      <c r="A945" s="2" t="s">
        <v>9568</v>
      </c>
      <c r="B945" s="2" t="s">
        <v>2042</v>
      </c>
      <c r="C945" s="2" t="s">
        <v>6104</v>
      </c>
      <c r="D945" s="2" t="s">
        <v>6105</v>
      </c>
      <c r="E945" s="2"/>
      <c r="F945" s="2"/>
      <c r="G945" s="2"/>
      <c r="H945" s="2"/>
      <c r="I945" s="3">
        <f t="shared" si="14"/>
        <v>198</v>
      </c>
    </row>
    <row r="946" spans="1:9" ht="36" x14ac:dyDescent="0.3">
      <c r="A946" s="2" t="s">
        <v>9568</v>
      </c>
      <c r="B946" s="2" t="s">
        <v>6118</v>
      </c>
      <c r="C946" s="2" t="s">
        <v>6119</v>
      </c>
      <c r="D946" s="2" t="s">
        <v>6120</v>
      </c>
      <c r="E946" s="2" t="s">
        <v>616</v>
      </c>
      <c r="F946" s="2"/>
      <c r="G946" s="2"/>
      <c r="H946" s="2"/>
      <c r="I946" s="3">
        <f t="shared" si="14"/>
        <v>198</v>
      </c>
    </row>
    <row r="947" spans="1:9" ht="24" x14ac:dyDescent="0.3">
      <c r="A947" s="2" t="s">
        <v>9568</v>
      </c>
      <c r="B947" s="2" t="s">
        <v>5232</v>
      </c>
      <c r="C947" s="2" t="s">
        <v>6138</v>
      </c>
      <c r="D947" s="2" t="s">
        <v>6139</v>
      </c>
      <c r="E947" s="2" t="s">
        <v>39</v>
      </c>
      <c r="F947" s="2"/>
      <c r="G947" s="2"/>
      <c r="H947" s="2"/>
      <c r="I947" s="3">
        <f t="shared" si="14"/>
        <v>199</v>
      </c>
    </row>
    <row r="948" spans="1:9" ht="24" x14ac:dyDescent="0.3">
      <c r="A948" s="2" t="s">
        <v>9568</v>
      </c>
      <c r="B948" s="2" t="s">
        <v>6151</v>
      </c>
      <c r="C948" s="2" t="s">
        <v>1178</v>
      </c>
      <c r="D948" s="2" t="s">
        <v>6152</v>
      </c>
      <c r="E948" s="2" t="s">
        <v>39</v>
      </c>
      <c r="F948" s="2"/>
      <c r="G948" s="2"/>
      <c r="H948" s="2" t="s">
        <v>646</v>
      </c>
      <c r="I948" s="3">
        <f t="shared" si="14"/>
        <v>200</v>
      </c>
    </row>
    <row r="949" spans="1:9" ht="24" x14ac:dyDescent="0.3">
      <c r="A949" s="2" t="s">
        <v>9571</v>
      </c>
      <c r="B949" s="2" t="s">
        <v>6147</v>
      </c>
      <c r="C949" s="2" t="s">
        <v>4696</v>
      </c>
      <c r="D949" s="2" t="s">
        <v>6148</v>
      </c>
      <c r="E949" s="2" t="s">
        <v>39</v>
      </c>
      <c r="F949" s="2"/>
      <c r="G949" s="2"/>
      <c r="H949" s="2"/>
      <c r="I949" s="3">
        <f t="shared" si="14"/>
        <v>200</v>
      </c>
    </row>
    <row r="950" spans="1:9" ht="24" x14ac:dyDescent="0.3">
      <c r="A950" s="2" t="s">
        <v>9571</v>
      </c>
      <c r="B950" s="2" t="s">
        <v>6157</v>
      </c>
      <c r="C950" s="2" t="s">
        <v>14</v>
      </c>
      <c r="D950" s="2" t="s">
        <v>6158</v>
      </c>
      <c r="E950" s="2"/>
      <c r="F950" s="2"/>
      <c r="G950" s="2"/>
      <c r="H950" s="2" t="s">
        <v>898</v>
      </c>
      <c r="I950" s="3">
        <f t="shared" si="14"/>
        <v>201</v>
      </c>
    </row>
    <row r="951" spans="1:9" ht="24" x14ac:dyDescent="0.3">
      <c r="A951" s="2" t="s">
        <v>9567</v>
      </c>
      <c r="B951" s="2" t="s">
        <v>6168</v>
      </c>
      <c r="C951" s="2" t="s">
        <v>788</v>
      </c>
      <c r="D951" s="2" t="s">
        <v>6169</v>
      </c>
      <c r="E951" s="2" t="s">
        <v>39</v>
      </c>
      <c r="F951" s="2"/>
      <c r="G951" s="2"/>
      <c r="H951" s="2"/>
      <c r="I951" s="3">
        <f t="shared" si="14"/>
        <v>203</v>
      </c>
    </row>
    <row r="952" spans="1:9" ht="24" x14ac:dyDescent="0.3">
      <c r="A952" s="2" t="s">
        <v>9567</v>
      </c>
      <c r="B952" s="2" t="s">
        <v>6173</v>
      </c>
      <c r="C952" s="2" t="s">
        <v>500</v>
      </c>
      <c r="D952" s="2" t="s">
        <v>6174</v>
      </c>
      <c r="E952" s="2" t="s">
        <v>39</v>
      </c>
      <c r="F952" s="2"/>
      <c r="G952" s="2"/>
      <c r="H952" s="2" t="s">
        <v>402</v>
      </c>
      <c r="I952" s="3">
        <f t="shared" si="14"/>
        <v>203</v>
      </c>
    </row>
    <row r="953" spans="1:9" ht="24" x14ac:dyDescent="0.3">
      <c r="A953" s="2" t="s">
        <v>9568</v>
      </c>
      <c r="B953" s="2" t="s">
        <v>6204</v>
      </c>
      <c r="C953" s="2" t="s">
        <v>6205</v>
      </c>
      <c r="D953" s="2" t="s">
        <v>9361</v>
      </c>
      <c r="E953" s="2" t="s">
        <v>2709</v>
      </c>
      <c r="F953" s="2" t="s">
        <v>1778</v>
      </c>
      <c r="G953" s="2" t="s">
        <v>1717</v>
      </c>
      <c r="H953" s="2" t="s">
        <v>194</v>
      </c>
      <c r="I953" s="3">
        <f t="shared" si="14"/>
        <v>203</v>
      </c>
    </row>
    <row r="954" spans="1:9" ht="24" x14ac:dyDescent="0.3">
      <c r="A954" s="2" t="s">
        <v>9568</v>
      </c>
      <c r="B954" s="2" t="s">
        <v>6207</v>
      </c>
      <c r="C954" s="2" t="s">
        <v>4365</v>
      </c>
      <c r="D954" s="2" t="s">
        <v>9364</v>
      </c>
      <c r="E954" s="2" t="s">
        <v>39</v>
      </c>
      <c r="F954" s="2" t="s">
        <v>2281</v>
      </c>
      <c r="G954" s="2"/>
      <c r="H954" s="2"/>
      <c r="I954" s="3">
        <f t="shared" si="14"/>
        <v>203</v>
      </c>
    </row>
    <row r="955" spans="1:9" ht="24" x14ac:dyDescent="0.3">
      <c r="A955" s="2" t="s">
        <v>9568</v>
      </c>
      <c r="B955" s="2" t="s">
        <v>6183</v>
      </c>
      <c r="C955" s="2" t="s">
        <v>554</v>
      </c>
      <c r="D955" s="2" t="s">
        <v>6184</v>
      </c>
      <c r="E955" s="2" t="s">
        <v>616</v>
      </c>
      <c r="F955" s="2"/>
      <c r="G955" s="2"/>
      <c r="H955" s="2"/>
      <c r="I955" s="3">
        <f t="shared" si="14"/>
        <v>203</v>
      </c>
    </row>
    <row r="956" spans="1:9" ht="24" x14ac:dyDescent="0.3">
      <c r="A956" s="2" t="s">
        <v>9569</v>
      </c>
      <c r="B956" s="2" t="s">
        <v>6175</v>
      </c>
      <c r="C956" s="2" t="s">
        <v>250</v>
      </c>
      <c r="D956" s="2" t="s">
        <v>6176</v>
      </c>
      <c r="E956" s="2"/>
      <c r="F956" s="2"/>
      <c r="G956" s="2"/>
      <c r="H956" s="2"/>
      <c r="I956" s="3">
        <f t="shared" si="14"/>
        <v>203</v>
      </c>
    </row>
    <row r="957" spans="1:9" ht="24" x14ac:dyDescent="0.3">
      <c r="A957" s="2" t="s">
        <v>9567</v>
      </c>
      <c r="B957" s="2" t="s">
        <v>6191</v>
      </c>
      <c r="C957" s="2"/>
      <c r="D957" s="2" t="s">
        <v>6192</v>
      </c>
      <c r="E957" s="2" t="s">
        <v>1494</v>
      </c>
      <c r="F957" s="2"/>
      <c r="G957" s="2"/>
      <c r="H957" s="2"/>
      <c r="I957" s="3">
        <f t="shared" si="14"/>
        <v>204</v>
      </c>
    </row>
    <row r="958" spans="1:9" ht="24" x14ac:dyDescent="0.3">
      <c r="A958" s="2" t="s">
        <v>9568</v>
      </c>
      <c r="B958" s="2" t="s">
        <v>6189</v>
      </c>
      <c r="C958" s="2" t="s">
        <v>3385</v>
      </c>
      <c r="D958" s="2" t="s">
        <v>6190</v>
      </c>
      <c r="E958" s="2"/>
      <c r="F958" s="2"/>
      <c r="G958" s="2"/>
      <c r="H958" s="2"/>
      <c r="I958" s="3">
        <f t="shared" si="14"/>
        <v>204</v>
      </c>
    </row>
    <row r="959" spans="1:9" ht="36" x14ac:dyDescent="0.3">
      <c r="A959" s="2" t="s">
        <v>9571</v>
      </c>
      <c r="B959" s="2" t="s">
        <v>6194</v>
      </c>
      <c r="C959" s="2" t="s">
        <v>446</v>
      </c>
      <c r="D959" s="2" t="s">
        <v>6195</v>
      </c>
      <c r="E959" s="2"/>
      <c r="F959" s="2"/>
      <c r="G959" s="2"/>
      <c r="H959" s="2"/>
      <c r="I959" s="3">
        <f t="shared" si="14"/>
        <v>205</v>
      </c>
    </row>
    <row r="960" spans="1:9" ht="24" x14ac:dyDescent="0.3">
      <c r="A960" s="2" t="s">
        <v>9571</v>
      </c>
      <c r="B960" s="2" t="s">
        <v>6231</v>
      </c>
      <c r="C960" s="2"/>
      <c r="D960" s="2" t="s">
        <v>9312</v>
      </c>
      <c r="E960" s="2"/>
      <c r="F960" s="2" t="s">
        <v>2281</v>
      </c>
      <c r="G960" s="2" t="s">
        <v>1717</v>
      </c>
      <c r="H960" s="2"/>
      <c r="I960" s="3">
        <f t="shared" si="14"/>
        <v>205</v>
      </c>
    </row>
    <row r="961" spans="1:9" ht="36" x14ac:dyDescent="0.3">
      <c r="A961" s="2" t="s">
        <v>9567</v>
      </c>
      <c r="B961" s="2" t="s">
        <v>6220</v>
      </c>
      <c r="C961" s="2" t="s">
        <v>6221</v>
      </c>
      <c r="D961" s="2" t="s">
        <v>6222</v>
      </c>
      <c r="E961" s="2"/>
      <c r="F961" s="2"/>
      <c r="G961" s="2"/>
      <c r="H961" s="2" t="s">
        <v>537</v>
      </c>
      <c r="I961" s="3">
        <f t="shared" si="14"/>
        <v>206</v>
      </c>
    </row>
    <row r="962" spans="1:9" ht="36" x14ac:dyDescent="0.3">
      <c r="A962" s="2" t="s">
        <v>9567</v>
      </c>
      <c r="B962" s="2" t="s">
        <v>6258</v>
      </c>
      <c r="C962" s="2"/>
      <c r="D962" s="2" t="s">
        <v>9011</v>
      </c>
      <c r="E962" s="2" t="s">
        <v>39</v>
      </c>
      <c r="F962" s="2" t="s">
        <v>4117</v>
      </c>
      <c r="G962" s="2" t="s">
        <v>1717</v>
      </c>
      <c r="H962" s="2"/>
      <c r="I962" s="3">
        <f t="shared" ref="I962:I1025" si="15">LEN(D962)</f>
        <v>206</v>
      </c>
    </row>
    <row r="963" spans="1:9" ht="36" x14ac:dyDescent="0.3">
      <c r="A963" s="2" t="s">
        <v>9567</v>
      </c>
      <c r="B963" s="2" t="s">
        <v>6254</v>
      </c>
      <c r="C963" s="2" t="s">
        <v>6255</v>
      </c>
      <c r="D963" s="2" t="s">
        <v>6256</v>
      </c>
      <c r="E963" s="2" t="s">
        <v>6257</v>
      </c>
      <c r="F963" s="2"/>
      <c r="G963" s="2"/>
      <c r="H963" s="2"/>
      <c r="I963" s="3">
        <f t="shared" si="15"/>
        <v>208</v>
      </c>
    </row>
    <row r="964" spans="1:9" ht="36" x14ac:dyDescent="0.3">
      <c r="A964" s="2" t="s">
        <v>9571</v>
      </c>
      <c r="B964" s="2" t="s">
        <v>6285</v>
      </c>
      <c r="C964" s="2" t="s">
        <v>113</v>
      </c>
      <c r="D964" s="2" t="s">
        <v>9407</v>
      </c>
      <c r="E964" s="2" t="s">
        <v>2121</v>
      </c>
      <c r="F964" s="2" t="s">
        <v>4117</v>
      </c>
      <c r="G964" s="2" t="s">
        <v>350</v>
      </c>
      <c r="H964" s="2"/>
      <c r="I964" s="3">
        <f t="shared" si="15"/>
        <v>208</v>
      </c>
    </row>
    <row r="965" spans="1:9" ht="36" x14ac:dyDescent="0.3">
      <c r="A965" s="2" t="s">
        <v>9567</v>
      </c>
      <c r="B965" s="2" t="s">
        <v>509</v>
      </c>
      <c r="C965" s="2" t="s">
        <v>500</v>
      </c>
      <c r="D965" s="2" t="s">
        <v>6270</v>
      </c>
      <c r="E965" s="2" t="s">
        <v>39</v>
      </c>
      <c r="F965" s="2"/>
      <c r="G965" s="2"/>
      <c r="H965" s="2" t="s">
        <v>402</v>
      </c>
      <c r="I965" s="3">
        <f t="shared" si="15"/>
        <v>209</v>
      </c>
    </row>
    <row r="966" spans="1:9" ht="36" x14ac:dyDescent="0.3">
      <c r="A966" s="2" t="s">
        <v>9567</v>
      </c>
      <c r="B966" s="2" t="s">
        <v>4297</v>
      </c>
      <c r="C966" s="2" t="s">
        <v>437</v>
      </c>
      <c r="D966" s="2" t="s">
        <v>6292</v>
      </c>
      <c r="E966" s="2" t="s">
        <v>39</v>
      </c>
      <c r="F966" s="2"/>
      <c r="G966" s="2"/>
      <c r="H966" s="2" t="s">
        <v>194</v>
      </c>
      <c r="I966" s="3">
        <f t="shared" si="15"/>
        <v>210</v>
      </c>
    </row>
    <row r="967" spans="1:9" ht="36" x14ac:dyDescent="0.3">
      <c r="A967" s="2" t="s">
        <v>9568</v>
      </c>
      <c r="B967" s="2" t="s">
        <v>6288</v>
      </c>
      <c r="C967" s="2" t="s">
        <v>4161</v>
      </c>
      <c r="D967" s="2" t="s">
        <v>6289</v>
      </c>
      <c r="E967" s="2"/>
      <c r="F967" s="2"/>
      <c r="G967" s="2" t="s">
        <v>1717</v>
      </c>
      <c r="H967" s="2" t="s">
        <v>646</v>
      </c>
      <c r="I967" s="3">
        <f t="shared" si="15"/>
        <v>210</v>
      </c>
    </row>
    <row r="968" spans="1:9" ht="36" x14ac:dyDescent="0.3">
      <c r="A968" s="2" t="s">
        <v>9568</v>
      </c>
      <c r="B968" s="2" t="s">
        <v>2867</v>
      </c>
      <c r="C968" s="2" t="s">
        <v>6324</v>
      </c>
      <c r="D968" s="2" t="s">
        <v>9366</v>
      </c>
      <c r="E968" s="2"/>
      <c r="F968" s="2" t="s">
        <v>1778</v>
      </c>
      <c r="G968" s="2" t="s">
        <v>1717</v>
      </c>
      <c r="H968" s="2"/>
      <c r="I968" s="3">
        <f t="shared" si="15"/>
        <v>211</v>
      </c>
    </row>
    <row r="969" spans="1:9" ht="36" x14ac:dyDescent="0.3">
      <c r="A969" s="2" t="s">
        <v>9567</v>
      </c>
      <c r="B969" s="2" t="s">
        <v>2791</v>
      </c>
      <c r="C969" s="2" t="s">
        <v>1575</v>
      </c>
      <c r="D969" s="2" t="s">
        <v>6314</v>
      </c>
      <c r="E969" s="2"/>
      <c r="F969" s="2"/>
      <c r="G969" s="2"/>
      <c r="H969" s="2"/>
      <c r="I969" s="3">
        <f t="shared" si="15"/>
        <v>212</v>
      </c>
    </row>
    <row r="970" spans="1:9" ht="36" x14ac:dyDescent="0.3">
      <c r="A970" s="2" t="s">
        <v>9567</v>
      </c>
      <c r="B970" s="2" t="s">
        <v>6348</v>
      </c>
      <c r="C970" s="2" t="s">
        <v>911</v>
      </c>
      <c r="D970" s="2" t="s">
        <v>9012</v>
      </c>
      <c r="E970" s="2" t="s">
        <v>3251</v>
      </c>
      <c r="F970" s="2" t="s">
        <v>1778</v>
      </c>
      <c r="G970" s="2" t="s">
        <v>1717</v>
      </c>
      <c r="H970" s="2" t="s">
        <v>646</v>
      </c>
      <c r="I970" s="3">
        <f t="shared" si="15"/>
        <v>213</v>
      </c>
    </row>
    <row r="971" spans="1:9" ht="36" x14ac:dyDescent="0.3">
      <c r="A971" s="2" t="s">
        <v>9568</v>
      </c>
      <c r="B971" s="2" t="s">
        <v>4242</v>
      </c>
      <c r="C971" s="2" t="s">
        <v>4161</v>
      </c>
      <c r="D971" s="2" t="s">
        <v>6333</v>
      </c>
      <c r="E971" s="2" t="s">
        <v>39</v>
      </c>
      <c r="F971" s="2"/>
      <c r="G971" s="2"/>
      <c r="H971" s="2"/>
      <c r="I971" s="3">
        <f t="shared" si="15"/>
        <v>214</v>
      </c>
    </row>
    <row r="972" spans="1:9" ht="36" x14ac:dyDescent="0.3">
      <c r="A972" s="2" t="s">
        <v>9568</v>
      </c>
      <c r="B972" s="2" t="s">
        <v>5801</v>
      </c>
      <c r="C972" s="2" t="s">
        <v>6334</v>
      </c>
      <c r="D972" s="2" t="s">
        <v>6335</v>
      </c>
      <c r="E972" s="2" t="s">
        <v>39</v>
      </c>
      <c r="F972" s="2"/>
      <c r="G972" s="2"/>
      <c r="H972" s="2" t="s">
        <v>194</v>
      </c>
      <c r="I972" s="3">
        <f t="shared" si="15"/>
        <v>214</v>
      </c>
    </row>
    <row r="973" spans="1:9" ht="36" x14ac:dyDescent="0.3">
      <c r="A973" s="2" t="s">
        <v>9569</v>
      </c>
      <c r="B973" s="2" t="s">
        <v>6340</v>
      </c>
      <c r="C973" s="2" t="s">
        <v>4733</v>
      </c>
      <c r="D973" s="2" t="s">
        <v>6341</v>
      </c>
      <c r="E973" s="2"/>
      <c r="F973" s="2"/>
      <c r="G973" s="2"/>
      <c r="H973" s="2" t="s">
        <v>1644</v>
      </c>
      <c r="I973" s="3">
        <f t="shared" si="15"/>
        <v>215</v>
      </c>
    </row>
    <row r="974" spans="1:9" ht="36" x14ac:dyDescent="0.3">
      <c r="A974" s="2" t="s">
        <v>9567</v>
      </c>
      <c r="B974" s="2" t="s">
        <v>6380</v>
      </c>
      <c r="C974" s="2" t="s">
        <v>6381</v>
      </c>
      <c r="D974" s="2" t="s">
        <v>9013</v>
      </c>
      <c r="E974" s="2"/>
      <c r="F974" s="2" t="s">
        <v>2281</v>
      </c>
      <c r="G974" s="2" t="s">
        <v>1717</v>
      </c>
      <c r="H974" s="2"/>
      <c r="I974" s="3">
        <f t="shared" si="15"/>
        <v>216</v>
      </c>
    </row>
    <row r="975" spans="1:9" ht="36" x14ac:dyDescent="0.3">
      <c r="A975" s="2" t="s">
        <v>9568</v>
      </c>
      <c r="B975" s="2" t="s">
        <v>6360</v>
      </c>
      <c r="C975" s="2" t="s">
        <v>1754</v>
      </c>
      <c r="D975" s="2" t="s">
        <v>6361</v>
      </c>
      <c r="E975" s="2"/>
      <c r="F975" s="2"/>
      <c r="G975" s="2"/>
      <c r="H975" s="2"/>
      <c r="I975" s="3">
        <f t="shared" si="15"/>
        <v>216</v>
      </c>
    </row>
    <row r="976" spans="1:9" ht="36" x14ac:dyDescent="0.3">
      <c r="A976" s="2" t="s">
        <v>9568</v>
      </c>
      <c r="B976" s="2" t="s">
        <v>2113</v>
      </c>
      <c r="C976" s="2" t="s">
        <v>6391</v>
      </c>
      <c r="D976" s="2" t="s">
        <v>9397</v>
      </c>
      <c r="E976" s="2" t="s">
        <v>885</v>
      </c>
      <c r="F976" s="2" t="s">
        <v>1778</v>
      </c>
      <c r="G976" s="2" t="s">
        <v>1717</v>
      </c>
      <c r="H976" s="2"/>
      <c r="I976" s="3">
        <f t="shared" si="15"/>
        <v>216</v>
      </c>
    </row>
    <row r="977" spans="1:9" ht="36" x14ac:dyDescent="0.3">
      <c r="A977" s="2" t="s">
        <v>9571</v>
      </c>
      <c r="B977" s="2" t="s">
        <v>6425</v>
      </c>
      <c r="C977" s="2" t="s">
        <v>408</v>
      </c>
      <c r="D977" s="2" t="s">
        <v>9313</v>
      </c>
      <c r="E977" s="2" t="s">
        <v>6426</v>
      </c>
      <c r="F977" s="2" t="s">
        <v>4117</v>
      </c>
      <c r="G977" s="2" t="s">
        <v>1717</v>
      </c>
      <c r="H977" s="2"/>
      <c r="I977" s="3">
        <f t="shared" si="15"/>
        <v>218</v>
      </c>
    </row>
    <row r="978" spans="1:9" ht="36" x14ac:dyDescent="0.3">
      <c r="A978" s="2" t="s">
        <v>9568</v>
      </c>
      <c r="B978" s="2" t="s">
        <v>6431</v>
      </c>
      <c r="C978" s="2" t="s">
        <v>6432</v>
      </c>
      <c r="D978" s="2" t="s">
        <v>9352</v>
      </c>
      <c r="E978" s="2" t="s">
        <v>6433</v>
      </c>
      <c r="F978" s="2" t="s">
        <v>1778</v>
      </c>
      <c r="G978" s="2" t="s">
        <v>1717</v>
      </c>
      <c r="H978" s="2" t="s">
        <v>898</v>
      </c>
      <c r="I978" s="3">
        <f t="shared" si="15"/>
        <v>219</v>
      </c>
    </row>
    <row r="979" spans="1:9" ht="36" x14ac:dyDescent="0.3">
      <c r="A979" s="2" t="s">
        <v>9568</v>
      </c>
      <c r="B979" s="2" t="s">
        <v>6398</v>
      </c>
      <c r="C979" s="2" t="s">
        <v>6399</v>
      </c>
      <c r="D979" s="2" t="s">
        <v>6400</v>
      </c>
      <c r="E979" s="2" t="s">
        <v>39</v>
      </c>
      <c r="F979" s="2"/>
      <c r="G979" s="2"/>
      <c r="H979" s="2"/>
      <c r="I979" s="3">
        <f t="shared" si="15"/>
        <v>219</v>
      </c>
    </row>
    <row r="980" spans="1:9" ht="36" x14ac:dyDescent="0.3">
      <c r="A980" s="2" t="s">
        <v>9569</v>
      </c>
      <c r="B980" s="2" t="s">
        <v>6392</v>
      </c>
      <c r="C980" s="2" t="s">
        <v>6393</v>
      </c>
      <c r="D980" s="2" t="s">
        <v>6394</v>
      </c>
      <c r="E980" s="2"/>
      <c r="F980" s="2"/>
      <c r="G980" s="2"/>
      <c r="H980" s="2"/>
      <c r="I980" s="3">
        <f t="shared" si="15"/>
        <v>219</v>
      </c>
    </row>
    <row r="981" spans="1:9" ht="36" x14ac:dyDescent="0.3">
      <c r="A981" s="2" t="s">
        <v>9568</v>
      </c>
      <c r="B981" s="2" t="s">
        <v>3069</v>
      </c>
      <c r="C981" s="2" t="s">
        <v>6446</v>
      </c>
      <c r="D981" s="2" t="s">
        <v>9347</v>
      </c>
      <c r="E981" s="2" t="s">
        <v>39</v>
      </c>
      <c r="F981" s="2" t="s">
        <v>1778</v>
      </c>
      <c r="G981" s="2" t="s">
        <v>1717</v>
      </c>
      <c r="H981" s="2"/>
      <c r="I981" s="3">
        <f t="shared" si="15"/>
        <v>220</v>
      </c>
    </row>
    <row r="982" spans="1:9" ht="36" x14ac:dyDescent="0.3">
      <c r="A982" s="2" t="s">
        <v>9569</v>
      </c>
      <c r="B982" s="2" t="s">
        <v>6416</v>
      </c>
      <c r="C982" s="2"/>
      <c r="D982" s="2" t="s">
        <v>6417</v>
      </c>
      <c r="E982" s="2"/>
      <c r="F982" s="2"/>
      <c r="G982" s="2"/>
      <c r="H982" s="2"/>
      <c r="I982" s="3">
        <f t="shared" si="15"/>
        <v>220</v>
      </c>
    </row>
    <row r="983" spans="1:9" ht="36" x14ac:dyDescent="0.3">
      <c r="A983" s="2" t="s">
        <v>9571</v>
      </c>
      <c r="B983" s="2" t="s">
        <v>1321</v>
      </c>
      <c r="C983" s="2" t="s">
        <v>4733</v>
      </c>
      <c r="D983" s="2" t="s">
        <v>6414</v>
      </c>
      <c r="E983" s="2"/>
      <c r="F983" s="2"/>
      <c r="G983" s="2"/>
      <c r="H983" s="2" t="s">
        <v>1644</v>
      </c>
      <c r="I983" s="3">
        <f t="shared" si="15"/>
        <v>220</v>
      </c>
    </row>
    <row r="984" spans="1:9" ht="36" x14ac:dyDescent="0.3">
      <c r="A984" s="2" t="s">
        <v>9568</v>
      </c>
      <c r="B984" s="2" t="s">
        <v>6427</v>
      </c>
      <c r="C984" s="2" t="s">
        <v>1371</v>
      </c>
      <c r="D984" s="2" t="s">
        <v>6428</v>
      </c>
      <c r="E984" s="2"/>
      <c r="F984" s="2"/>
      <c r="G984" s="2" t="s">
        <v>1717</v>
      </c>
      <c r="H984" s="2" t="s">
        <v>646</v>
      </c>
      <c r="I984" s="3">
        <f t="shared" si="15"/>
        <v>221</v>
      </c>
    </row>
    <row r="985" spans="1:9" ht="36" x14ac:dyDescent="0.3">
      <c r="A985" s="2" t="s">
        <v>9567</v>
      </c>
      <c r="B985" s="2" t="s">
        <v>6451</v>
      </c>
      <c r="C985" s="2" t="s">
        <v>1647</v>
      </c>
      <c r="D985" s="2" t="s">
        <v>6452</v>
      </c>
      <c r="E985" s="2"/>
      <c r="F985" s="2"/>
      <c r="G985" s="2"/>
      <c r="H985" s="2" t="s">
        <v>1644</v>
      </c>
      <c r="I985" s="3">
        <f t="shared" si="15"/>
        <v>223</v>
      </c>
    </row>
    <row r="986" spans="1:9" ht="36" x14ac:dyDescent="0.3">
      <c r="A986" s="2" t="s">
        <v>9568</v>
      </c>
      <c r="B986" s="2" t="s">
        <v>3872</v>
      </c>
      <c r="C986" s="2" t="s">
        <v>1371</v>
      </c>
      <c r="D986" s="2" t="s">
        <v>8716</v>
      </c>
      <c r="E986" s="2" t="s">
        <v>1960</v>
      </c>
      <c r="F986" s="2"/>
      <c r="G986" s="2" t="s">
        <v>1717</v>
      </c>
      <c r="H986" s="2" t="s">
        <v>646</v>
      </c>
      <c r="I986" s="3">
        <f t="shared" si="15"/>
        <v>223</v>
      </c>
    </row>
    <row r="987" spans="1:9" ht="36" x14ac:dyDescent="0.3">
      <c r="A987" s="2" t="s">
        <v>9568</v>
      </c>
      <c r="B987" s="2" t="s">
        <v>5614</v>
      </c>
      <c r="C987" s="2" t="s">
        <v>1178</v>
      </c>
      <c r="D987" s="2" t="s">
        <v>6463</v>
      </c>
      <c r="E987" s="2" t="s">
        <v>39</v>
      </c>
      <c r="F987" s="2"/>
      <c r="G987" s="2"/>
      <c r="H987" s="2"/>
      <c r="I987" s="3">
        <f t="shared" si="15"/>
        <v>223</v>
      </c>
    </row>
    <row r="988" spans="1:9" ht="36" x14ac:dyDescent="0.3">
      <c r="A988" s="2" t="s">
        <v>9568</v>
      </c>
      <c r="B988" s="2" t="s">
        <v>6464</v>
      </c>
      <c r="C988" s="2" t="s">
        <v>1244</v>
      </c>
      <c r="D988" s="2" t="s">
        <v>6465</v>
      </c>
      <c r="E988" s="2" t="s">
        <v>39</v>
      </c>
      <c r="F988" s="2"/>
      <c r="G988" s="2"/>
      <c r="H988" s="2"/>
      <c r="I988" s="3">
        <f t="shared" si="15"/>
        <v>223</v>
      </c>
    </row>
    <row r="989" spans="1:9" ht="36" x14ac:dyDescent="0.3">
      <c r="A989" s="2" t="s">
        <v>9568</v>
      </c>
      <c r="B989" s="2" t="s">
        <v>4455</v>
      </c>
      <c r="C989" s="2" t="s">
        <v>6391</v>
      </c>
      <c r="D989" s="2" t="s">
        <v>9400</v>
      </c>
      <c r="E989" s="2" t="s">
        <v>6516</v>
      </c>
      <c r="F989" s="2" t="s">
        <v>1778</v>
      </c>
      <c r="G989" s="2" t="s">
        <v>1717</v>
      </c>
      <c r="H989" s="2"/>
      <c r="I989" s="3">
        <f t="shared" si="15"/>
        <v>226</v>
      </c>
    </row>
    <row r="990" spans="1:9" ht="36" x14ac:dyDescent="0.3">
      <c r="A990" s="2" t="s">
        <v>9571</v>
      </c>
      <c r="B990" s="2" t="s">
        <v>6520</v>
      </c>
      <c r="C990" s="2" t="s">
        <v>3656</v>
      </c>
      <c r="D990" s="2" t="s">
        <v>9314</v>
      </c>
      <c r="E990" s="2" t="s">
        <v>5406</v>
      </c>
      <c r="F990" s="2" t="s">
        <v>350</v>
      </c>
      <c r="G990" s="2" t="s">
        <v>350</v>
      </c>
      <c r="H990" s="2"/>
      <c r="I990" s="3">
        <f t="shared" si="15"/>
        <v>227</v>
      </c>
    </row>
    <row r="991" spans="1:9" ht="36" x14ac:dyDescent="0.3">
      <c r="A991" s="2" t="s">
        <v>9568</v>
      </c>
      <c r="B991" s="2" t="s">
        <v>3384</v>
      </c>
      <c r="C991" s="2" t="s">
        <v>2519</v>
      </c>
      <c r="D991" s="2" t="s">
        <v>6518</v>
      </c>
      <c r="E991" s="2"/>
      <c r="F991" s="2"/>
      <c r="G991" s="2"/>
      <c r="H991" s="2" t="s">
        <v>1176</v>
      </c>
      <c r="I991" s="3">
        <f t="shared" si="15"/>
        <v>229</v>
      </c>
    </row>
    <row r="992" spans="1:9" ht="36" x14ac:dyDescent="0.3">
      <c r="A992" s="2" t="s">
        <v>9571</v>
      </c>
      <c r="B992" s="2" t="s">
        <v>6543</v>
      </c>
      <c r="C992" s="2" t="s">
        <v>3656</v>
      </c>
      <c r="D992" s="2" t="s">
        <v>9315</v>
      </c>
      <c r="E992" s="2" t="s">
        <v>1188</v>
      </c>
      <c r="F992" s="2" t="s">
        <v>350</v>
      </c>
      <c r="G992" s="2" t="s">
        <v>1717</v>
      </c>
      <c r="H992" s="2"/>
      <c r="I992" s="3">
        <f t="shared" si="15"/>
        <v>229</v>
      </c>
    </row>
    <row r="993" spans="1:9" ht="36" x14ac:dyDescent="0.3">
      <c r="A993" s="2" t="s">
        <v>9571</v>
      </c>
      <c r="B993" s="2" t="s">
        <v>6544</v>
      </c>
      <c r="C993" s="2" t="s">
        <v>3656</v>
      </c>
      <c r="D993" s="2" t="s">
        <v>9316</v>
      </c>
      <c r="E993" s="2" t="s">
        <v>5123</v>
      </c>
      <c r="F993" s="2" t="s">
        <v>350</v>
      </c>
      <c r="G993" s="2" t="s">
        <v>350</v>
      </c>
      <c r="H993" s="2"/>
      <c r="I993" s="3">
        <f t="shared" si="15"/>
        <v>229</v>
      </c>
    </row>
    <row r="994" spans="1:9" ht="36" x14ac:dyDescent="0.3">
      <c r="A994" s="2" t="s">
        <v>9568</v>
      </c>
      <c r="B994" s="2" t="s">
        <v>6536</v>
      </c>
      <c r="C994" s="2" t="s">
        <v>1642</v>
      </c>
      <c r="D994" s="2" t="s">
        <v>6537</v>
      </c>
      <c r="E994" s="2"/>
      <c r="F994" s="2"/>
      <c r="G994" s="2"/>
      <c r="H994" s="2" t="s">
        <v>1644</v>
      </c>
      <c r="I994" s="3">
        <f t="shared" si="15"/>
        <v>230</v>
      </c>
    </row>
    <row r="995" spans="1:9" ht="36" x14ac:dyDescent="0.3">
      <c r="A995" s="2" t="s">
        <v>9568</v>
      </c>
      <c r="B995" s="2" t="s">
        <v>642</v>
      </c>
      <c r="C995" s="2" t="s">
        <v>4161</v>
      </c>
      <c r="D995" s="2" t="s">
        <v>9375</v>
      </c>
      <c r="E995" s="2"/>
      <c r="F995" s="2" t="s">
        <v>1778</v>
      </c>
      <c r="G995" s="2" t="s">
        <v>4507</v>
      </c>
      <c r="H995" s="2"/>
      <c r="I995" s="3">
        <f t="shared" si="15"/>
        <v>230</v>
      </c>
    </row>
    <row r="996" spans="1:9" ht="36" x14ac:dyDescent="0.3">
      <c r="A996" s="2" t="s">
        <v>9568</v>
      </c>
      <c r="B996" s="2" t="s">
        <v>1321</v>
      </c>
      <c r="C996" s="2" t="s">
        <v>4161</v>
      </c>
      <c r="D996" s="2" t="s">
        <v>9376</v>
      </c>
      <c r="E996" s="2"/>
      <c r="F996" s="2" t="s">
        <v>1778</v>
      </c>
      <c r="G996" s="2" t="s">
        <v>4507</v>
      </c>
      <c r="H996" s="2"/>
      <c r="I996" s="3">
        <f t="shared" si="15"/>
        <v>230</v>
      </c>
    </row>
    <row r="997" spans="1:9" ht="36" x14ac:dyDescent="0.3">
      <c r="A997" s="2" t="s">
        <v>9568</v>
      </c>
      <c r="B997" s="2" t="s">
        <v>1358</v>
      </c>
      <c r="C997" s="2" t="s">
        <v>1359</v>
      </c>
      <c r="D997" s="2" t="s">
        <v>9390</v>
      </c>
      <c r="E997" s="2" t="s">
        <v>39</v>
      </c>
      <c r="F997" s="2" t="s">
        <v>1778</v>
      </c>
      <c r="G997" s="2" t="s">
        <v>1717</v>
      </c>
      <c r="H997" s="2" t="s">
        <v>646</v>
      </c>
      <c r="I997" s="3">
        <f t="shared" si="15"/>
        <v>230</v>
      </c>
    </row>
    <row r="998" spans="1:9" ht="36" x14ac:dyDescent="0.3">
      <c r="A998" s="2" t="s">
        <v>9568</v>
      </c>
      <c r="B998" s="2" t="s">
        <v>195</v>
      </c>
      <c r="C998" s="2" t="s">
        <v>1244</v>
      </c>
      <c r="D998" s="2" t="s">
        <v>6570</v>
      </c>
      <c r="E998" s="2" t="s">
        <v>39</v>
      </c>
      <c r="F998" s="2"/>
      <c r="G998" s="2"/>
      <c r="H998" s="2"/>
      <c r="I998" s="3">
        <f t="shared" si="15"/>
        <v>233</v>
      </c>
    </row>
    <row r="999" spans="1:9" ht="36" x14ac:dyDescent="0.3">
      <c r="A999" s="2" t="s">
        <v>9567</v>
      </c>
      <c r="B999" s="2" t="s">
        <v>6584</v>
      </c>
      <c r="C999" s="2"/>
      <c r="D999" s="2" t="s">
        <v>6585</v>
      </c>
      <c r="E999" s="2" t="s">
        <v>39</v>
      </c>
      <c r="F999" s="2"/>
      <c r="G999" s="2"/>
      <c r="H999" s="2"/>
      <c r="I999" s="3">
        <f t="shared" si="15"/>
        <v>234</v>
      </c>
    </row>
    <row r="1000" spans="1:9" ht="36" x14ac:dyDescent="0.3">
      <c r="A1000" s="2" t="s">
        <v>9567</v>
      </c>
      <c r="B1000" s="2" t="s">
        <v>6604</v>
      </c>
      <c r="C1000" s="2" t="s">
        <v>6605</v>
      </c>
      <c r="D1000" s="2" t="s">
        <v>9014</v>
      </c>
      <c r="E1000" s="2"/>
      <c r="F1000" s="2" t="s">
        <v>4117</v>
      </c>
      <c r="G1000" s="2" t="s">
        <v>1717</v>
      </c>
      <c r="H1000" s="2"/>
      <c r="I1000" s="3">
        <f t="shared" si="15"/>
        <v>234</v>
      </c>
    </row>
    <row r="1001" spans="1:9" ht="36" x14ac:dyDescent="0.3">
      <c r="A1001" s="2" t="s">
        <v>9568</v>
      </c>
      <c r="B1001" s="2" t="s">
        <v>1634</v>
      </c>
      <c r="C1001" s="2" t="s">
        <v>1371</v>
      </c>
      <c r="D1001" s="2" t="s">
        <v>6571</v>
      </c>
      <c r="E1001" s="2"/>
      <c r="F1001" s="2"/>
      <c r="G1001" s="2" t="s">
        <v>1717</v>
      </c>
      <c r="H1001" s="2" t="s">
        <v>646</v>
      </c>
      <c r="I1001" s="3">
        <f t="shared" si="15"/>
        <v>234</v>
      </c>
    </row>
    <row r="1002" spans="1:9" ht="36" x14ac:dyDescent="0.3">
      <c r="A1002" s="2" t="s">
        <v>9571</v>
      </c>
      <c r="B1002" s="2" t="s">
        <v>4732</v>
      </c>
      <c r="C1002" s="2" t="s">
        <v>1647</v>
      </c>
      <c r="D1002" s="2" t="s">
        <v>6574</v>
      </c>
      <c r="E1002" s="2"/>
      <c r="F1002" s="2"/>
      <c r="G1002" s="2"/>
      <c r="H1002" s="2" t="s">
        <v>1644</v>
      </c>
      <c r="I1002" s="3">
        <f t="shared" si="15"/>
        <v>234</v>
      </c>
    </row>
    <row r="1003" spans="1:9" ht="36" x14ac:dyDescent="0.3">
      <c r="A1003" s="2" t="s">
        <v>9568</v>
      </c>
      <c r="B1003" s="2" t="s">
        <v>642</v>
      </c>
      <c r="C1003" s="2" t="s">
        <v>6614</v>
      </c>
      <c r="D1003" s="2" t="s">
        <v>9367</v>
      </c>
      <c r="E1003" s="2"/>
      <c r="F1003" s="2" t="s">
        <v>1778</v>
      </c>
      <c r="G1003" s="2" t="s">
        <v>4507</v>
      </c>
      <c r="H1003" s="2" t="s">
        <v>402</v>
      </c>
      <c r="I1003" s="3">
        <f t="shared" si="15"/>
        <v>235</v>
      </c>
    </row>
    <row r="1004" spans="1:9" ht="36" x14ac:dyDescent="0.3">
      <c r="A1004" s="2" t="s">
        <v>9568</v>
      </c>
      <c r="B1004" s="2" t="s">
        <v>3872</v>
      </c>
      <c r="C1004" s="2" t="s">
        <v>6606</v>
      </c>
      <c r="D1004" s="2" t="s">
        <v>8723</v>
      </c>
      <c r="E1004" s="2" t="s">
        <v>1960</v>
      </c>
      <c r="F1004" s="2"/>
      <c r="G1004" s="2"/>
      <c r="H1004" s="2" t="s">
        <v>194</v>
      </c>
      <c r="I1004" s="3">
        <f t="shared" si="15"/>
        <v>236</v>
      </c>
    </row>
    <row r="1005" spans="1:9" ht="36" x14ac:dyDescent="0.3">
      <c r="A1005" s="2" t="s">
        <v>9568</v>
      </c>
      <c r="B1005" s="2" t="s">
        <v>3069</v>
      </c>
      <c r="C1005" s="2" t="s">
        <v>6645</v>
      </c>
      <c r="D1005" s="2" t="s">
        <v>9392</v>
      </c>
      <c r="E1005" s="2" t="s">
        <v>39</v>
      </c>
      <c r="F1005" s="2" t="s">
        <v>1778</v>
      </c>
      <c r="G1005" s="2" t="s">
        <v>1717</v>
      </c>
      <c r="H1005" s="2"/>
      <c r="I1005" s="3">
        <f t="shared" si="15"/>
        <v>237</v>
      </c>
    </row>
    <row r="1006" spans="1:9" ht="36" x14ac:dyDescent="0.3">
      <c r="A1006" s="2" t="s">
        <v>9568</v>
      </c>
      <c r="B1006" s="2" t="s">
        <v>2721</v>
      </c>
      <c r="C1006" s="2" t="s">
        <v>4161</v>
      </c>
      <c r="D1006" s="2" t="s">
        <v>9372</v>
      </c>
      <c r="E1006" s="2"/>
      <c r="F1006" s="2" t="s">
        <v>1778</v>
      </c>
      <c r="G1006" s="2" t="s">
        <v>4507</v>
      </c>
      <c r="H1006" s="2"/>
      <c r="I1006" s="3">
        <f t="shared" si="15"/>
        <v>239</v>
      </c>
    </row>
    <row r="1007" spans="1:9" ht="36" x14ac:dyDescent="0.3">
      <c r="A1007" s="2" t="s">
        <v>9568</v>
      </c>
      <c r="B1007" s="2" t="s">
        <v>6664</v>
      </c>
      <c r="C1007" s="2" t="s">
        <v>4161</v>
      </c>
      <c r="D1007" s="2" t="s">
        <v>9373</v>
      </c>
      <c r="E1007" s="2"/>
      <c r="F1007" s="2" t="s">
        <v>1778</v>
      </c>
      <c r="G1007" s="2" t="s">
        <v>4507</v>
      </c>
      <c r="H1007" s="2"/>
      <c r="I1007" s="3">
        <f t="shared" si="15"/>
        <v>239</v>
      </c>
    </row>
    <row r="1008" spans="1:9" ht="36" x14ac:dyDescent="0.3">
      <c r="A1008" s="2" t="s">
        <v>9568</v>
      </c>
      <c r="B1008" s="2" t="s">
        <v>6646</v>
      </c>
      <c r="C1008" s="2" t="s">
        <v>1371</v>
      </c>
      <c r="D1008" s="2" t="s">
        <v>6647</v>
      </c>
      <c r="E1008" s="2" t="s">
        <v>2524</v>
      </c>
      <c r="F1008" s="2"/>
      <c r="G1008" s="2" t="s">
        <v>1717</v>
      </c>
      <c r="H1008" s="2"/>
      <c r="I1008" s="3">
        <f t="shared" si="15"/>
        <v>240</v>
      </c>
    </row>
    <row r="1009" spans="1:9" ht="36" x14ac:dyDescent="0.3">
      <c r="A1009" s="2" t="s">
        <v>9568</v>
      </c>
      <c r="B1009" s="2" t="s">
        <v>1321</v>
      </c>
      <c r="C1009" s="2" t="s">
        <v>4161</v>
      </c>
      <c r="D1009" s="2" t="s">
        <v>9374</v>
      </c>
      <c r="E1009" s="2"/>
      <c r="F1009" s="2" t="s">
        <v>1778</v>
      </c>
      <c r="G1009" s="2" t="s">
        <v>4507</v>
      </c>
      <c r="H1009" s="2"/>
      <c r="I1009" s="3">
        <f t="shared" si="15"/>
        <v>240</v>
      </c>
    </row>
    <row r="1010" spans="1:9" ht="36" x14ac:dyDescent="0.3">
      <c r="A1010" s="2" t="s">
        <v>9570</v>
      </c>
      <c r="B1010" s="2" t="s">
        <v>6659</v>
      </c>
      <c r="C1010" s="2"/>
      <c r="D1010" s="2" t="s">
        <v>6660</v>
      </c>
      <c r="E1010" s="2"/>
      <c r="F1010" s="2"/>
      <c r="G1010" s="2"/>
      <c r="H1010" s="2"/>
      <c r="I1010" s="3">
        <f t="shared" si="15"/>
        <v>241</v>
      </c>
    </row>
    <row r="1011" spans="1:9" ht="36" x14ac:dyDescent="0.3">
      <c r="A1011" s="2" t="s">
        <v>9571</v>
      </c>
      <c r="B1011" s="2" t="s">
        <v>6661</v>
      </c>
      <c r="C1011" s="2" t="s">
        <v>6662</v>
      </c>
      <c r="D1011" s="2" t="s">
        <v>6663</v>
      </c>
      <c r="E1011" s="2" t="s">
        <v>39</v>
      </c>
      <c r="F1011" s="2"/>
      <c r="G1011" s="2"/>
      <c r="H1011" s="2"/>
      <c r="I1011" s="3">
        <f t="shared" si="15"/>
        <v>241</v>
      </c>
    </row>
    <row r="1012" spans="1:9" ht="36" x14ac:dyDescent="0.3">
      <c r="A1012" s="2" t="s">
        <v>9571</v>
      </c>
      <c r="B1012" s="2" t="s">
        <v>6674</v>
      </c>
      <c r="C1012" s="2" t="s">
        <v>6675</v>
      </c>
      <c r="D1012" s="2" t="s">
        <v>9317</v>
      </c>
      <c r="E1012" s="2" t="s">
        <v>4552</v>
      </c>
      <c r="F1012" s="2" t="s">
        <v>350</v>
      </c>
      <c r="G1012" s="2" t="s">
        <v>350</v>
      </c>
      <c r="H1012" s="2"/>
      <c r="I1012" s="3">
        <f t="shared" si="15"/>
        <v>241</v>
      </c>
    </row>
    <row r="1013" spans="1:9" ht="36" x14ac:dyDescent="0.3">
      <c r="A1013" s="2" t="s">
        <v>9568</v>
      </c>
      <c r="B1013" s="2" t="s">
        <v>2603</v>
      </c>
      <c r="C1013" s="2" t="s">
        <v>259</v>
      </c>
      <c r="D1013" s="2" t="s">
        <v>6677</v>
      </c>
      <c r="E1013" s="2"/>
      <c r="F1013" s="2"/>
      <c r="G1013" s="2"/>
      <c r="H1013" s="2"/>
      <c r="I1013" s="3">
        <f t="shared" si="15"/>
        <v>243</v>
      </c>
    </row>
    <row r="1014" spans="1:9" ht="36" x14ac:dyDescent="0.3">
      <c r="A1014" s="2" t="s">
        <v>9568</v>
      </c>
      <c r="B1014" s="2" t="s">
        <v>5290</v>
      </c>
      <c r="C1014" s="2" t="s">
        <v>875</v>
      </c>
      <c r="D1014" s="2" t="s">
        <v>6678</v>
      </c>
      <c r="E1014" s="2"/>
      <c r="F1014" s="2"/>
      <c r="G1014" s="2"/>
      <c r="H1014" s="2" t="s">
        <v>194</v>
      </c>
      <c r="I1014" s="3">
        <f t="shared" si="15"/>
        <v>243</v>
      </c>
    </row>
    <row r="1015" spans="1:9" ht="36" x14ac:dyDescent="0.3">
      <c r="A1015" s="2" t="s">
        <v>9571</v>
      </c>
      <c r="B1015" s="2" t="s">
        <v>6680</v>
      </c>
      <c r="C1015" s="2" t="s">
        <v>2063</v>
      </c>
      <c r="D1015" s="2" t="s">
        <v>6681</v>
      </c>
      <c r="E1015" s="2"/>
      <c r="F1015" s="2"/>
      <c r="G1015" s="2"/>
      <c r="H1015" s="2" t="s">
        <v>194</v>
      </c>
      <c r="I1015" s="3">
        <f t="shared" si="15"/>
        <v>244</v>
      </c>
    </row>
    <row r="1016" spans="1:9" ht="36" x14ac:dyDescent="0.3">
      <c r="A1016" s="2" t="s">
        <v>9568</v>
      </c>
      <c r="B1016" s="2" t="s">
        <v>6713</v>
      </c>
      <c r="C1016" s="2" t="s">
        <v>4161</v>
      </c>
      <c r="D1016" s="2" t="s">
        <v>9377</v>
      </c>
      <c r="E1016" s="2"/>
      <c r="F1016" s="2" t="s">
        <v>1778</v>
      </c>
      <c r="G1016" s="2" t="s">
        <v>4507</v>
      </c>
      <c r="H1016" s="2" t="s">
        <v>646</v>
      </c>
      <c r="I1016" s="3">
        <f t="shared" si="15"/>
        <v>246</v>
      </c>
    </row>
    <row r="1017" spans="1:9" ht="36" x14ac:dyDescent="0.3">
      <c r="A1017" s="2" t="s">
        <v>9568</v>
      </c>
      <c r="B1017" s="2" t="s">
        <v>6716</v>
      </c>
      <c r="C1017" s="2" t="s">
        <v>6717</v>
      </c>
      <c r="D1017" s="2" t="s">
        <v>9346</v>
      </c>
      <c r="E1017" s="2" t="s">
        <v>734</v>
      </c>
      <c r="F1017" s="2" t="s">
        <v>1778</v>
      </c>
      <c r="G1017" s="2" t="s">
        <v>1717</v>
      </c>
      <c r="H1017" s="2" t="s">
        <v>646</v>
      </c>
      <c r="I1017" s="3">
        <f t="shared" si="15"/>
        <v>247</v>
      </c>
    </row>
    <row r="1018" spans="1:9" ht="36" x14ac:dyDescent="0.3">
      <c r="A1018" s="2" t="s">
        <v>9568</v>
      </c>
      <c r="B1018" s="2" t="s">
        <v>323</v>
      </c>
      <c r="C1018" s="2" t="s">
        <v>1935</v>
      </c>
      <c r="D1018" s="2" t="s">
        <v>6712</v>
      </c>
      <c r="E1018" s="2"/>
      <c r="F1018" s="2"/>
      <c r="G1018" s="2"/>
      <c r="H1018" s="2"/>
      <c r="I1018" s="3">
        <f t="shared" si="15"/>
        <v>248</v>
      </c>
    </row>
    <row r="1019" spans="1:9" ht="36" x14ac:dyDescent="0.3">
      <c r="A1019" s="2" t="s">
        <v>9571</v>
      </c>
      <c r="B1019" s="2" t="s">
        <v>6724</v>
      </c>
      <c r="C1019" s="2" t="s">
        <v>4696</v>
      </c>
      <c r="D1019" s="2" t="s">
        <v>6725</v>
      </c>
      <c r="E1019" s="2" t="s">
        <v>39</v>
      </c>
      <c r="F1019" s="2"/>
      <c r="G1019" s="2"/>
      <c r="H1019" s="2" t="s">
        <v>646</v>
      </c>
      <c r="I1019" s="3">
        <f t="shared" si="15"/>
        <v>249</v>
      </c>
    </row>
    <row r="1020" spans="1:9" ht="36" x14ac:dyDescent="0.3">
      <c r="A1020" s="2" t="s">
        <v>9571</v>
      </c>
      <c r="B1020" s="2" t="s">
        <v>6740</v>
      </c>
      <c r="C1020" s="2" t="s">
        <v>896</v>
      </c>
      <c r="D1020" s="2" t="s">
        <v>9318</v>
      </c>
      <c r="E1020" s="2" t="s">
        <v>1272</v>
      </c>
      <c r="F1020" s="2" t="s">
        <v>1778</v>
      </c>
      <c r="G1020" s="2" t="s">
        <v>1717</v>
      </c>
      <c r="H1020" s="2" t="s">
        <v>898</v>
      </c>
      <c r="I1020" s="3">
        <f t="shared" si="15"/>
        <v>249</v>
      </c>
    </row>
    <row r="1021" spans="1:9" ht="36" x14ac:dyDescent="0.3">
      <c r="A1021" s="2" t="s">
        <v>9568</v>
      </c>
      <c r="B1021" s="2" t="s">
        <v>6760</v>
      </c>
      <c r="C1021" s="2" t="s">
        <v>222</v>
      </c>
      <c r="D1021" s="2" t="s">
        <v>9342</v>
      </c>
      <c r="E1021" s="2" t="s">
        <v>39</v>
      </c>
      <c r="F1021" s="2" t="s">
        <v>1778</v>
      </c>
      <c r="G1021" s="2" t="s">
        <v>1717</v>
      </c>
      <c r="H1021" s="2" t="s">
        <v>646</v>
      </c>
      <c r="I1021" s="3">
        <f t="shared" si="15"/>
        <v>250</v>
      </c>
    </row>
    <row r="1022" spans="1:9" ht="36" x14ac:dyDescent="0.3">
      <c r="A1022" s="2" t="s">
        <v>9568</v>
      </c>
      <c r="B1022" s="2" t="s">
        <v>2770</v>
      </c>
      <c r="C1022" s="2" t="s">
        <v>2756</v>
      </c>
      <c r="D1022" s="2" t="s">
        <v>9403</v>
      </c>
      <c r="E1022" s="2" t="s">
        <v>1960</v>
      </c>
      <c r="F1022" s="2" t="s">
        <v>2281</v>
      </c>
      <c r="G1022" s="2" t="s">
        <v>1717</v>
      </c>
      <c r="H1022" s="2" t="s">
        <v>898</v>
      </c>
      <c r="I1022" s="3">
        <f t="shared" si="15"/>
        <v>250</v>
      </c>
    </row>
    <row r="1023" spans="1:9" ht="36" x14ac:dyDescent="0.3">
      <c r="A1023" s="2" t="s">
        <v>9568</v>
      </c>
      <c r="B1023" s="2" t="s">
        <v>2603</v>
      </c>
      <c r="C1023" s="2" t="s">
        <v>259</v>
      </c>
      <c r="D1023" s="2" t="s">
        <v>6754</v>
      </c>
      <c r="E1023" s="2"/>
      <c r="F1023" s="2"/>
      <c r="G1023" s="2"/>
      <c r="H1023" s="2"/>
      <c r="I1023" s="3">
        <f t="shared" si="15"/>
        <v>251</v>
      </c>
    </row>
    <row r="1024" spans="1:9" ht="36" x14ac:dyDescent="0.3">
      <c r="A1024" s="2" t="s">
        <v>9571</v>
      </c>
      <c r="B1024" s="2" t="s">
        <v>2995</v>
      </c>
      <c r="C1024" s="2" t="s">
        <v>6765</v>
      </c>
      <c r="D1024" s="2" t="s">
        <v>6766</v>
      </c>
      <c r="E1024" s="2" t="s">
        <v>1188</v>
      </c>
      <c r="F1024" s="2"/>
      <c r="G1024" s="2" t="s">
        <v>1717</v>
      </c>
      <c r="H1024" s="2" t="s">
        <v>898</v>
      </c>
      <c r="I1024" s="3">
        <f t="shared" si="15"/>
        <v>252</v>
      </c>
    </row>
    <row r="1025" spans="1:9" ht="36" x14ac:dyDescent="0.3">
      <c r="A1025" s="2" t="s">
        <v>9568</v>
      </c>
      <c r="B1025" s="2" t="s">
        <v>2744</v>
      </c>
      <c r="C1025" s="2" t="s">
        <v>4161</v>
      </c>
      <c r="D1025" s="2" t="s">
        <v>9370</v>
      </c>
      <c r="E1025" s="2" t="s">
        <v>6836</v>
      </c>
      <c r="F1025" s="2" t="s">
        <v>1778</v>
      </c>
      <c r="G1025" s="2" t="s">
        <v>4507</v>
      </c>
      <c r="H1025" s="2"/>
      <c r="I1025" s="3">
        <f t="shared" si="15"/>
        <v>255</v>
      </c>
    </row>
    <row r="1026" spans="1:9" ht="36" x14ac:dyDescent="0.3">
      <c r="A1026" s="2" t="s">
        <v>9568</v>
      </c>
      <c r="B1026" s="2" t="s">
        <v>6837</v>
      </c>
      <c r="C1026" s="2" t="s">
        <v>4161</v>
      </c>
      <c r="D1026" s="2" t="s">
        <v>9371</v>
      </c>
      <c r="E1026" s="2" t="s">
        <v>6836</v>
      </c>
      <c r="F1026" s="2" t="s">
        <v>1778</v>
      </c>
      <c r="G1026" s="2" t="s">
        <v>4507</v>
      </c>
      <c r="H1026" s="2"/>
      <c r="I1026" s="3">
        <f t="shared" ref="I1026:I1089" si="16">LEN(D1026)</f>
        <v>255</v>
      </c>
    </row>
    <row r="1027" spans="1:9" ht="36" x14ac:dyDescent="0.3">
      <c r="A1027" s="2" t="s">
        <v>9568</v>
      </c>
      <c r="B1027" s="2" t="s">
        <v>6845</v>
      </c>
      <c r="C1027" s="2" t="s">
        <v>268</v>
      </c>
      <c r="D1027" s="2" t="s">
        <v>9332</v>
      </c>
      <c r="E1027" s="2" t="s">
        <v>39</v>
      </c>
      <c r="F1027" s="2" t="s">
        <v>2281</v>
      </c>
      <c r="G1027" s="2" t="s">
        <v>1717</v>
      </c>
      <c r="H1027" s="2"/>
      <c r="I1027" s="3">
        <f t="shared" si="16"/>
        <v>256</v>
      </c>
    </row>
    <row r="1028" spans="1:9" ht="36" x14ac:dyDescent="0.3">
      <c r="A1028" s="2" t="s">
        <v>9568</v>
      </c>
      <c r="B1028" s="2" t="s">
        <v>6852</v>
      </c>
      <c r="C1028" s="2" t="s">
        <v>6853</v>
      </c>
      <c r="D1028" s="2" t="s">
        <v>9386</v>
      </c>
      <c r="E1028" s="2" t="s">
        <v>211</v>
      </c>
      <c r="F1028" s="2" t="s">
        <v>1778</v>
      </c>
      <c r="G1028" s="2" t="s">
        <v>1717</v>
      </c>
      <c r="H1028" s="2" t="s">
        <v>898</v>
      </c>
      <c r="I1028" s="3">
        <f t="shared" si="16"/>
        <v>256</v>
      </c>
    </row>
    <row r="1029" spans="1:9" ht="36" x14ac:dyDescent="0.3">
      <c r="A1029" s="2" t="s">
        <v>9568</v>
      </c>
      <c r="B1029" s="2" t="s">
        <v>1321</v>
      </c>
      <c r="C1029" s="2" t="s">
        <v>6854</v>
      </c>
      <c r="D1029" s="2" t="s">
        <v>9333</v>
      </c>
      <c r="E1029" s="2" t="s">
        <v>2524</v>
      </c>
      <c r="F1029" s="2" t="s">
        <v>1778</v>
      </c>
      <c r="G1029" s="2" t="s">
        <v>1717</v>
      </c>
      <c r="H1029" s="2" t="s">
        <v>898</v>
      </c>
      <c r="I1029" s="3">
        <f t="shared" si="16"/>
        <v>257</v>
      </c>
    </row>
    <row r="1030" spans="1:9" ht="36" x14ac:dyDescent="0.3">
      <c r="A1030" s="2" t="s">
        <v>9567</v>
      </c>
      <c r="B1030" s="2" t="s">
        <v>4919</v>
      </c>
      <c r="C1030" s="2" t="s">
        <v>2698</v>
      </c>
      <c r="D1030" s="2" t="s">
        <v>6846</v>
      </c>
      <c r="E1030" s="2" t="s">
        <v>39</v>
      </c>
      <c r="F1030" s="2"/>
      <c r="G1030" s="2"/>
      <c r="H1030" s="2"/>
      <c r="I1030" s="3">
        <f t="shared" si="16"/>
        <v>258</v>
      </c>
    </row>
    <row r="1031" spans="1:9" ht="36" x14ac:dyDescent="0.3">
      <c r="A1031" s="2" t="s">
        <v>9568</v>
      </c>
      <c r="B1031" s="2" t="s">
        <v>4964</v>
      </c>
      <c r="C1031" s="2" t="s">
        <v>6863</v>
      </c>
      <c r="D1031" s="2" t="s">
        <v>9344</v>
      </c>
      <c r="E1031" s="2" t="s">
        <v>242</v>
      </c>
      <c r="F1031" s="2" t="s">
        <v>1778</v>
      </c>
      <c r="G1031" s="2" t="s">
        <v>1717</v>
      </c>
      <c r="H1031" s="2" t="s">
        <v>194</v>
      </c>
      <c r="I1031" s="3">
        <f t="shared" si="16"/>
        <v>258</v>
      </c>
    </row>
    <row r="1032" spans="1:9" ht="36" x14ac:dyDescent="0.3">
      <c r="A1032" s="2" t="s">
        <v>9571</v>
      </c>
      <c r="B1032" s="2" t="s">
        <v>6543</v>
      </c>
      <c r="C1032" s="2" t="s">
        <v>6284</v>
      </c>
      <c r="D1032" s="2" t="s">
        <v>9319</v>
      </c>
      <c r="E1032" s="2" t="s">
        <v>1188</v>
      </c>
      <c r="F1032" s="2" t="s">
        <v>350</v>
      </c>
      <c r="G1032" s="2" t="s">
        <v>350</v>
      </c>
      <c r="H1032" s="2"/>
      <c r="I1032" s="3">
        <f t="shared" si="16"/>
        <v>258</v>
      </c>
    </row>
    <row r="1033" spans="1:9" ht="36" x14ac:dyDescent="0.3">
      <c r="A1033" s="2" t="s">
        <v>9568</v>
      </c>
      <c r="B1033" s="2" t="s">
        <v>6293</v>
      </c>
      <c r="C1033" s="2" t="s">
        <v>6896</v>
      </c>
      <c r="D1033" s="2" t="s">
        <v>9349</v>
      </c>
      <c r="E1033" s="2" t="s">
        <v>6897</v>
      </c>
      <c r="F1033" s="2" t="s">
        <v>1778</v>
      </c>
      <c r="G1033" s="2" t="s">
        <v>1717</v>
      </c>
      <c r="H1033" s="2"/>
      <c r="I1033" s="3">
        <f t="shared" si="16"/>
        <v>261</v>
      </c>
    </row>
    <row r="1034" spans="1:9" ht="36" x14ac:dyDescent="0.3">
      <c r="A1034" s="2" t="s">
        <v>9571</v>
      </c>
      <c r="B1034" s="2" t="s">
        <v>6904</v>
      </c>
      <c r="C1034" s="2" t="s">
        <v>6905</v>
      </c>
      <c r="D1034" s="2" t="s">
        <v>9320</v>
      </c>
      <c r="E1034" s="2" t="s">
        <v>6906</v>
      </c>
      <c r="F1034" s="2" t="s">
        <v>1778</v>
      </c>
      <c r="G1034" s="2" t="s">
        <v>1717</v>
      </c>
      <c r="H1034" s="2" t="s">
        <v>646</v>
      </c>
      <c r="I1034" s="3">
        <f t="shared" si="16"/>
        <v>261</v>
      </c>
    </row>
    <row r="1035" spans="1:9" ht="36" x14ac:dyDescent="0.3">
      <c r="A1035" s="2" t="s">
        <v>9568</v>
      </c>
      <c r="B1035" s="2" t="s">
        <v>6884</v>
      </c>
      <c r="C1035" s="2" t="s">
        <v>6885</v>
      </c>
      <c r="D1035" s="2" t="s">
        <v>6886</v>
      </c>
      <c r="E1035" s="2"/>
      <c r="F1035" s="2"/>
      <c r="G1035" s="2"/>
      <c r="H1035" s="2" t="s">
        <v>646</v>
      </c>
      <c r="I1035" s="3">
        <f t="shared" si="16"/>
        <v>262</v>
      </c>
    </row>
    <row r="1036" spans="1:9" ht="36" x14ac:dyDescent="0.3">
      <c r="A1036" s="2" t="s">
        <v>9568</v>
      </c>
      <c r="B1036" s="2" t="s">
        <v>6900</v>
      </c>
      <c r="C1036" s="2" t="s">
        <v>4134</v>
      </c>
      <c r="D1036" s="2" t="s">
        <v>6901</v>
      </c>
      <c r="E1036" s="2"/>
      <c r="F1036" s="2"/>
      <c r="G1036" s="2"/>
      <c r="H1036" s="2" t="s">
        <v>1644</v>
      </c>
      <c r="I1036" s="3">
        <f t="shared" si="16"/>
        <v>263</v>
      </c>
    </row>
    <row r="1037" spans="1:9" ht="36" x14ac:dyDescent="0.3">
      <c r="A1037" s="2" t="s">
        <v>9568</v>
      </c>
      <c r="B1037" s="2" t="s">
        <v>6916</v>
      </c>
      <c r="C1037" s="2" t="s">
        <v>6917</v>
      </c>
      <c r="D1037" s="2" t="s">
        <v>6918</v>
      </c>
      <c r="E1037" s="2" t="s">
        <v>39</v>
      </c>
      <c r="F1037" s="2"/>
      <c r="G1037" s="2"/>
      <c r="H1037" s="2"/>
      <c r="I1037" s="3">
        <f t="shared" si="16"/>
        <v>264</v>
      </c>
    </row>
    <row r="1038" spans="1:9" ht="36" x14ac:dyDescent="0.3">
      <c r="A1038" s="2" t="s">
        <v>9568</v>
      </c>
      <c r="B1038" s="2" t="s">
        <v>6937</v>
      </c>
      <c r="C1038" s="2" t="s">
        <v>4161</v>
      </c>
      <c r="D1038" s="2" t="s">
        <v>9368</v>
      </c>
      <c r="E1038" s="2" t="s">
        <v>6836</v>
      </c>
      <c r="F1038" s="2" t="s">
        <v>1778</v>
      </c>
      <c r="G1038" s="2" t="s">
        <v>4507</v>
      </c>
      <c r="H1038" s="2"/>
      <c r="I1038" s="3">
        <f t="shared" si="16"/>
        <v>264</v>
      </c>
    </row>
    <row r="1039" spans="1:9" ht="36" x14ac:dyDescent="0.3">
      <c r="A1039" s="2" t="s">
        <v>9568</v>
      </c>
      <c r="B1039" s="2" t="s">
        <v>6837</v>
      </c>
      <c r="C1039" s="2" t="s">
        <v>4161</v>
      </c>
      <c r="D1039" s="2" t="s">
        <v>9369</v>
      </c>
      <c r="E1039" s="2" t="s">
        <v>6836</v>
      </c>
      <c r="F1039" s="2" t="s">
        <v>1778</v>
      </c>
      <c r="G1039" s="2" t="s">
        <v>4507</v>
      </c>
      <c r="H1039" s="2"/>
      <c r="I1039" s="3">
        <f t="shared" si="16"/>
        <v>264</v>
      </c>
    </row>
    <row r="1040" spans="1:9" ht="36" x14ac:dyDescent="0.3">
      <c r="A1040" s="2" t="s">
        <v>9571</v>
      </c>
      <c r="B1040" s="2" t="s">
        <v>6936</v>
      </c>
      <c r="C1040" s="2" t="s">
        <v>4701</v>
      </c>
      <c r="D1040" s="2" t="s">
        <v>9321</v>
      </c>
      <c r="E1040" s="2" t="s">
        <v>39</v>
      </c>
      <c r="F1040" s="2" t="s">
        <v>2281</v>
      </c>
      <c r="G1040" s="2" t="s">
        <v>1717</v>
      </c>
      <c r="H1040" s="2"/>
      <c r="I1040" s="3">
        <f t="shared" si="16"/>
        <v>264</v>
      </c>
    </row>
    <row r="1041" spans="1:9" ht="36" x14ac:dyDescent="0.3">
      <c r="A1041" s="2" t="s">
        <v>9567</v>
      </c>
      <c r="B1041" s="2" t="s">
        <v>1321</v>
      </c>
      <c r="C1041" s="2" t="s">
        <v>1647</v>
      </c>
      <c r="D1041" s="2" t="s">
        <v>6949</v>
      </c>
      <c r="E1041" s="2"/>
      <c r="F1041" s="2"/>
      <c r="G1041" s="2"/>
      <c r="H1041" s="2" t="s">
        <v>1644</v>
      </c>
      <c r="I1041" s="3">
        <f t="shared" si="16"/>
        <v>267</v>
      </c>
    </row>
    <row r="1042" spans="1:9" ht="36" x14ac:dyDescent="0.3">
      <c r="A1042" s="2" t="s">
        <v>9567</v>
      </c>
      <c r="B1042" s="2" t="s">
        <v>509</v>
      </c>
      <c r="C1042" s="2" t="s">
        <v>500</v>
      </c>
      <c r="D1042" s="2" t="s">
        <v>7000</v>
      </c>
      <c r="E1042" s="2" t="s">
        <v>39</v>
      </c>
      <c r="F1042" s="2"/>
      <c r="G1042" s="2"/>
      <c r="H1042" s="2" t="s">
        <v>402</v>
      </c>
      <c r="I1042" s="3">
        <f t="shared" si="16"/>
        <v>272</v>
      </c>
    </row>
    <row r="1043" spans="1:9" ht="36" x14ac:dyDescent="0.3">
      <c r="A1043" s="2" t="s">
        <v>9568</v>
      </c>
      <c r="B1043" s="2" t="s">
        <v>7023</v>
      </c>
      <c r="C1043" s="2" t="s">
        <v>7024</v>
      </c>
      <c r="D1043" s="2" t="s">
        <v>9401</v>
      </c>
      <c r="E1043" s="2" t="s">
        <v>7025</v>
      </c>
      <c r="F1043" s="2" t="s">
        <v>1778</v>
      </c>
      <c r="G1043" s="2" t="s">
        <v>1717</v>
      </c>
      <c r="H1043" s="2"/>
      <c r="I1043" s="3">
        <f t="shared" si="16"/>
        <v>273</v>
      </c>
    </row>
    <row r="1044" spans="1:9" ht="36" x14ac:dyDescent="0.3">
      <c r="A1044" s="2" t="s">
        <v>9568</v>
      </c>
      <c r="B1044" s="2" t="s">
        <v>1867</v>
      </c>
      <c r="C1044" s="2" t="s">
        <v>7016</v>
      </c>
      <c r="D1044" s="2" t="s">
        <v>7017</v>
      </c>
      <c r="E1044" s="2"/>
      <c r="F1044" s="2"/>
      <c r="G1044" s="2"/>
      <c r="H1044" s="2" t="s">
        <v>3494</v>
      </c>
      <c r="I1044" s="3">
        <f t="shared" si="16"/>
        <v>274</v>
      </c>
    </row>
    <row r="1045" spans="1:9" ht="36" x14ac:dyDescent="0.3">
      <c r="A1045" s="2" t="s">
        <v>9568</v>
      </c>
      <c r="B1045" s="2" t="s">
        <v>7057</v>
      </c>
      <c r="C1045" s="2" t="s">
        <v>1371</v>
      </c>
      <c r="D1045" s="2" t="s">
        <v>8717</v>
      </c>
      <c r="E1045" s="2" t="s">
        <v>4625</v>
      </c>
      <c r="F1045" s="2"/>
      <c r="G1045" s="2" t="s">
        <v>1717</v>
      </c>
      <c r="H1045" s="2"/>
      <c r="I1045" s="3">
        <f t="shared" si="16"/>
        <v>281</v>
      </c>
    </row>
    <row r="1046" spans="1:9" ht="36" x14ac:dyDescent="0.3">
      <c r="A1046" s="2" t="s">
        <v>9568</v>
      </c>
      <c r="B1046" s="2" t="s">
        <v>1804</v>
      </c>
      <c r="C1046" s="2" t="s">
        <v>1805</v>
      </c>
      <c r="D1046" s="2" t="s">
        <v>7089</v>
      </c>
      <c r="E1046" s="2" t="s">
        <v>39</v>
      </c>
      <c r="F1046" s="2"/>
      <c r="G1046" s="2"/>
      <c r="H1046" s="2"/>
      <c r="I1046" s="3">
        <f t="shared" si="16"/>
        <v>285</v>
      </c>
    </row>
    <row r="1047" spans="1:9" ht="36" x14ac:dyDescent="0.3">
      <c r="A1047" s="2" t="s">
        <v>9567</v>
      </c>
      <c r="B1047" s="2" t="s">
        <v>4297</v>
      </c>
      <c r="C1047" s="2" t="s">
        <v>6881</v>
      </c>
      <c r="D1047" s="2" t="s">
        <v>7106</v>
      </c>
      <c r="E1047" s="2" t="s">
        <v>39</v>
      </c>
      <c r="F1047" s="2"/>
      <c r="G1047" s="2"/>
      <c r="H1047" s="2" t="s">
        <v>194</v>
      </c>
      <c r="I1047" s="3">
        <f t="shared" si="16"/>
        <v>287</v>
      </c>
    </row>
    <row r="1048" spans="1:9" ht="36" x14ac:dyDescent="0.3">
      <c r="A1048" s="2" t="s">
        <v>9568</v>
      </c>
      <c r="B1048" s="2" t="s">
        <v>7151</v>
      </c>
      <c r="C1048" s="2" t="s">
        <v>4674</v>
      </c>
      <c r="D1048" s="2" t="s">
        <v>9381</v>
      </c>
      <c r="E1048" s="2" t="s">
        <v>39</v>
      </c>
      <c r="F1048" s="2" t="s">
        <v>2281</v>
      </c>
      <c r="G1048" s="2" t="s">
        <v>1717</v>
      </c>
      <c r="H1048" s="2"/>
      <c r="I1048" s="3">
        <f t="shared" si="16"/>
        <v>291</v>
      </c>
    </row>
    <row r="1049" spans="1:9" ht="36" x14ac:dyDescent="0.3">
      <c r="A1049" s="2" t="s">
        <v>9568</v>
      </c>
      <c r="B1049" s="2" t="s">
        <v>5801</v>
      </c>
      <c r="C1049" s="2" t="s">
        <v>554</v>
      </c>
      <c r="D1049" s="2" t="s">
        <v>7136</v>
      </c>
      <c r="E1049" s="2" t="s">
        <v>39</v>
      </c>
      <c r="F1049" s="2"/>
      <c r="G1049" s="2"/>
      <c r="H1049" s="2"/>
      <c r="I1049" s="3">
        <f t="shared" si="16"/>
        <v>291</v>
      </c>
    </row>
    <row r="1050" spans="1:9" ht="36" x14ac:dyDescent="0.3">
      <c r="A1050" s="2" t="s">
        <v>9569</v>
      </c>
      <c r="B1050" s="2" t="s">
        <v>6416</v>
      </c>
      <c r="C1050" s="2"/>
      <c r="D1050" s="2" t="s">
        <v>7131</v>
      </c>
      <c r="E1050" s="2"/>
      <c r="F1050" s="2"/>
      <c r="G1050" s="2"/>
      <c r="H1050" s="2"/>
      <c r="I1050" s="3">
        <f t="shared" si="16"/>
        <v>291</v>
      </c>
    </row>
    <row r="1051" spans="1:9" ht="36" x14ac:dyDescent="0.3">
      <c r="A1051" s="2" t="s">
        <v>9571</v>
      </c>
      <c r="B1051" s="2" t="s">
        <v>4115</v>
      </c>
      <c r="C1051" s="2"/>
      <c r="D1051" s="2" t="s">
        <v>9322</v>
      </c>
      <c r="E1051" s="2"/>
      <c r="F1051" s="2" t="s">
        <v>1778</v>
      </c>
      <c r="G1051" s="2" t="s">
        <v>1717</v>
      </c>
      <c r="H1051" s="2"/>
      <c r="I1051" s="3">
        <f t="shared" si="16"/>
        <v>298</v>
      </c>
    </row>
    <row r="1052" spans="1:9" ht="36" x14ac:dyDescent="0.3">
      <c r="A1052" s="2" t="s">
        <v>9571</v>
      </c>
      <c r="B1052" s="2" t="s">
        <v>1338</v>
      </c>
      <c r="C1052" s="2" t="s">
        <v>4733</v>
      </c>
      <c r="D1052" s="2" t="s">
        <v>7237</v>
      </c>
      <c r="E1052" s="2"/>
      <c r="F1052" s="2"/>
      <c r="G1052" s="2"/>
      <c r="H1052" s="2" t="s">
        <v>1644</v>
      </c>
      <c r="I1052" s="3">
        <f t="shared" si="16"/>
        <v>305</v>
      </c>
    </row>
    <row r="1053" spans="1:9" ht="36" x14ac:dyDescent="0.3">
      <c r="A1053" s="2" t="s">
        <v>9567</v>
      </c>
      <c r="B1053" s="2" t="s">
        <v>7266</v>
      </c>
      <c r="C1053" s="2" t="s">
        <v>408</v>
      </c>
      <c r="D1053" s="2" t="s">
        <v>9015</v>
      </c>
      <c r="E1053" s="2" t="s">
        <v>39</v>
      </c>
      <c r="F1053" s="2" t="s">
        <v>4117</v>
      </c>
      <c r="G1053" s="2" t="s">
        <v>1717</v>
      </c>
      <c r="H1053" s="2"/>
      <c r="I1053" s="3">
        <f t="shared" si="16"/>
        <v>307</v>
      </c>
    </row>
    <row r="1054" spans="1:9" ht="36" x14ac:dyDescent="0.3">
      <c r="A1054" s="2" t="s">
        <v>9570</v>
      </c>
      <c r="B1054" s="2" t="s">
        <v>7252</v>
      </c>
      <c r="C1054" s="2"/>
      <c r="D1054" s="2" t="s">
        <v>7253</v>
      </c>
      <c r="E1054" s="2"/>
      <c r="F1054" s="2"/>
      <c r="G1054" s="2"/>
      <c r="H1054" s="2"/>
      <c r="I1054" s="3">
        <f t="shared" si="16"/>
        <v>307</v>
      </c>
    </row>
    <row r="1055" spans="1:9" ht="36" x14ac:dyDescent="0.3">
      <c r="A1055" s="2" t="s">
        <v>9567</v>
      </c>
      <c r="B1055" s="2" t="s">
        <v>509</v>
      </c>
      <c r="C1055" s="2" t="s">
        <v>500</v>
      </c>
      <c r="D1055" s="2" t="s">
        <v>7275</v>
      </c>
      <c r="E1055" s="2" t="s">
        <v>39</v>
      </c>
      <c r="F1055" s="2"/>
      <c r="G1055" s="2"/>
      <c r="H1055" s="2" t="s">
        <v>402</v>
      </c>
      <c r="I1055" s="3">
        <f t="shared" si="16"/>
        <v>309</v>
      </c>
    </row>
    <row r="1056" spans="1:9" ht="36" x14ac:dyDescent="0.3">
      <c r="A1056" s="2" t="s">
        <v>9571</v>
      </c>
      <c r="B1056" s="2" t="s">
        <v>7280</v>
      </c>
      <c r="C1056" s="2" t="s">
        <v>7281</v>
      </c>
      <c r="D1056" s="2" t="s">
        <v>7282</v>
      </c>
      <c r="E1056" s="2"/>
      <c r="F1056" s="2"/>
      <c r="G1056" s="2"/>
      <c r="H1056" s="2"/>
      <c r="I1056" s="3">
        <f t="shared" si="16"/>
        <v>311</v>
      </c>
    </row>
    <row r="1057" spans="1:9" ht="48" x14ac:dyDescent="0.3">
      <c r="A1057" s="2" t="s">
        <v>9568</v>
      </c>
      <c r="B1057" s="2" t="s">
        <v>7301</v>
      </c>
      <c r="C1057" s="2" t="s">
        <v>1244</v>
      </c>
      <c r="D1057" s="2" t="s">
        <v>7302</v>
      </c>
      <c r="E1057" s="2" t="s">
        <v>39</v>
      </c>
      <c r="F1057" s="2"/>
      <c r="G1057" s="2"/>
      <c r="H1057" s="2"/>
      <c r="I1057" s="3">
        <f t="shared" si="16"/>
        <v>312</v>
      </c>
    </row>
    <row r="1058" spans="1:9" ht="48" x14ac:dyDescent="0.3">
      <c r="A1058" s="2" t="s">
        <v>9568</v>
      </c>
      <c r="B1058" s="2" t="s">
        <v>1982</v>
      </c>
      <c r="C1058" s="2" t="s">
        <v>7340</v>
      </c>
      <c r="D1058" s="2" t="s">
        <v>7341</v>
      </c>
      <c r="E1058" s="2" t="s">
        <v>3643</v>
      </c>
      <c r="F1058" s="2"/>
      <c r="G1058" s="2"/>
      <c r="H1058" s="2" t="s">
        <v>646</v>
      </c>
      <c r="I1058" s="3">
        <f t="shared" si="16"/>
        <v>317</v>
      </c>
    </row>
    <row r="1059" spans="1:9" ht="48" x14ac:dyDescent="0.3">
      <c r="A1059" s="2" t="s">
        <v>9568</v>
      </c>
      <c r="B1059" s="2" t="s">
        <v>4227</v>
      </c>
      <c r="C1059" s="2" t="s">
        <v>7353</v>
      </c>
      <c r="D1059" s="2" t="s">
        <v>7354</v>
      </c>
      <c r="E1059" s="2"/>
      <c r="F1059" s="2"/>
      <c r="G1059" s="2"/>
      <c r="H1059" s="2" t="s">
        <v>646</v>
      </c>
      <c r="I1059" s="3">
        <f t="shared" si="16"/>
        <v>319</v>
      </c>
    </row>
    <row r="1060" spans="1:9" ht="48" x14ac:dyDescent="0.3">
      <c r="A1060" s="2" t="s">
        <v>9568</v>
      </c>
      <c r="B1060" s="2" t="s">
        <v>7390</v>
      </c>
      <c r="C1060" s="2" t="s">
        <v>7391</v>
      </c>
      <c r="D1060" s="2" t="s">
        <v>9387</v>
      </c>
      <c r="E1060" s="2" t="s">
        <v>5938</v>
      </c>
      <c r="F1060" s="2" t="s">
        <v>1778</v>
      </c>
      <c r="G1060" s="2" t="s">
        <v>1717</v>
      </c>
      <c r="H1060" s="2"/>
      <c r="I1060" s="3">
        <f t="shared" si="16"/>
        <v>320</v>
      </c>
    </row>
    <row r="1061" spans="1:9" ht="48" x14ac:dyDescent="0.3">
      <c r="A1061" s="2" t="s">
        <v>9568</v>
      </c>
      <c r="B1061" s="2" t="s">
        <v>5375</v>
      </c>
      <c r="C1061" s="2" t="s">
        <v>6446</v>
      </c>
      <c r="D1061" s="2" t="s">
        <v>9348</v>
      </c>
      <c r="E1061" s="2"/>
      <c r="F1061" s="2" t="s">
        <v>1778</v>
      </c>
      <c r="G1061" s="2" t="s">
        <v>1717</v>
      </c>
      <c r="H1061" s="2" t="s">
        <v>646</v>
      </c>
      <c r="I1061" s="3">
        <f t="shared" si="16"/>
        <v>321</v>
      </c>
    </row>
    <row r="1062" spans="1:9" ht="48" x14ac:dyDescent="0.3">
      <c r="A1062" s="2" t="s">
        <v>9568</v>
      </c>
      <c r="B1062" s="2" t="s">
        <v>1804</v>
      </c>
      <c r="C1062" s="2" t="s">
        <v>1805</v>
      </c>
      <c r="D1062" s="2" t="s">
        <v>7379</v>
      </c>
      <c r="E1062" s="2" t="s">
        <v>39</v>
      </c>
      <c r="F1062" s="2"/>
      <c r="G1062" s="2"/>
      <c r="H1062" s="2"/>
      <c r="I1062" s="3">
        <f t="shared" si="16"/>
        <v>321</v>
      </c>
    </row>
    <row r="1063" spans="1:9" ht="48" x14ac:dyDescent="0.3">
      <c r="A1063" s="2" t="s">
        <v>9571</v>
      </c>
      <c r="B1063" s="2" t="s">
        <v>7398</v>
      </c>
      <c r="C1063" s="2" t="s">
        <v>7399</v>
      </c>
      <c r="D1063" s="2" t="s">
        <v>9323</v>
      </c>
      <c r="E1063" s="2" t="s">
        <v>39</v>
      </c>
      <c r="F1063" s="2" t="s">
        <v>350</v>
      </c>
      <c r="G1063" s="2" t="s">
        <v>350</v>
      </c>
      <c r="H1063" s="2" t="s">
        <v>646</v>
      </c>
      <c r="I1063" s="3">
        <f t="shared" si="16"/>
        <v>323</v>
      </c>
    </row>
    <row r="1064" spans="1:9" ht="48" x14ac:dyDescent="0.3">
      <c r="A1064" s="2" t="s">
        <v>9568</v>
      </c>
      <c r="B1064" s="2" t="s">
        <v>7404</v>
      </c>
      <c r="C1064" s="2" t="s">
        <v>7405</v>
      </c>
      <c r="D1064" s="2" t="s">
        <v>7406</v>
      </c>
      <c r="E1064" s="2" t="s">
        <v>7407</v>
      </c>
      <c r="F1064" s="2"/>
      <c r="G1064" s="2"/>
      <c r="H1064" s="2" t="s">
        <v>1644</v>
      </c>
      <c r="I1064" s="3">
        <f t="shared" si="16"/>
        <v>325</v>
      </c>
    </row>
    <row r="1065" spans="1:9" ht="48" x14ac:dyDescent="0.3">
      <c r="A1065" s="2" t="s">
        <v>9567</v>
      </c>
      <c r="B1065" s="2" t="s">
        <v>7418</v>
      </c>
      <c r="C1065" s="2" t="s">
        <v>500</v>
      </c>
      <c r="D1065" s="2" t="s">
        <v>7419</v>
      </c>
      <c r="E1065" s="2" t="s">
        <v>39</v>
      </c>
      <c r="F1065" s="2"/>
      <c r="G1065" s="2"/>
      <c r="H1065" s="2" t="s">
        <v>402</v>
      </c>
      <c r="I1065" s="3">
        <f t="shared" si="16"/>
        <v>326</v>
      </c>
    </row>
    <row r="1066" spans="1:9" ht="48" x14ac:dyDescent="0.3">
      <c r="A1066" s="2" t="s">
        <v>9567</v>
      </c>
      <c r="B1066" s="2" t="s">
        <v>7426</v>
      </c>
      <c r="C1066" s="2" t="s">
        <v>7427</v>
      </c>
      <c r="D1066" s="2" t="s">
        <v>9016</v>
      </c>
      <c r="E1066" s="2" t="s">
        <v>1188</v>
      </c>
      <c r="F1066" s="2" t="s">
        <v>350</v>
      </c>
      <c r="G1066" s="2" t="s">
        <v>1717</v>
      </c>
      <c r="H1066" s="2"/>
      <c r="I1066" s="3">
        <f t="shared" si="16"/>
        <v>326</v>
      </c>
    </row>
    <row r="1067" spans="1:9" ht="48" x14ac:dyDescent="0.3">
      <c r="A1067" s="2" t="s">
        <v>9567</v>
      </c>
      <c r="B1067" s="2" t="s">
        <v>509</v>
      </c>
      <c r="C1067" s="2" t="s">
        <v>500</v>
      </c>
      <c r="D1067" s="2" t="s">
        <v>7425</v>
      </c>
      <c r="E1067" s="2" t="s">
        <v>39</v>
      </c>
      <c r="F1067" s="2"/>
      <c r="G1067" s="2"/>
      <c r="H1067" s="2" t="s">
        <v>402</v>
      </c>
      <c r="I1067" s="3">
        <f t="shared" si="16"/>
        <v>327</v>
      </c>
    </row>
    <row r="1068" spans="1:9" ht="48" x14ac:dyDescent="0.3">
      <c r="A1068" s="2" t="s">
        <v>9568</v>
      </c>
      <c r="B1068" s="2" t="s">
        <v>7439</v>
      </c>
      <c r="C1068" s="2" t="s">
        <v>268</v>
      </c>
      <c r="D1068" s="2" t="s">
        <v>9383</v>
      </c>
      <c r="E1068" s="2" t="s">
        <v>39</v>
      </c>
      <c r="F1068" s="2" t="s">
        <v>2281</v>
      </c>
      <c r="G1068" s="2" t="s">
        <v>1717</v>
      </c>
      <c r="H1068" s="2"/>
      <c r="I1068" s="3">
        <f t="shared" si="16"/>
        <v>327</v>
      </c>
    </row>
    <row r="1069" spans="1:9" ht="48" x14ac:dyDescent="0.3">
      <c r="A1069" s="2" t="s">
        <v>9568</v>
      </c>
      <c r="B1069" s="2" t="s">
        <v>7441</v>
      </c>
      <c r="C1069" s="2" t="s">
        <v>994</v>
      </c>
      <c r="D1069" s="2" t="s">
        <v>7442</v>
      </c>
      <c r="E1069" s="2" t="s">
        <v>39</v>
      </c>
      <c r="F1069" s="2"/>
      <c r="G1069" s="2" t="s">
        <v>1717</v>
      </c>
      <c r="H1069" s="2" t="s">
        <v>646</v>
      </c>
      <c r="I1069" s="3">
        <f t="shared" si="16"/>
        <v>331</v>
      </c>
    </row>
    <row r="1070" spans="1:9" ht="48" x14ac:dyDescent="0.3">
      <c r="A1070" s="2" t="s">
        <v>9568</v>
      </c>
      <c r="B1070" s="2" t="s">
        <v>1825</v>
      </c>
      <c r="C1070" s="2" t="s">
        <v>7443</v>
      </c>
      <c r="D1070" s="2" t="s">
        <v>7444</v>
      </c>
      <c r="E1070" s="2"/>
      <c r="F1070" s="2"/>
      <c r="G1070" s="2"/>
      <c r="H1070" s="2" t="s">
        <v>1644</v>
      </c>
      <c r="I1070" s="3">
        <f t="shared" si="16"/>
        <v>331</v>
      </c>
    </row>
    <row r="1071" spans="1:9" ht="48" x14ac:dyDescent="0.3">
      <c r="A1071" s="2" t="s">
        <v>9571</v>
      </c>
      <c r="B1071" s="2" t="s">
        <v>1321</v>
      </c>
      <c r="C1071" s="2" t="s">
        <v>896</v>
      </c>
      <c r="D1071" s="2" t="s">
        <v>7454</v>
      </c>
      <c r="E1071" s="2" t="s">
        <v>242</v>
      </c>
      <c r="F1071" s="2"/>
      <c r="G1071" s="2"/>
      <c r="H1071" s="2" t="s">
        <v>898</v>
      </c>
      <c r="I1071" s="3">
        <f t="shared" si="16"/>
        <v>333</v>
      </c>
    </row>
    <row r="1072" spans="1:9" ht="48" x14ac:dyDescent="0.3">
      <c r="A1072" s="2" t="s">
        <v>9567</v>
      </c>
      <c r="B1072" s="2" t="s">
        <v>509</v>
      </c>
      <c r="C1072" s="2" t="s">
        <v>500</v>
      </c>
      <c r="D1072" s="2" t="s">
        <v>7479</v>
      </c>
      <c r="E1072" s="2" t="s">
        <v>39</v>
      </c>
      <c r="F1072" s="2"/>
      <c r="G1072" s="2"/>
      <c r="H1072" s="2" t="s">
        <v>402</v>
      </c>
      <c r="I1072" s="3">
        <f t="shared" si="16"/>
        <v>336</v>
      </c>
    </row>
    <row r="1073" spans="1:9" ht="48" x14ac:dyDescent="0.3">
      <c r="A1073" s="2" t="s">
        <v>9571</v>
      </c>
      <c r="B1073" s="2" t="s">
        <v>7474</v>
      </c>
      <c r="C1073" s="2" t="s">
        <v>7475</v>
      </c>
      <c r="D1073" s="2" t="s">
        <v>7476</v>
      </c>
      <c r="E1073" s="2" t="s">
        <v>918</v>
      </c>
      <c r="F1073" s="2"/>
      <c r="G1073" s="2" t="s">
        <v>350</v>
      </c>
      <c r="H1073" s="2" t="s">
        <v>898</v>
      </c>
      <c r="I1073" s="3">
        <f t="shared" si="16"/>
        <v>336</v>
      </c>
    </row>
    <row r="1074" spans="1:9" ht="48" x14ac:dyDescent="0.3">
      <c r="A1074" s="2" t="s">
        <v>9567</v>
      </c>
      <c r="B1074" s="2" t="s">
        <v>7498</v>
      </c>
      <c r="C1074" s="2" t="s">
        <v>640</v>
      </c>
      <c r="D1074" s="2" t="s">
        <v>7499</v>
      </c>
      <c r="E1074" s="2"/>
      <c r="F1074" s="2"/>
      <c r="G1074" s="2"/>
      <c r="H1074" s="2"/>
      <c r="I1074" s="3">
        <f t="shared" si="16"/>
        <v>341</v>
      </c>
    </row>
    <row r="1075" spans="1:9" ht="48" x14ac:dyDescent="0.3">
      <c r="A1075" s="2" t="s">
        <v>9571</v>
      </c>
      <c r="B1075" s="2" t="s">
        <v>7501</v>
      </c>
      <c r="C1075" s="2" t="s">
        <v>14</v>
      </c>
      <c r="D1075" s="2" t="s">
        <v>7502</v>
      </c>
      <c r="E1075" s="2"/>
      <c r="F1075" s="2"/>
      <c r="G1075" s="2"/>
      <c r="H1075" s="2"/>
      <c r="I1075" s="3">
        <f t="shared" si="16"/>
        <v>342</v>
      </c>
    </row>
    <row r="1076" spans="1:9" ht="48" x14ac:dyDescent="0.3">
      <c r="A1076" s="2" t="s">
        <v>9571</v>
      </c>
      <c r="B1076" s="2" t="s">
        <v>7507</v>
      </c>
      <c r="C1076" s="2" t="s">
        <v>7508</v>
      </c>
      <c r="D1076" s="2" t="s">
        <v>7509</v>
      </c>
      <c r="E1076" s="2"/>
      <c r="F1076" s="2"/>
      <c r="G1076" s="2"/>
      <c r="H1076" s="2"/>
      <c r="I1076" s="3">
        <f t="shared" si="16"/>
        <v>343</v>
      </c>
    </row>
    <row r="1077" spans="1:9" ht="48" x14ac:dyDescent="0.3">
      <c r="A1077" s="2" t="s">
        <v>9568</v>
      </c>
      <c r="B1077" s="2" t="s">
        <v>5086</v>
      </c>
      <c r="C1077" s="2" t="s">
        <v>7523</v>
      </c>
      <c r="D1077" s="2" t="s">
        <v>7524</v>
      </c>
      <c r="E1077" s="2" t="s">
        <v>6897</v>
      </c>
      <c r="F1077" s="2"/>
      <c r="G1077" s="2"/>
      <c r="H1077" s="2"/>
      <c r="I1077" s="3">
        <f t="shared" si="16"/>
        <v>345</v>
      </c>
    </row>
    <row r="1078" spans="1:9" ht="48" x14ac:dyDescent="0.3">
      <c r="A1078" s="2" t="s">
        <v>9568</v>
      </c>
      <c r="B1078" s="2" t="s">
        <v>7551</v>
      </c>
      <c r="C1078" s="2" t="s">
        <v>860</v>
      </c>
      <c r="D1078" s="2" t="s">
        <v>9384</v>
      </c>
      <c r="E1078" s="2" t="s">
        <v>39</v>
      </c>
      <c r="F1078" s="2" t="s">
        <v>2281</v>
      </c>
      <c r="G1078" s="2" t="s">
        <v>1717</v>
      </c>
      <c r="H1078" s="2" t="s">
        <v>646</v>
      </c>
      <c r="I1078" s="3">
        <f t="shared" si="16"/>
        <v>347</v>
      </c>
    </row>
    <row r="1079" spans="1:9" ht="48" x14ac:dyDescent="0.3">
      <c r="A1079" s="2" t="s">
        <v>9568</v>
      </c>
      <c r="B1079" s="2" t="s">
        <v>1804</v>
      </c>
      <c r="C1079" s="2" t="s">
        <v>1805</v>
      </c>
      <c r="D1079" s="2" t="s">
        <v>7547</v>
      </c>
      <c r="E1079" s="2" t="s">
        <v>39</v>
      </c>
      <c r="F1079" s="2"/>
      <c r="G1079" s="2"/>
      <c r="H1079" s="2"/>
      <c r="I1079" s="3">
        <f t="shared" si="16"/>
        <v>348</v>
      </c>
    </row>
    <row r="1080" spans="1:9" ht="48" x14ac:dyDescent="0.3">
      <c r="A1080" s="2" t="s">
        <v>9568</v>
      </c>
      <c r="B1080" s="2" t="s">
        <v>7556</v>
      </c>
      <c r="C1080" s="2" t="s">
        <v>3385</v>
      </c>
      <c r="D1080" s="2" t="s">
        <v>7557</v>
      </c>
      <c r="E1080" s="2" t="s">
        <v>39</v>
      </c>
      <c r="F1080" s="2"/>
      <c r="G1080" s="2"/>
      <c r="H1080" s="2" t="s">
        <v>1644</v>
      </c>
      <c r="I1080" s="3">
        <f t="shared" si="16"/>
        <v>351</v>
      </c>
    </row>
    <row r="1081" spans="1:9" ht="48" x14ac:dyDescent="0.3">
      <c r="A1081" s="2" t="s">
        <v>9571</v>
      </c>
      <c r="B1081" s="2" t="s">
        <v>7576</v>
      </c>
      <c r="C1081" s="2"/>
      <c r="D1081" s="2" t="s">
        <v>7577</v>
      </c>
      <c r="E1081" s="2"/>
      <c r="F1081" s="2"/>
      <c r="G1081" s="2"/>
      <c r="H1081" s="2"/>
      <c r="I1081" s="3">
        <f t="shared" si="16"/>
        <v>354</v>
      </c>
    </row>
    <row r="1082" spans="1:9" ht="48" x14ac:dyDescent="0.3">
      <c r="A1082" s="2" t="s">
        <v>9568</v>
      </c>
      <c r="B1082" s="2" t="s">
        <v>1804</v>
      </c>
      <c r="C1082" s="2" t="s">
        <v>1805</v>
      </c>
      <c r="D1082" s="2" t="s">
        <v>7626</v>
      </c>
      <c r="E1082" s="2" t="s">
        <v>39</v>
      </c>
      <c r="F1082" s="2"/>
      <c r="G1082" s="2"/>
      <c r="H1082" s="2"/>
      <c r="I1082" s="3">
        <f t="shared" si="16"/>
        <v>361</v>
      </c>
    </row>
    <row r="1083" spans="1:9" ht="48" x14ac:dyDescent="0.3">
      <c r="A1083" s="2" t="s">
        <v>9568</v>
      </c>
      <c r="B1083" s="2" t="s">
        <v>3252</v>
      </c>
      <c r="C1083" s="2" t="s">
        <v>1983</v>
      </c>
      <c r="D1083" s="2" t="s">
        <v>9399</v>
      </c>
      <c r="E1083" s="2" t="s">
        <v>3700</v>
      </c>
      <c r="F1083" s="2" t="s">
        <v>1778</v>
      </c>
      <c r="G1083" s="2" t="s">
        <v>1717</v>
      </c>
      <c r="H1083" s="2" t="s">
        <v>646</v>
      </c>
      <c r="I1083" s="3">
        <f t="shared" si="16"/>
        <v>361</v>
      </c>
    </row>
    <row r="1084" spans="1:9" ht="48" x14ac:dyDescent="0.3">
      <c r="A1084" s="2" t="s">
        <v>9568</v>
      </c>
      <c r="B1084" s="2" t="s">
        <v>1746</v>
      </c>
      <c r="C1084" s="2" t="s">
        <v>7679</v>
      </c>
      <c r="D1084" s="2" t="s">
        <v>9404</v>
      </c>
      <c r="E1084" s="2" t="s">
        <v>39</v>
      </c>
      <c r="F1084" s="2" t="s">
        <v>2281</v>
      </c>
      <c r="G1084" s="2" t="s">
        <v>1717</v>
      </c>
      <c r="H1084" s="2" t="s">
        <v>646</v>
      </c>
      <c r="I1084" s="3">
        <f t="shared" si="16"/>
        <v>369</v>
      </c>
    </row>
    <row r="1085" spans="1:9" ht="48" x14ac:dyDescent="0.3">
      <c r="A1085" s="2" t="s">
        <v>9568</v>
      </c>
      <c r="B1085" s="2" t="s">
        <v>7677</v>
      </c>
      <c r="C1085" s="2" t="s">
        <v>1754</v>
      </c>
      <c r="D1085" s="2" t="s">
        <v>7678</v>
      </c>
      <c r="E1085" s="2" t="s">
        <v>39</v>
      </c>
      <c r="F1085" s="2"/>
      <c r="G1085" s="2"/>
      <c r="H1085" s="2"/>
      <c r="I1085" s="3">
        <f t="shared" si="16"/>
        <v>371</v>
      </c>
    </row>
    <row r="1086" spans="1:9" ht="48" x14ac:dyDescent="0.3">
      <c r="A1086" s="2" t="s">
        <v>9568</v>
      </c>
      <c r="B1086" s="2" t="s">
        <v>890</v>
      </c>
      <c r="C1086" s="2" t="s">
        <v>891</v>
      </c>
      <c r="D1086" s="2" t="s">
        <v>9338</v>
      </c>
      <c r="E1086" s="2"/>
      <c r="F1086" s="2" t="s">
        <v>1778</v>
      </c>
      <c r="G1086" s="2" t="s">
        <v>1717</v>
      </c>
      <c r="H1086" s="2" t="s">
        <v>646</v>
      </c>
      <c r="I1086" s="3">
        <f t="shared" si="16"/>
        <v>372</v>
      </c>
    </row>
    <row r="1087" spans="1:9" ht="48" x14ac:dyDescent="0.3">
      <c r="A1087" s="2" t="s">
        <v>9568</v>
      </c>
      <c r="B1087" s="2" t="s">
        <v>7726</v>
      </c>
      <c r="C1087" s="2" t="s">
        <v>7727</v>
      </c>
      <c r="D1087" s="2" t="s">
        <v>9405</v>
      </c>
      <c r="E1087" s="2" t="s">
        <v>2824</v>
      </c>
      <c r="F1087" s="2" t="s">
        <v>2281</v>
      </c>
      <c r="G1087" s="2" t="s">
        <v>1717</v>
      </c>
      <c r="H1087" s="2" t="s">
        <v>194</v>
      </c>
      <c r="I1087" s="3">
        <f t="shared" si="16"/>
        <v>379</v>
      </c>
    </row>
    <row r="1088" spans="1:9" ht="48" x14ac:dyDescent="0.3">
      <c r="A1088" s="2" t="s">
        <v>9568</v>
      </c>
      <c r="B1088" s="2" t="s">
        <v>1804</v>
      </c>
      <c r="C1088" s="2" t="s">
        <v>1805</v>
      </c>
      <c r="D1088" s="2" t="s">
        <v>7720</v>
      </c>
      <c r="E1088" s="2" t="s">
        <v>39</v>
      </c>
      <c r="F1088" s="2"/>
      <c r="G1088" s="2"/>
      <c r="H1088" s="2" t="s">
        <v>646</v>
      </c>
      <c r="I1088" s="3">
        <f t="shared" si="16"/>
        <v>381</v>
      </c>
    </row>
    <row r="1089" spans="1:9" ht="48" x14ac:dyDescent="0.3">
      <c r="A1089" s="2" t="s">
        <v>9567</v>
      </c>
      <c r="B1089" s="2" t="s">
        <v>4282</v>
      </c>
      <c r="C1089" s="2" t="s">
        <v>640</v>
      </c>
      <c r="D1089" s="2" t="s">
        <v>9017</v>
      </c>
      <c r="E1089" s="2" t="s">
        <v>2136</v>
      </c>
      <c r="F1089" s="2" t="s">
        <v>4117</v>
      </c>
      <c r="G1089" s="2" t="s">
        <v>1717</v>
      </c>
      <c r="H1089" s="2"/>
      <c r="I1089" s="3">
        <f t="shared" si="16"/>
        <v>382</v>
      </c>
    </row>
    <row r="1090" spans="1:9" ht="48" x14ac:dyDescent="0.3">
      <c r="A1090" s="2" t="s">
        <v>9568</v>
      </c>
      <c r="B1090" s="2" t="s">
        <v>7749</v>
      </c>
      <c r="C1090" s="2" t="s">
        <v>6446</v>
      </c>
      <c r="D1090" s="2" t="s">
        <v>9345</v>
      </c>
      <c r="E1090" s="2" t="s">
        <v>39</v>
      </c>
      <c r="F1090" s="2" t="s">
        <v>1778</v>
      </c>
      <c r="G1090" s="2" t="s">
        <v>1717</v>
      </c>
      <c r="H1090" s="2" t="s">
        <v>646</v>
      </c>
      <c r="I1090" s="3">
        <f t="shared" ref="I1090:I1097" si="17">LEN(D1090)</f>
        <v>384</v>
      </c>
    </row>
    <row r="1091" spans="1:9" ht="48" x14ac:dyDescent="0.3">
      <c r="A1091" s="2" t="s">
        <v>9571</v>
      </c>
      <c r="B1091" s="2" t="s">
        <v>7803</v>
      </c>
      <c r="C1091" s="2" t="s">
        <v>7804</v>
      </c>
      <c r="D1091" s="2" t="s">
        <v>7805</v>
      </c>
      <c r="E1091" s="2" t="s">
        <v>39</v>
      </c>
      <c r="F1091" s="2"/>
      <c r="G1091" s="2"/>
      <c r="H1091" s="2"/>
      <c r="I1091" s="3">
        <f t="shared" si="17"/>
        <v>398</v>
      </c>
    </row>
    <row r="1092" spans="1:9" ht="48" x14ac:dyDescent="0.3">
      <c r="A1092" s="2" t="s">
        <v>9568</v>
      </c>
      <c r="B1092" s="2" t="s">
        <v>1804</v>
      </c>
      <c r="C1092" s="2" t="s">
        <v>1805</v>
      </c>
      <c r="D1092" s="2" t="s">
        <v>7813</v>
      </c>
      <c r="E1092" s="2" t="s">
        <v>39</v>
      </c>
      <c r="F1092" s="2"/>
      <c r="G1092" s="2"/>
      <c r="H1092" s="2"/>
      <c r="I1092" s="3">
        <f t="shared" si="17"/>
        <v>401</v>
      </c>
    </row>
    <row r="1093" spans="1:9" ht="48" x14ac:dyDescent="0.3">
      <c r="A1093" s="2" t="s">
        <v>9568</v>
      </c>
      <c r="B1093" s="2" t="s">
        <v>7826</v>
      </c>
      <c r="C1093" s="2" t="s">
        <v>1244</v>
      </c>
      <c r="D1093" s="2" t="s">
        <v>7827</v>
      </c>
      <c r="E1093" s="2" t="s">
        <v>39</v>
      </c>
      <c r="F1093" s="2"/>
      <c r="G1093" s="2"/>
      <c r="H1093" s="2"/>
      <c r="I1093" s="3">
        <f t="shared" si="17"/>
        <v>406</v>
      </c>
    </row>
    <row r="1094" spans="1:9" ht="60" x14ac:dyDescent="0.3">
      <c r="A1094" s="2" t="s">
        <v>9568</v>
      </c>
      <c r="B1094" s="2" t="s">
        <v>4227</v>
      </c>
      <c r="C1094" s="2" t="s">
        <v>823</v>
      </c>
      <c r="D1094" s="2" t="s">
        <v>9362</v>
      </c>
      <c r="E1094" s="2"/>
      <c r="F1094" s="2" t="s">
        <v>7885</v>
      </c>
      <c r="G1094" s="2" t="s">
        <v>1717</v>
      </c>
      <c r="H1094" s="2" t="s">
        <v>646</v>
      </c>
      <c r="I1094" s="3">
        <f t="shared" si="17"/>
        <v>417</v>
      </c>
    </row>
    <row r="1095" spans="1:9" ht="60" x14ac:dyDescent="0.3">
      <c r="A1095" s="2" t="s">
        <v>9568</v>
      </c>
      <c r="B1095" s="2" t="s">
        <v>6536</v>
      </c>
      <c r="C1095" s="2" t="s">
        <v>7877</v>
      </c>
      <c r="D1095" s="2" t="s">
        <v>9396</v>
      </c>
      <c r="E1095" s="2" t="s">
        <v>2693</v>
      </c>
      <c r="F1095" s="2" t="s">
        <v>1778</v>
      </c>
      <c r="G1095" s="2" t="s">
        <v>1717</v>
      </c>
      <c r="H1095" s="2" t="s">
        <v>898</v>
      </c>
      <c r="I1095" s="3">
        <f t="shared" si="17"/>
        <v>417</v>
      </c>
    </row>
    <row r="1096" spans="1:9" ht="60" x14ac:dyDescent="0.3">
      <c r="A1096" s="2" t="s">
        <v>9567</v>
      </c>
      <c r="B1096" s="2" t="s">
        <v>1634</v>
      </c>
      <c r="C1096" s="2" t="s">
        <v>2057</v>
      </c>
      <c r="D1096" s="2" t="s">
        <v>7876</v>
      </c>
      <c r="E1096" s="2"/>
      <c r="F1096" s="2"/>
      <c r="G1096" s="2"/>
      <c r="H1096" s="2" t="s">
        <v>194</v>
      </c>
      <c r="I1096" s="3">
        <f t="shared" si="17"/>
        <v>418</v>
      </c>
    </row>
    <row r="1097" spans="1:9" ht="60" x14ac:dyDescent="0.3">
      <c r="A1097" s="2" t="s">
        <v>9568</v>
      </c>
      <c r="B1097" s="2" t="s">
        <v>3395</v>
      </c>
      <c r="C1097" s="2" t="s">
        <v>7907</v>
      </c>
      <c r="D1097" s="2" t="s">
        <v>9385</v>
      </c>
      <c r="E1097" s="2" t="s">
        <v>242</v>
      </c>
      <c r="F1097" s="2" t="s">
        <v>2281</v>
      </c>
      <c r="G1097" s="2" t="s">
        <v>1717</v>
      </c>
      <c r="H1097" s="2" t="s">
        <v>898</v>
      </c>
      <c r="I1097" s="3">
        <f t="shared" si="17"/>
        <v>424</v>
      </c>
    </row>
    <row r="1098" spans="1:9" ht="60" x14ac:dyDescent="0.3">
      <c r="A1098" s="2" t="s">
        <v>9568</v>
      </c>
      <c r="B1098" s="2" t="s">
        <v>1804</v>
      </c>
      <c r="C1098" s="2" t="s">
        <v>1805</v>
      </c>
      <c r="D1098" s="2" t="s">
        <v>9359</v>
      </c>
      <c r="E1098" s="2" t="s">
        <v>39</v>
      </c>
      <c r="F1098" s="2" t="s">
        <v>2281</v>
      </c>
      <c r="G1098" s="2" t="s">
        <v>1717</v>
      </c>
      <c r="H1098" s="2"/>
      <c r="I1098" s="3">
        <v>431</v>
      </c>
    </row>
    <row r="1099" spans="1:9" ht="60" x14ac:dyDescent="0.3">
      <c r="A1099" s="2" t="s">
        <v>9568</v>
      </c>
      <c r="B1099" s="2" t="s">
        <v>7945</v>
      </c>
      <c r="C1099" s="2" t="s">
        <v>7946</v>
      </c>
      <c r="D1099" s="2" t="s">
        <v>9378</v>
      </c>
      <c r="E1099" s="2" t="s">
        <v>39</v>
      </c>
      <c r="F1099" s="2" t="s">
        <v>4117</v>
      </c>
      <c r="G1099" s="2" t="s">
        <v>1717</v>
      </c>
      <c r="H1099" s="2" t="s">
        <v>646</v>
      </c>
      <c r="I1099" s="3">
        <f>LEN(D1099)</f>
        <v>435</v>
      </c>
    </row>
    <row r="1100" spans="1:9" ht="60" x14ac:dyDescent="0.3">
      <c r="A1100" s="2" t="s">
        <v>9568</v>
      </c>
      <c r="B1100" s="2" t="s">
        <v>1641</v>
      </c>
      <c r="C1100" s="2" t="s">
        <v>7957</v>
      </c>
      <c r="D1100" s="2" t="s">
        <v>9398</v>
      </c>
      <c r="E1100" s="2" t="s">
        <v>7958</v>
      </c>
      <c r="F1100" s="2" t="s">
        <v>1778</v>
      </c>
      <c r="G1100" s="2" t="s">
        <v>1717</v>
      </c>
      <c r="H1100" s="2" t="s">
        <v>646</v>
      </c>
      <c r="I1100" s="3">
        <f>LEN(D1100)</f>
        <v>436</v>
      </c>
    </row>
    <row r="1101" spans="1:9" ht="60" x14ac:dyDescent="0.3">
      <c r="A1101" s="2" t="s">
        <v>9568</v>
      </c>
      <c r="B1101" s="2" t="s">
        <v>1804</v>
      </c>
      <c r="C1101" s="2" t="s">
        <v>1805</v>
      </c>
      <c r="D1101" s="2" t="s">
        <v>9360</v>
      </c>
      <c r="E1101" s="2"/>
      <c r="F1101" s="2"/>
      <c r="G1101" s="2"/>
      <c r="H1101" s="2"/>
      <c r="I1101" s="3">
        <v>440</v>
      </c>
    </row>
    <row r="1102" spans="1:9" ht="60" x14ac:dyDescent="0.3">
      <c r="A1102" s="2" t="s">
        <v>9568</v>
      </c>
      <c r="B1102" s="2" t="s">
        <v>7989</v>
      </c>
      <c r="C1102" s="2" t="s">
        <v>7990</v>
      </c>
      <c r="D1102" s="2" t="s">
        <v>7991</v>
      </c>
      <c r="E1102" s="2" t="s">
        <v>39</v>
      </c>
      <c r="F1102" s="2"/>
      <c r="G1102" s="2" t="s">
        <v>1717</v>
      </c>
      <c r="H1102" s="2" t="s">
        <v>646</v>
      </c>
      <c r="I1102" s="3">
        <v>444</v>
      </c>
    </row>
    <row r="1103" spans="1:9" x14ac:dyDescent="0.3">
      <c r="A1103" s="2" t="s">
        <v>9568</v>
      </c>
      <c r="B1103" s="2" t="s">
        <v>7997</v>
      </c>
      <c r="C1103" s="2" t="s">
        <v>1244</v>
      </c>
      <c r="D1103" s="2" t="s">
        <v>7998</v>
      </c>
      <c r="E1103" s="2" t="s">
        <v>39</v>
      </c>
      <c r="F1103" s="2"/>
      <c r="G1103" s="2"/>
      <c r="H1103" s="2"/>
      <c r="I1103" s="3">
        <v>445</v>
      </c>
    </row>
    <row r="1104" spans="1:9" ht="60" x14ac:dyDescent="0.3">
      <c r="A1104" s="2" t="s">
        <v>9568</v>
      </c>
      <c r="B1104" s="2" t="s">
        <v>8002</v>
      </c>
      <c r="C1104" s="2" t="s">
        <v>8003</v>
      </c>
      <c r="D1104" s="2" t="s">
        <v>8004</v>
      </c>
      <c r="E1104" s="2" t="s">
        <v>8005</v>
      </c>
      <c r="F1104" s="2"/>
      <c r="G1104" s="2"/>
      <c r="H1104" s="2" t="s">
        <v>646</v>
      </c>
      <c r="I1104" s="3">
        <f>LEN(D1104)</f>
        <v>447</v>
      </c>
    </row>
    <row r="1105" spans="1:9" x14ac:dyDescent="0.3">
      <c r="A1105" s="2" t="s">
        <v>9569</v>
      </c>
      <c r="B1105" s="2" t="s">
        <v>5152</v>
      </c>
      <c r="C1105" s="2" t="s">
        <v>2063</v>
      </c>
      <c r="D1105" s="2" t="s">
        <v>2252</v>
      </c>
      <c r="E1105" s="2"/>
      <c r="F1105" s="2"/>
      <c r="G1105" s="2"/>
      <c r="H1105" s="2"/>
      <c r="I1105" s="3">
        <v>464</v>
      </c>
    </row>
    <row r="1106" spans="1:9" ht="60" x14ac:dyDescent="0.3">
      <c r="A1106" s="2" t="s">
        <v>9568</v>
      </c>
      <c r="B1106" s="2" t="s">
        <v>6279</v>
      </c>
      <c r="C1106" s="2" t="s">
        <v>1754</v>
      </c>
      <c r="D1106" s="2" t="s">
        <v>8098</v>
      </c>
      <c r="E1106" s="2" t="s">
        <v>39</v>
      </c>
      <c r="F1106" s="2"/>
      <c r="G1106" s="2"/>
      <c r="H1106" s="2"/>
      <c r="I1106" s="3">
        <f>LEN(D1106)</f>
        <v>476</v>
      </c>
    </row>
    <row r="1107" spans="1:9" x14ac:dyDescent="0.3">
      <c r="A1107" s="2" t="s">
        <v>9568</v>
      </c>
      <c r="B1107" s="2" t="s">
        <v>8107</v>
      </c>
      <c r="C1107" s="2" t="s">
        <v>1178</v>
      </c>
      <c r="D1107" s="2" t="s">
        <v>8108</v>
      </c>
      <c r="E1107" s="2" t="s">
        <v>39</v>
      </c>
      <c r="F1107" s="2"/>
      <c r="G1107" s="2"/>
      <c r="H1107" s="2"/>
      <c r="I1107" s="3">
        <v>479</v>
      </c>
    </row>
    <row r="1108" spans="1:9" ht="48" x14ac:dyDescent="0.3">
      <c r="A1108" s="2" t="s">
        <v>9568</v>
      </c>
      <c r="B1108" s="2" t="s">
        <v>8122</v>
      </c>
      <c r="C1108" s="2" t="s">
        <v>2519</v>
      </c>
      <c r="D1108" s="2" t="s">
        <v>8123</v>
      </c>
      <c r="E1108" s="2"/>
      <c r="F1108" s="2"/>
      <c r="G1108" s="2"/>
      <c r="H1108" s="2"/>
      <c r="I1108" s="3">
        <v>485</v>
      </c>
    </row>
    <row r="1109" spans="1:9" x14ac:dyDescent="0.3">
      <c r="A1109" s="2" t="s">
        <v>9568</v>
      </c>
      <c r="B1109" s="2" t="s">
        <v>8122</v>
      </c>
      <c r="C1109" s="2" t="s">
        <v>2519</v>
      </c>
      <c r="D1109" s="2" t="s">
        <v>8124</v>
      </c>
      <c r="E1109" s="2"/>
      <c r="F1109" s="2"/>
      <c r="G1109" s="2"/>
      <c r="H1109" s="2"/>
      <c r="I1109" s="3">
        <v>485</v>
      </c>
    </row>
    <row r="1110" spans="1:9" x14ac:dyDescent="0.3">
      <c r="A1110" s="2" t="s">
        <v>9568</v>
      </c>
      <c r="B1110" s="2" t="s">
        <v>8125</v>
      </c>
      <c r="C1110" s="2" t="s">
        <v>222</v>
      </c>
      <c r="D1110" s="2" t="s">
        <v>8126</v>
      </c>
      <c r="E1110" s="2" t="s">
        <v>2709</v>
      </c>
      <c r="F1110" s="2"/>
      <c r="G1110" s="2"/>
      <c r="H1110" s="2"/>
      <c r="I1110" s="3">
        <v>485</v>
      </c>
    </row>
    <row r="1111" spans="1:9" ht="24" x14ac:dyDescent="0.3">
      <c r="A1111" s="2" t="s">
        <v>9568</v>
      </c>
      <c r="B1111" s="2" t="s">
        <v>6716</v>
      </c>
      <c r="C1111" s="2" t="s">
        <v>222</v>
      </c>
      <c r="D1111" s="2" t="s">
        <v>8145</v>
      </c>
      <c r="E1111" s="2"/>
      <c r="F1111" s="2"/>
      <c r="G1111" s="2"/>
      <c r="H1111" s="2"/>
      <c r="I1111" s="3">
        <v>494</v>
      </c>
    </row>
    <row r="1112" spans="1:9" x14ac:dyDescent="0.3">
      <c r="A1112" s="2" t="s">
        <v>9568</v>
      </c>
      <c r="B1112" s="2" t="s">
        <v>7749</v>
      </c>
      <c r="C1112" s="2" t="s">
        <v>2519</v>
      </c>
      <c r="D1112" s="2" t="s">
        <v>8150</v>
      </c>
      <c r="E1112" s="2" t="s">
        <v>39</v>
      </c>
      <c r="F1112" s="2"/>
      <c r="G1112" s="2"/>
      <c r="H1112" s="2"/>
      <c r="I1112" s="3">
        <v>494</v>
      </c>
    </row>
    <row r="1113" spans="1:9" ht="60" x14ac:dyDescent="0.3">
      <c r="A1113" s="2" t="s">
        <v>9568</v>
      </c>
      <c r="B1113" s="2" t="s">
        <v>8153</v>
      </c>
      <c r="C1113" s="2" t="s">
        <v>8154</v>
      </c>
      <c r="D1113" s="2" t="s">
        <v>9354</v>
      </c>
      <c r="E1113" s="2" t="s">
        <v>39</v>
      </c>
      <c r="F1113" s="2" t="s">
        <v>1778</v>
      </c>
      <c r="G1113" s="2" t="s">
        <v>1717</v>
      </c>
      <c r="H1113" s="2" t="s">
        <v>646</v>
      </c>
      <c r="I1113" s="3">
        <v>496</v>
      </c>
    </row>
    <row r="1114" spans="1:9" ht="72" x14ac:dyDescent="0.3">
      <c r="A1114" s="2" t="s">
        <v>9568</v>
      </c>
      <c r="B1114" s="2" t="s">
        <v>3769</v>
      </c>
      <c r="C1114" s="2" t="s">
        <v>6391</v>
      </c>
      <c r="D1114" s="2" t="s">
        <v>9353</v>
      </c>
      <c r="E1114" s="2" t="s">
        <v>8195</v>
      </c>
      <c r="F1114" s="2" t="s">
        <v>1778</v>
      </c>
      <c r="G1114" s="2" t="s">
        <v>1717</v>
      </c>
      <c r="H1114" s="2" t="s">
        <v>646</v>
      </c>
      <c r="I1114" s="3">
        <f t="shared" ref="I1114:I1126" si="18">LEN(D1114)</f>
        <v>522</v>
      </c>
    </row>
    <row r="1115" spans="1:9" ht="72" x14ac:dyDescent="0.3">
      <c r="A1115" s="2" t="s">
        <v>9568</v>
      </c>
      <c r="B1115" s="2" t="s">
        <v>8201</v>
      </c>
      <c r="C1115" s="2" t="s">
        <v>6391</v>
      </c>
      <c r="D1115" s="2" t="s">
        <v>9382</v>
      </c>
      <c r="E1115" s="2" t="s">
        <v>8202</v>
      </c>
      <c r="F1115" s="2" t="s">
        <v>1778</v>
      </c>
      <c r="G1115" s="2" t="s">
        <v>1717</v>
      </c>
      <c r="H1115" s="2" t="s">
        <v>194</v>
      </c>
      <c r="I1115" s="3">
        <f t="shared" si="18"/>
        <v>524</v>
      </c>
    </row>
    <row r="1116" spans="1:9" ht="72" x14ac:dyDescent="0.3">
      <c r="A1116" s="2" t="s">
        <v>9568</v>
      </c>
      <c r="B1116" s="2" t="s">
        <v>8241</v>
      </c>
      <c r="C1116" s="2" t="s">
        <v>8242</v>
      </c>
      <c r="D1116" s="2" t="s">
        <v>9341</v>
      </c>
      <c r="E1116" s="2" t="s">
        <v>8243</v>
      </c>
      <c r="F1116" s="2" t="s">
        <v>1778</v>
      </c>
      <c r="G1116" s="2" t="s">
        <v>350</v>
      </c>
      <c r="H1116" s="2" t="s">
        <v>537</v>
      </c>
      <c r="I1116" s="3">
        <f t="shared" si="18"/>
        <v>539</v>
      </c>
    </row>
    <row r="1117" spans="1:9" ht="84" x14ac:dyDescent="0.3">
      <c r="A1117" s="2" t="s">
        <v>9571</v>
      </c>
      <c r="B1117" s="2" t="s">
        <v>8362</v>
      </c>
      <c r="C1117" s="2" t="s">
        <v>8363</v>
      </c>
      <c r="D1117" s="2" t="s">
        <v>8364</v>
      </c>
      <c r="E1117" s="2" t="s">
        <v>2693</v>
      </c>
      <c r="F1117" s="2"/>
      <c r="G1117" s="2" t="s">
        <v>1717</v>
      </c>
      <c r="H1117" s="2" t="s">
        <v>3494</v>
      </c>
      <c r="I1117" s="3">
        <f t="shared" si="18"/>
        <v>606</v>
      </c>
    </row>
    <row r="1118" spans="1:9" ht="72" x14ac:dyDescent="0.3">
      <c r="A1118" s="2" t="s">
        <v>9568</v>
      </c>
      <c r="B1118" s="2" t="s">
        <v>8372</v>
      </c>
      <c r="C1118" s="2" t="s">
        <v>8373</v>
      </c>
      <c r="D1118" s="2" t="s">
        <v>8374</v>
      </c>
      <c r="E1118" s="2" t="s">
        <v>3226</v>
      </c>
      <c r="F1118" s="2"/>
      <c r="G1118" s="2"/>
      <c r="H1118" s="2" t="s">
        <v>646</v>
      </c>
      <c r="I1118" s="3">
        <f t="shared" si="18"/>
        <v>612</v>
      </c>
    </row>
    <row r="1119" spans="1:9" ht="84" x14ac:dyDescent="0.3">
      <c r="A1119" s="2" t="s">
        <v>9571</v>
      </c>
      <c r="B1119" s="2" t="s">
        <v>4870</v>
      </c>
      <c r="C1119" s="2" t="s">
        <v>896</v>
      </c>
      <c r="D1119" s="2" t="s">
        <v>9324</v>
      </c>
      <c r="E1119" s="2" t="s">
        <v>1692</v>
      </c>
      <c r="F1119" s="2" t="s">
        <v>1778</v>
      </c>
      <c r="G1119" s="2" t="s">
        <v>1717</v>
      </c>
      <c r="H1119" s="2" t="s">
        <v>3494</v>
      </c>
      <c r="I1119" s="3">
        <f t="shared" si="18"/>
        <v>613</v>
      </c>
    </row>
    <row r="1120" spans="1:9" ht="84" x14ac:dyDescent="0.3">
      <c r="A1120" s="2" t="s">
        <v>9568</v>
      </c>
      <c r="B1120" s="2" t="s">
        <v>7989</v>
      </c>
      <c r="C1120" s="2" t="s">
        <v>8441</v>
      </c>
      <c r="D1120" s="2" t="s">
        <v>8442</v>
      </c>
      <c r="E1120" s="2" t="s">
        <v>8443</v>
      </c>
      <c r="F1120" s="2"/>
      <c r="G1120" s="2"/>
      <c r="H1120" s="2" t="s">
        <v>646</v>
      </c>
      <c r="I1120" s="3">
        <f t="shared" si="18"/>
        <v>668</v>
      </c>
    </row>
    <row r="1121" spans="1:9" ht="96" x14ac:dyDescent="0.3">
      <c r="A1121" s="2" t="s">
        <v>9571</v>
      </c>
      <c r="B1121" s="2" t="s">
        <v>3315</v>
      </c>
      <c r="C1121" s="2" t="s">
        <v>8481</v>
      </c>
      <c r="D1121" s="2" t="s">
        <v>9325</v>
      </c>
      <c r="E1121" s="2" t="s">
        <v>6316</v>
      </c>
      <c r="F1121" s="2" t="s">
        <v>350</v>
      </c>
      <c r="G1121" s="2" t="s">
        <v>1717</v>
      </c>
      <c r="H1121" s="2" t="s">
        <v>86</v>
      </c>
      <c r="I1121" s="3">
        <f t="shared" si="18"/>
        <v>712</v>
      </c>
    </row>
    <row r="1122" spans="1:9" ht="96" x14ac:dyDescent="0.3">
      <c r="A1122" s="2" t="s">
        <v>9568</v>
      </c>
      <c r="B1122" s="2" t="s">
        <v>8492</v>
      </c>
      <c r="C1122" s="2" t="s">
        <v>6391</v>
      </c>
      <c r="D1122" s="2" t="s">
        <v>9379</v>
      </c>
      <c r="E1122" s="2" t="s">
        <v>734</v>
      </c>
      <c r="F1122" s="2" t="s">
        <v>1778</v>
      </c>
      <c r="G1122" s="2" t="s">
        <v>1717</v>
      </c>
      <c r="H1122" s="2" t="s">
        <v>646</v>
      </c>
      <c r="I1122" s="3">
        <f t="shared" si="18"/>
        <v>719</v>
      </c>
    </row>
    <row r="1123" spans="1:9" ht="96" x14ac:dyDescent="0.3">
      <c r="A1123" s="2" t="s">
        <v>9571</v>
      </c>
      <c r="B1123" s="2" t="s">
        <v>8521</v>
      </c>
      <c r="C1123" s="2" t="s">
        <v>8522</v>
      </c>
      <c r="D1123" s="2" t="s">
        <v>9326</v>
      </c>
      <c r="E1123" s="2"/>
      <c r="F1123" s="2" t="s">
        <v>3082</v>
      </c>
      <c r="G1123" s="2" t="s">
        <v>1717</v>
      </c>
      <c r="H1123" s="2" t="s">
        <v>3494</v>
      </c>
      <c r="I1123" s="3">
        <f t="shared" si="18"/>
        <v>780</v>
      </c>
    </row>
    <row r="1124" spans="1:9" ht="120" x14ac:dyDescent="0.3">
      <c r="A1124" s="2" t="s">
        <v>9568</v>
      </c>
      <c r="B1124" s="2" t="s">
        <v>8578</v>
      </c>
      <c r="C1124" s="2" t="s">
        <v>8579</v>
      </c>
      <c r="D1124" s="2" t="s">
        <v>8580</v>
      </c>
      <c r="E1124" s="2" t="s">
        <v>39</v>
      </c>
      <c r="F1124" s="2"/>
      <c r="G1124" s="2" t="s">
        <v>1717</v>
      </c>
      <c r="H1124" s="2" t="s">
        <v>537</v>
      </c>
      <c r="I1124" s="3">
        <f t="shared" si="18"/>
        <v>915</v>
      </c>
    </row>
    <row r="1125" spans="1:9" ht="120" x14ac:dyDescent="0.3">
      <c r="A1125" s="2" t="s">
        <v>9568</v>
      </c>
      <c r="B1125" s="2" t="s">
        <v>8595</v>
      </c>
      <c r="C1125" s="2" t="s">
        <v>8596</v>
      </c>
      <c r="D1125" s="2" t="s">
        <v>9393</v>
      </c>
      <c r="E1125" s="2" t="s">
        <v>39</v>
      </c>
      <c r="F1125" s="2" t="s">
        <v>1778</v>
      </c>
      <c r="G1125" s="2" t="s">
        <v>1717</v>
      </c>
      <c r="H1125" s="2"/>
      <c r="I1125" s="3">
        <f t="shared" si="18"/>
        <v>956</v>
      </c>
    </row>
    <row r="1126" spans="1:9" ht="132" x14ac:dyDescent="0.3">
      <c r="A1126" s="2" t="s">
        <v>9567</v>
      </c>
      <c r="B1126" s="2" t="s">
        <v>1321</v>
      </c>
      <c r="C1126" s="2" t="s">
        <v>8621</v>
      </c>
      <c r="D1126" s="2" t="s">
        <v>9018</v>
      </c>
      <c r="E1126" s="2" t="s">
        <v>8622</v>
      </c>
      <c r="F1126" s="2" t="s">
        <v>1778</v>
      </c>
      <c r="G1126" s="2" t="s">
        <v>1717</v>
      </c>
      <c r="H1126" s="2" t="s">
        <v>1176</v>
      </c>
      <c r="I1126" s="3">
        <f t="shared" si="18"/>
        <v>1120</v>
      </c>
    </row>
  </sheetData>
  <autoFilter ref="A1:I1126" xr:uid="{00000000-0009-0000-0000-000000000000}">
    <sortState xmlns:xlrd2="http://schemas.microsoft.com/office/spreadsheetml/2017/richdata2" ref="A2:I1126">
      <sortCondition ref="I1:I325"/>
    </sortState>
  </autoFilter>
  <conditionalFormatting sqref="H1:H1126">
    <cfRule type="notContainsBlanks" dxfId="1" priority="1">
      <formula>LEN(TRIM(H1))&gt;0</formula>
    </cfRule>
  </conditionalFormatting>
  <dataValidations count="4">
    <dataValidation type="list" allowBlank="1" sqref="H2:H795 H797:H1126" xr:uid="{C48030CA-3094-4DA4-B5B4-BFDDD27DF78D}">
      <formula1>#REF!</formula1>
    </dataValidation>
    <dataValidation type="list" allowBlank="1" showErrorMessage="1" sqref="C2:C325 C797:C1126" xr:uid="{A1E9644E-6508-4D2B-AD13-EC1633668464}">
      <formula1>#REF!</formula1>
    </dataValidation>
    <dataValidation allowBlank="1" sqref="H796" xr:uid="{4BCA0028-B804-4FDA-A907-D0B05FD411E2}"/>
    <dataValidation allowBlank="1" showErrorMessage="1" sqref="C326:C796" xr:uid="{2D2AF2D7-EA52-4EEE-BF55-4D4A469E92A1}"/>
  </dataValidations>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19992-B4CC-417B-918E-C53356CF5A2A}">
  <dimension ref="A1:I129"/>
  <sheetViews>
    <sheetView workbookViewId="0">
      <pane ySplit="1" topLeftCell="A2" activePane="bottomLeft" state="frozen"/>
      <selection pane="bottomLeft" activeCell="A2" sqref="A2"/>
    </sheetView>
  </sheetViews>
  <sheetFormatPr defaultColWidth="14.44140625" defaultRowHeight="14.4" x14ac:dyDescent="0.3"/>
  <cols>
    <col min="1" max="1" width="17.44140625" customWidth="1"/>
    <col min="2" max="2" width="21.33203125" customWidth="1"/>
    <col min="3" max="3" width="30.33203125" customWidth="1"/>
    <col min="4" max="4" width="79.6640625" customWidth="1"/>
    <col min="5" max="5" width="22.5546875" customWidth="1"/>
    <col min="6" max="6" width="16.109375" customWidth="1"/>
    <col min="7" max="7" width="14.6640625" customWidth="1"/>
    <col min="8" max="8" width="17.88671875" customWidth="1"/>
    <col min="9" max="9" width="8.88671875" customWidth="1"/>
  </cols>
  <sheetData>
    <row r="1" spans="1:9" x14ac:dyDescent="0.3">
      <c r="A1" s="1" t="s">
        <v>0</v>
      </c>
      <c r="B1" s="1" t="s">
        <v>1</v>
      </c>
      <c r="C1" s="1" t="s">
        <v>2</v>
      </c>
      <c r="D1" s="1" t="s">
        <v>3</v>
      </c>
      <c r="E1" s="1" t="s">
        <v>4</v>
      </c>
      <c r="F1" s="1" t="s">
        <v>5</v>
      </c>
      <c r="G1" s="1" t="s">
        <v>6</v>
      </c>
      <c r="H1" s="1" t="s">
        <v>7</v>
      </c>
      <c r="I1" s="1" t="s">
        <v>8</v>
      </c>
    </row>
    <row r="2" spans="1:9" x14ac:dyDescent="0.3">
      <c r="A2" s="2" t="s">
        <v>172</v>
      </c>
      <c r="B2" s="2" t="s">
        <v>173</v>
      </c>
      <c r="C2" s="2"/>
      <c r="D2" s="2" t="s">
        <v>174</v>
      </c>
      <c r="E2" s="2"/>
      <c r="F2" s="2"/>
      <c r="G2" s="2"/>
      <c r="H2" s="2"/>
      <c r="I2" s="3">
        <f t="shared" ref="I2:I33" si="0">LEN(D2)</f>
        <v>23</v>
      </c>
    </row>
    <row r="3" spans="1:9" x14ac:dyDescent="0.3">
      <c r="A3" s="2" t="s">
        <v>172</v>
      </c>
      <c r="B3" s="2" t="s">
        <v>486</v>
      </c>
      <c r="C3" s="2" t="s">
        <v>348</v>
      </c>
      <c r="D3" s="2" t="s">
        <v>487</v>
      </c>
      <c r="E3" s="2"/>
      <c r="F3" s="2"/>
      <c r="G3" s="2" t="s">
        <v>350</v>
      </c>
      <c r="H3" s="2"/>
      <c r="I3" s="3">
        <f t="shared" si="0"/>
        <v>40</v>
      </c>
    </row>
    <row r="4" spans="1:9" x14ac:dyDescent="0.3">
      <c r="A4" s="2" t="s">
        <v>172</v>
      </c>
      <c r="B4" s="2" t="s">
        <v>771</v>
      </c>
      <c r="C4" s="2"/>
      <c r="D4" s="2" t="s">
        <v>772</v>
      </c>
      <c r="E4" s="2"/>
      <c r="F4" s="2"/>
      <c r="G4" s="2"/>
      <c r="H4" s="2"/>
      <c r="I4" s="3">
        <f t="shared" si="0"/>
        <v>49</v>
      </c>
    </row>
    <row r="5" spans="1:9" x14ac:dyDescent="0.3">
      <c r="A5" s="2" t="s">
        <v>172</v>
      </c>
      <c r="B5" s="2" t="s">
        <v>945</v>
      </c>
      <c r="C5" s="2" t="s">
        <v>946</v>
      </c>
      <c r="D5" s="2" t="s">
        <v>947</v>
      </c>
      <c r="E5" s="2"/>
      <c r="F5" s="2"/>
      <c r="G5" s="2"/>
      <c r="H5" s="2"/>
      <c r="I5" s="3">
        <f t="shared" si="0"/>
        <v>53</v>
      </c>
    </row>
    <row r="6" spans="1:9" x14ac:dyDescent="0.3">
      <c r="A6" s="2" t="s">
        <v>172</v>
      </c>
      <c r="B6" s="2" t="s">
        <v>948</v>
      </c>
      <c r="C6" s="2"/>
      <c r="D6" s="2" t="s">
        <v>949</v>
      </c>
      <c r="E6" s="2"/>
      <c r="F6" s="2"/>
      <c r="G6" s="2"/>
      <c r="H6" s="2"/>
      <c r="I6" s="3">
        <f t="shared" si="0"/>
        <v>53</v>
      </c>
    </row>
    <row r="7" spans="1:9" x14ac:dyDescent="0.3">
      <c r="A7" s="2" t="s">
        <v>172</v>
      </c>
      <c r="B7" s="2" t="s">
        <v>1092</v>
      </c>
      <c r="C7" s="2"/>
      <c r="D7" s="2" t="s">
        <v>1093</v>
      </c>
      <c r="E7" s="2" t="s">
        <v>39</v>
      </c>
      <c r="F7" s="2"/>
      <c r="G7" s="2"/>
      <c r="H7" s="2"/>
      <c r="I7" s="3">
        <f t="shared" si="0"/>
        <v>57</v>
      </c>
    </row>
    <row r="8" spans="1:9" x14ac:dyDescent="0.3">
      <c r="A8" s="2" t="s">
        <v>172</v>
      </c>
      <c r="B8" s="2" t="s">
        <v>1165</v>
      </c>
      <c r="C8" s="2" t="s">
        <v>240</v>
      </c>
      <c r="D8" s="2" t="s">
        <v>1166</v>
      </c>
      <c r="E8" s="2"/>
      <c r="F8" s="2"/>
      <c r="G8" s="2"/>
      <c r="H8" s="2"/>
      <c r="I8" s="3">
        <f t="shared" si="0"/>
        <v>58</v>
      </c>
    </row>
    <row r="9" spans="1:9" x14ac:dyDescent="0.3">
      <c r="A9" s="2" t="s">
        <v>172</v>
      </c>
      <c r="B9" s="2" t="s">
        <v>1195</v>
      </c>
      <c r="C9" s="2" t="s">
        <v>206</v>
      </c>
      <c r="D9" s="2" t="s">
        <v>1196</v>
      </c>
      <c r="E9" s="2"/>
      <c r="F9" s="2"/>
      <c r="G9" s="2"/>
      <c r="H9" s="2" t="s">
        <v>194</v>
      </c>
      <c r="I9" s="3">
        <f t="shared" si="0"/>
        <v>59</v>
      </c>
    </row>
    <row r="10" spans="1:9" x14ac:dyDescent="0.3">
      <c r="A10" s="2" t="s">
        <v>172</v>
      </c>
      <c r="B10" s="2" t="s">
        <v>1203</v>
      </c>
      <c r="C10" s="2" t="s">
        <v>14</v>
      </c>
      <c r="D10" s="2" t="s">
        <v>1204</v>
      </c>
      <c r="E10" s="2"/>
      <c r="F10" s="2"/>
      <c r="G10" s="2"/>
      <c r="H10" s="2"/>
      <c r="I10" s="3">
        <f t="shared" si="0"/>
        <v>59</v>
      </c>
    </row>
    <row r="11" spans="1:9" x14ac:dyDescent="0.3">
      <c r="A11" s="2" t="s">
        <v>172</v>
      </c>
      <c r="B11" s="2" t="s">
        <v>1263</v>
      </c>
      <c r="C11" s="2"/>
      <c r="D11" s="2" t="s">
        <v>1264</v>
      </c>
      <c r="E11" s="2"/>
      <c r="F11" s="2"/>
      <c r="G11" s="2"/>
      <c r="H11" s="2"/>
      <c r="I11" s="3">
        <f t="shared" si="0"/>
        <v>60</v>
      </c>
    </row>
    <row r="12" spans="1:9" x14ac:dyDescent="0.3">
      <c r="A12" s="2" t="s">
        <v>172</v>
      </c>
      <c r="B12" s="2" t="s">
        <v>1353</v>
      </c>
      <c r="C12" s="2" t="s">
        <v>1354</v>
      </c>
      <c r="D12" s="2" t="s">
        <v>1355</v>
      </c>
      <c r="E12" s="2"/>
      <c r="F12" s="2"/>
      <c r="G12" s="2"/>
      <c r="H12" s="2" t="s">
        <v>194</v>
      </c>
      <c r="I12" s="3">
        <f t="shared" si="0"/>
        <v>62</v>
      </c>
    </row>
    <row r="13" spans="1:9" x14ac:dyDescent="0.3">
      <c r="A13" s="2" t="s">
        <v>172</v>
      </c>
      <c r="B13" s="2" t="s">
        <v>1503</v>
      </c>
      <c r="C13" s="2" t="s">
        <v>1504</v>
      </c>
      <c r="D13" s="2" t="s">
        <v>1505</v>
      </c>
      <c r="E13" s="2"/>
      <c r="F13" s="2"/>
      <c r="G13" s="2"/>
      <c r="H13" s="2" t="s">
        <v>194</v>
      </c>
      <c r="I13" s="3">
        <f t="shared" si="0"/>
        <v>64</v>
      </c>
    </row>
    <row r="14" spans="1:9" x14ac:dyDescent="0.3">
      <c r="A14" s="2" t="s">
        <v>172</v>
      </c>
      <c r="B14" s="2" t="s">
        <v>1524</v>
      </c>
      <c r="C14" s="2" t="s">
        <v>186</v>
      </c>
      <c r="D14" s="2" t="s">
        <v>1525</v>
      </c>
      <c r="E14" s="2" t="s">
        <v>39</v>
      </c>
      <c r="F14" s="2"/>
      <c r="G14" s="2"/>
      <c r="H14" s="2"/>
      <c r="I14" s="3">
        <f t="shared" si="0"/>
        <v>64</v>
      </c>
    </row>
    <row r="15" spans="1:9" x14ac:dyDescent="0.3">
      <c r="A15" s="2" t="s">
        <v>172</v>
      </c>
      <c r="B15" s="2" t="s">
        <v>1321</v>
      </c>
      <c r="C15" s="2" t="s">
        <v>14</v>
      </c>
      <c r="D15" s="2" t="s">
        <v>1548</v>
      </c>
      <c r="E15" s="2"/>
      <c r="F15" s="2"/>
      <c r="G15" s="2"/>
      <c r="H15" s="2"/>
      <c r="I15" s="3">
        <f t="shared" si="0"/>
        <v>65</v>
      </c>
    </row>
    <row r="16" spans="1:9" x14ac:dyDescent="0.3">
      <c r="A16" s="2" t="s">
        <v>172</v>
      </c>
      <c r="B16" s="2" t="s">
        <v>1595</v>
      </c>
      <c r="C16" s="2"/>
      <c r="D16" s="2" t="s">
        <v>1596</v>
      </c>
      <c r="E16" s="2"/>
      <c r="F16" s="2"/>
      <c r="G16" s="2"/>
      <c r="H16" s="2"/>
      <c r="I16" s="3">
        <f t="shared" si="0"/>
        <v>66</v>
      </c>
    </row>
    <row r="17" spans="1:9" x14ac:dyDescent="0.3">
      <c r="A17" s="2" t="s">
        <v>172</v>
      </c>
      <c r="B17" s="2" t="s">
        <v>1601</v>
      </c>
      <c r="C17" s="2"/>
      <c r="D17" s="2" t="s">
        <v>1602</v>
      </c>
      <c r="E17" s="2"/>
      <c r="F17" s="2"/>
      <c r="G17" s="2"/>
      <c r="H17" s="2"/>
      <c r="I17" s="3">
        <f t="shared" si="0"/>
        <v>66</v>
      </c>
    </row>
    <row r="18" spans="1:9" x14ac:dyDescent="0.3">
      <c r="A18" s="2" t="s">
        <v>172</v>
      </c>
      <c r="B18" s="2" t="s">
        <v>1686</v>
      </c>
      <c r="C18" s="2" t="s">
        <v>354</v>
      </c>
      <c r="D18" s="2" t="s">
        <v>1687</v>
      </c>
      <c r="E18" s="2" t="s">
        <v>39</v>
      </c>
      <c r="F18" s="2"/>
      <c r="G18" s="2"/>
      <c r="H18" s="2"/>
      <c r="I18" s="3">
        <f t="shared" si="0"/>
        <v>67</v>
      </c>
    </row>
    <row r="19" spans="1:9" x14ac:dyDescent="0.3">
      <c r="A19" s="2" t="s">
        <v>172</v>
      </c>
      <c r="B19" s="2" t="s">
        <v>1734</v>
      </c>
      <c r="C19" s="2"/>
      <c r="D19" s="2" t="s">
        <v>1735</v>
      </c>
      <c r="E19" s="2"/>
      <c r="F19" s="2"/>
      <c r="G19" s="2"/>
      <c r="H19" s="2"/>
      <c r="I19" s="3">
        <f t="shared" si="0"/>
        <v>68</v>
      </c>
    </row>
    <row r="20" spans="1:9" x14ac:dyDescent="0.3">
      <c r="A20" s="2" t="s">
        <v>172</v>
      </c>
      <c r="B20" s="2" t="s">
        <v>1737</v>
      </c>
      <c r="C20" s="2"/>
      <c r="D20" s="2" t="s">
        <v>1738</v>
      </c>
      <c r="E20" s="2"/>
      <c r="F20" s="2"/>
      <c r="G20" s="2"/>
      <c r="H20" s="2"/>
      <c r="I20" s="3">
        <f t="shared" si="0"/>
        <v>68</v>
      </c>
    </row>
    <row r="21" spans="1:9" x14ac:dyDescent="0.3">
      <c r="A21" s="2" t="s">
        <v>172</v>
      </c>
      <c r="B21" s="2" t="s">
        <v>1524</v>
      </c>
      <c r="C21" s="2" t="s">
        <v>186</v>
      </c>
      <c r="D21" s="2" t="s">
        <v>1739</v>
      </c>
      <c r="E21" s="2" t="s">
        <v>39</v>
      </c>
      <c r="F21" s="2"/>
      <c r="G21" s="2"/>
      <c r="H21" s="2"/>
      <c r="I21" s="3">
        <f t="shared" si="0"/>
        <v>68</v>
      </c>
    </row>
    <row r="22" spans="1:9" x14ac:dyDescent="0.3">
      <c r="A22" s="2" t="s">
        <v>172</v>
      </c>
      <c r="B22" s="2" t="s">
        <v>1771</v>
      </c>
      <c r="C22" s="2" t="s">
        <v>1772</v>
      </c>
      <c r="D22" s="2" t="s">
        <v>1773</v>
      </c>
      <c r="E22" s="2"/>
      <c r="F22" s="2"/>
      <c r="G22" s="2"/>
      <c r="H22" s="2"/>
      <c r="I22" s="3">
        <f t="shared" si="0"/>
        <v>69</v>
      </c>
    </row>
    <row r="23" spans="1:9" x14ac:dyDescent="0.3">
      <c r="A23" s="2" t="s">
        <v>172</v>
      </c>
      <c r="B23" s="2" t="s">
        <v>1524</v>
      </c>
      <c r="C23" s="2" t="s">
        <v>186</v>
      </c>
      <c r="D23" s="2" t="s">
        <v>1881</v>
      </c>
      <c r="E23" s="2"/>
      <c r="F23" s="2"/>
      <c r="G23" s="2"/>
      <c r="H23" s="2"/>
      <c r="I23" s="3">
        <f t="shared" si="0"/>
        <v>71</v>
      </c>
    </row>
    <row r="24" spans="1:9" x14ac:dyDescent="0.3">
      <c r="A24" s="2" t="s">
        <v>172</v>
      </c>
      <c r="B24" s="2" t="s">
        <v>1197</v>
      </c>
      <c r="C24" s="2" t="s">
        <v>1451</v>
      </c>
      <c r="D24" s="2" t="s">
        <v>1933</v>
      </c>
      <c r="E24" s="2"/>
      <c r="F24" s="2"/>
      <c r="G24" s="2"/>
      <c r="H24" s="2"/>
      <c r="I24" s="3">
        <f t="shared" si="0"/>
        <v>71</v>
      </c>
    </row>
    <row r="25" spans="1:9" x14ac:dyDescent="0.3">
      <c r="A25" s="2" t="s">
        <v>1948</v>
      </c>
      <c r="B25" s="2" t="s">
        <v>1949</v>
      </c>
      <c r="C25" s="2" t="s">
        <v>35</v>
      </c>
      <c r="D25" s="2" t="s">
        <v>1950</v>
      </c>
      <c r="E25" s="2" t="s">
        <v>39</v>
      </c>
      <c r="F25" s="2"/>
      <c r="G25" s="2"/>
      <c r="H25" s="2"/>
      <c r="I25" s="3">
        <f t="shared" si="0"/>
        <v>72</v>
      </c>
    </row>
    <row r="26" spans="1:9" x14ac:dyDescent="0.3">
      <c r="A26" s="2" t="s">
        <v>172</v>
      </c>
      <c r="B26" s="2" t="s">
        <v>1951</v>
      </c>
      <c r="C26" s="2" t="s">
        <v>14</v>
      </c>
      <c r="D26" s="2" t="s">
        <v>1952</v>
      </c>
      <c r="E26" s="2"/>
      <c r="F26" s="2"/>
      <c r="G26" s="2"/>
      <c r="H26" s="2"/>
      <c r="I26" s="3">
        <f t="shared" si="0"/>
        <v>72</v>
      </c>
    </row>
    <row r="27" spans="1:9" x14ac:dyDescent="0.3">
      <c r="A27" s="2" t="s">
        <v>172</v>
      </c>
      <c r="B27" s="2" t="s">
        <v>2007</v>
      </c>
      <c r="C27" s="2"/>
      <c r="D27" s="2" t="s">
        <v>2008</v>
      </c>
      <c r="E27" s="2"/>
      <c r="F27" s="2"/>
      <c r="G27" s="2"/>
      <c r="H27" s="2"/>
      <c r="I27" s="3">
        <f t="shared" si="0"/>
        <v>73</v>
      </c>
    </row>
    <row r="28" spans="1:9" x14ac:dyDescent="0.3">
      <c r="A28" s="2" t="s">
        <v>172</v>
      </c>
      <c r="B28" s="2" t="s">
        <v>2102</v>
      </c>
      <c r="C28" s="2" t="s">
        <v>240</v>
      </c>
      <c r="D28" s="2" t="s">
        <v>2103</v>
      </c>
      <c r="E28" s="2"/>
      <c r="F28" s="2"/>
      <c r="G28" s="2"/>
      <c r="H28" s="2"/>
      <c r="I28" s="3">
        <f t="shared" si="0"/>
        <v>74</v>
      </c>
    </row>
    <row r="29" spans="1:9" x14ac:dyDescent="0.3">
      <c r="A29" s="2" t="s">
        <v>172</v>
      </c>
      <c r="B29" s="2" t="s">
        <v>2104</v>
      </c>
      <c r="C29" s="2" t="s">
        <v>389</v>
      </c>
      <c r="D29" s="2" t="s">
        <v>2105</v>
      </c>
      <c r="E29" s="2"/>
      <c r="F29" s="2"/>
      <c r="G29" s="2"/>
      <c r="H29" s="2"/>
      <c r="I29" s="3">
        <f t="shared" si="0"/>
        <v>74</v>
      </c>
    </row>
    <row r="30" spans="1:9" x14ac:dyDescent="0.3">
      <c r="A30" s="2" t="s">
        <v>172</v>
      </c>
      <c r="B30" s="2" t="s">
        <v>2306</v>
      </c>
      <c r="C30" s="2" t="s">
        <v>491</v>
      </c>
      <c r="D30" s="2" t="s">
        <v>2307</v>
      </c>
      <c r="E30" s="2" t="s">
        <v>39</v>
      </c>
      <c r="F30" s="2"/>
      <c r="G30" s="2"/>
      <c r="H30" s="2"/>
      <c r="I30" s="3">
        <f t="shared" si="0"/>
        <v>79</v>
      </c>
    </row>
    <row r="31" spans="1:9" x14ac:dyDescent="0.3">
      <c r="A31" s="2" t="s">
        <v>172</v>
      </c>
      <c r="B31" s="2" t="s">
        <v>1197</v>
      </c>
      <c r="C31" s="2" t="s">
        <v>1313</v>
      </c>
      <c r="D31" s="2" t="s">
        <v>2349</v>
      </c>
      <c r="E31" s="2"/>
      <c r="F31" s="2"/>
      <c r="G31" s="2"/>
      <c r="H31" s="2"/>
      <c r="I31" s="3">
        <f t="shared" si="0"/>
        <v>79</v>
      </c>
    </row>
    <row r="32" spans="1:9" x14ac:dyDescent="0.3">
      <c r="A32" s="2" t="s">
        <v>172</v>
      </c>
      <c r="B32" s="2" t="s">
        <v>2398</v>
      </c>
      <c r="C32" s="2" t="s">
        <v>1236</v>
      </c>
      <c r="D32" s="2" t="s">
        <v>2399</v>
      </c>
      <c r="E32" s="2" t="s">
        <v>39</v>
      </c>
      <c r="F32" s="2"/>
      <c r="G32" s="2"/>
      <c r="H32" s="2" t="s">
        <v>1176</v>
      </c>
      <c r="I32" s="3">
        <f t="shared" si="0"/>
        <v>81</v>
      </c>
    </row>
    <row r="33" spans="1:9" x14ac:dyDescent="0.3">
      <c r="A33" s="2" t="s">
        <v>172</v>
      </c>
      <c r="B33" s="2" t="s">
        <v>2400</v>
      </c>
      <c r="C33" s="2" t="s">
        <v>291</v>
      </c>
      <c r="D33" s="2" t="s">
        <v>2401</v>
      </c>
      <c r="E33" s="2" t="s">
        <v>211</v>
      </c>
      <c r="F33" s="2"/>
      <c r="G33" s="2"/>
      <c r="H33" s="2"/>
      <c r="I33" s="3">
        <f t="shared" si="0"/>
        <v>81</v>
      </c>
    </row>
    <row r="34" spans="1:9" x14ac:dyDescent="0.3">
      <c r="A34" s="2" t="s">
        <v>172</v>
      </c>
      <c r="B34" s="2" t="s">
        <v>2403</v>
      </c>
      <c r="C34" s="2"/>
      <c r="D34" s="2" t="s">
        <v>2404</v>
      </c>
      <c r="E34" s="2"/>
      <c r="F34" s="2"/>
      <c r="G34" s="2"/>
      <c r="H34" s="2"/>
      <c r="I34" s="3">
        <f t="shared" ref="I34:I65" si="1">LEN(D34)</f>
        <v>81</v>
      </c>
    </row>
    <row r="35" spans="1:9" x14ac:dyDescent="0.3">
      <c r="A35" s="2" t="s">
        <v>172</v>
      </c>
      <c r="B35" s="2" t="s">
        <v>2480</v>
      </c>
      <c r="C35" s="2" t="s">
        <v>240</v>
      </c>
      <c r="D35" s="2" t="s">
        <v>2481</v>
      </c>
      <c r="E35" s="2" t="s">
        <v>211</v>
      </c>
      <c r="F35" s="2"/>
      <c r="G35" s="2"/>
      <c r="H35" s="2"/>
      <c r="I35" s="3">
        <f t="shared" si="1"/>
        <v>82</v>
      </c>
    </row>
    <row r="36" spans="1:9" x14ac:dyDescent="0.3">
      <c r="A36" s="2" t="s">
        <v>172</v>
      </c>
      <c r="B36" s="2" t="s">
        <v>2486</v>
      </c>
      <c r="C36" s="2" t="s">
        <v>348</v>
      </c>
      <c r="D36" s="2" t="s">
        <v>2487</v>
      </c>
      <c r="E36" s="2"/>
      <c r="F36" s="2"/>
      <c r="G36" s="2" t="s">
        <v>1717</v>
      </c>
      <c r="H36" s="2"/>
      <c r="I36" s="3">
        <f t="shared" si="1"/>
        <v>82</v>
      </c>
    </row>
    <row r="37" spans="1:9" x14ac:dyDescent="0.3">
      <c r="A37" s="2" t="s">
        <v>172</v>
      </c>
      <c r="B37" s="2" t="s">
        <v>2565</v>
      </c>
      <c r="C37" s="2" t="s">
        <v>2566</v>
      </c>
      <c r="D37" s="2" t="s">
        <v>2567</v>
      </c>
      <c r="E37" s="2" t="s">
        <v>2568</v>
      </c>
      <c r="F37" s="2"/>
      <c r="G37" s="2"/>
      <c r="H37" s="2"/>
      <c r="I37" s="3">
        <f t="shared" si="1"/>
        <v>83</v>
      </c>
    </row>
    <row r="38" spans="1:9" x14ac:dyDescent="0.3">
      <c r="A38" s="2" t="s">
        <v>172</v>
      </c>
      <c r="B38" s="2" t="s">
        <v>2569</v>
      </c>
      <c r="C38" s="2"/>
      <c r="D38" s="2" t="s">
        <v>2570</v>
      </c>
      <c r="E38" s="2"/>
      <c r="F38" s="2"/>
      <c r="G38" s="2"/>
      <c r="H38" s="2"/>
      <c r="I38" s="3">
        <f t="shared" si="1"/>
        <v>83</v>
      </c>
    </row>
    <row r="39" spans="1:9" x14ac:dyDescent="0.3">
      <c r="A39" s="2" t="s">
        <v>172</v>
      </c>
      <c r="B39" s="2" t="s">
        <v>2652</v>
      </c>
      <c r="C39" s="2" t="s">
        <v>206</v>
      </c>
      <c r="D39" s="2" t="s">
        <v>2653</v>
      </c>
      <c r="E39" s="2"/>
      <c r="F39" s="2"/>
      <c r="G39" s="2"/>
      <c r="H39" s="2"/>
      <c r="I39" s="3">
        <f t="shared" si="1"/>
        <v>85</v>
      </c>
    </row>
    <row r="40" spans="1:9" x14ac:dyDescent="0.3">
      <c r="A40" s="2" t="s">
        <v>172</v>
      </c>
      <c r="B40" s="2" t="s">
        <v>2403</v>
      </c>
      <c r="C40" s="2"/>
      <c r="D40" s="2" t="s">
        <v>2765</v>
      </c>
      <c r="E40" s="2"/>
      <c r="F40" s="2"/>
      <c r="G40" s="2"/>
      <c r="H40" s="2"/>
      <c r="I40" s="3">
        <f t="shared" si="1"/>
        <v>87</v>
      </c>
    </row>
    <row r="41" spans="1:9" x14ac:dyDescent="0.3">
      <c r="A41" s="2" t="s">
        <v>172</v>
      </c>
      <c r="B41" s="2" t="s">
        <v>2803</v>
      </c>
      <c r="C41" s="2" t="s">
        <v>437</v>
      </c>
      <c r="D41" s="2" t="s">
        <v>2804</v>
      </c>
      <c r="E41" s="2" t="s">
        <v>39</v>
      </c>
      <c r="F41" s="2"/>
      <c r="G41" s="2"/>
      <c r="H41" s="2"/>
      <c r="I41" s="3">
        <f t="shared" si="1"/>
        <v>87</v>
      </c>
    </row>
    <row r="42" spans="1:9" x14ac:dyDescent="0.3">
      <c r="A42" s="2" t="s">
        <v>172</v>
      </c>
      <c r="B42" s="2" t="s">
        <v>2770</v>
      </c>
      <c r="C42" s="2" t="s">
        <v>1504</v>
      </c>
      <c r="D42" s="2" t="s">
        <v>2829</v>
      </c>
      <c r="E42" s="2" t="s">
        <v>2830</v>
      </c>
      <c r="F42" s="2"/>
      <c r="G42" s="2"/>
      <c r="H42" s="2" t="s">
        <v>194</v>
      </c>
      <c r="I42" s="3">
        <f t="shared" si="1"/>
        <v>88</v>
      </c>
    </row>
    <row r="43" spans="1:9" x14ac:dyDescent="0.3">
      <c r="A43" s="2" t="s">
        <v>172</v>
      </c>
      <c r="B43" s="2" t="s">
        <v>2876</v>
      </c>
      <c r="C43" s="2" t="s">
        <v>110</v>
      </c>
      <c r="D43" s="2" t="s">
        <v>2877</v>
      </c>
      <c r="E43" s="2"/>
      <c r="F43" s="2"/>
      <c r="G43" s="2"/>
      <c r="H43" s="2"/>
      <c r="I43" s="3">
        <f t="shared" si="1"/>
        <v>89</v>
      </c>
    </row>
    <row r="44" spans="1:9" x14ac:dyDescent="0.3">
      <c r="A44" s="2" t="s">
        <v>172</v>
      </c>
      <c r="B44" s="2" t="s">
        <v>2929</v>
      </c>
      <c r="C44" s="2" t="s">
        <v>192</v>
      </c>
      <c r="D44" s="2" t="s">
        <v>2930</v>
      </c>
      <c r="E44" s="2" t="s">
        <v>39</v>
      </c>
      <c r="F44" s="2"/>
      <c r="G44" s="2"/>
      <c r="H44" s="2"/>
      <c r="I44" s="3">
        <f t="shared" si="1"/>
        <v>90</v>
      </c>
    </row>
    <row r="45" spans="1:9" x14ac:dyDescent="0.3">
      <c r="A45" s="2" t="s">
        <v>172</v>
      </c>
      <c r="B45" s="2" t="s">
        <v>2403</v>
      </c>
      <c r="C45" s="2"/>
      <c r="D45" s="2" t="s">
        <v>2992</v>
      </c>
      <c r="E45" s="2"/>
      <c r="F45" s="2"/>
      <c r="G45" s="2"/>
      <c r="H45" s="2"/>
      <c r="I45" s="3">
        <f t="shared" si="1"/>
        <v>91</v>
      </c>
    </row>
    <row r="46" spans="1:9" x14ac:dyDescent="0.3">
      <c r="A46" s="2" t="s">
        <v>172</v>
      </c>
      <c r="B46" s="2" t="s">
        <v>1321</v>
      </c>
      <c r="C46" s="2" t="s">
        <v>389</v>
      </c>
      <c r="D46" s="2" t="s">
        <v>3119</v>
      </c>
      <c r="E46" s="2"/>
      <c r="F46" s="2"/>
      <c r="G46" s="2"/>
      <c r="H46" s="2"/>
      <c r="I46" s="3">
        <f t="shared" si="1"/>
        <v>94</v>
      </c>
    </row>
    <row r="47" spans="1:9" x14ac:dyDescent="0.3">
      <c r="A47" s="2" t="s">
        <v>172</v>
      </c>
      <c r="B47" s="2" t="s">
        <v>3122</v>
      </c>
      <c r="C47" s="2" t="s">
        <v>332</v>
      </c>
      <c r="D47" s="2" t="s">
        <v>3123</v>
      </c>
      <c r="E47" s="2"/>
      <c r="F47" s="2"/>
      <c r="G47" s="2"/>
      <c r="H47" s="2" t="s">
        <v>898</v>
      </c>
      <c r="I47" s="3">
        <f t="shared" si="1"/>
        <v>94</v>
      </c>
    </row>
    <row r="48" spans="1:9" x14ac:dyDescent="0.3">
      <c r="A48" s="2" t="s">
        <v>172</v>
      </c>
      <c r="B48" s="2" t="s">
        <v>3164</v>
      </c>
      <c r="C48" s="2" t="s">
        <v>1647</v>
      </c>
      <c r="D48" s="2" t="s">
        <v>3165</v>
      </c>
      <c r="E48" s="2"/>
      <c r="F48" s="2"/>
      <c r="G48" s="2"/>
      <c r="H48" s="2"/>
      <c r="I48" s="3">
        <f t="shared" si="1"/>
        <v>95</v>
      </c>
    </row>
    <row r="49" spans="1:9" x14ac:dyDescent="0.3">
      <c r="A49" s="2" t="s">
        <v>172</v>
      </c>
      <c r="B49" s="2" t="s">
        <v>3167</v>
      </c>
      <c r="C49" s="2" t="s">
        <v>3168</v>
      </c>
      <c r="D49" s="2" t="s">
        <v>3169</v>
      </c>
      <c r="E49" s="2" t="s">
        <v>39</v>
      </c>
      <c r="F49" s="2"/>
      <c r="G49" s="2"/>
      <c r="H49" s="2"/>
      <c r="I49" s="3">
        <f t="shared" si="1"/>
        <v>95</v>
      </c>
    </row>
    <row r="50" spans="1:9" ht="24" x14ac:dyDescent="0.3">
      <c r="A50" s="2" t="s">
        <v>172</v>
      </c>
      <c r="B50" s="2" t="s">
        <v>3201</v>
      </c>
      <c r="C50" s="2"/>
      <c r="D50" s="2" t="s">
        <v>3202</v>
      </c>
      <c r="E50" s="2" t="s">
        <v>39</v>
      </c>
      <c r="F50" s="2"/>
      <c r="G50" s="2"/>
      <c r="H50" s="2"/>
      <c r="I50" s="3">
        <f t="shared" si="1"/>
        <v>95</v>
      </c>
    </row>
    <row r="51" spans="1:9" x14ac:dyDescent="0.3">
      <c r="A51" s="2" t="s">
        <v>172</v>
      </c>
      <c r="B51" s="2" t="s">
        <v>3213</v>
      </c>
      <c r="C51" s="2"/>
      <c r="D51" s="2" t="s">
        <v>3214</v>
      </c>
      <c r="E51" s="2"/>
      <c r="F51" s="2"/>
      <c r="G51" s="2"/>
      <c r="H51" s="2"/>
      <c r="I51" s="3">
        <f t="shared" si="1"/>
        <v>96</v>
      </c>
    </row>
    <row r="52" spans="1:9" x14ac:dyDescent="0.3">
      <c r="A52" s="2" t="s">
        <v>172</v>
      </c>
      <c r="B52" s="2" t="s">
        <v>3260</v>
      </c>
      <c r="C52" s="2" t="s">
        <v>1647</v>
      </c>
      <c r="D52" s="2" t="s">
        <v>3261</v>
      </c>
      <c r="E52" s="2"/>
      <c r="F52" s="2"/>
      <c r="G52" s="2"/>
      <c r="H52" s="2" t="s">
        <v>1644</v>
      </c>
      <c r="I52" s="3">
        <f t="shared" si="1"/>
        <v>97</v>
      </c>
    </row>
    <row r="53" spans="1:9" x14ac:dyDescent="0.3">
      <c r="A53" s="2" t="s">
        <v>172</v>
      </c>
      <c r="B53" s="2" t="s">
        <v>3296</v>
      </c>
      <c r="C53" s="2" t="s">
        <v>1639</v>
      </c>
      <c r="D53" s="2" t="s">
        <v>3297</v>
      </c>
      <c r="E53" s="2"/>
      <c r="F53" s="2"/>
      <c r="G53" s="2"/>
      <c r="H53" s="2"/>
      <c r="I53" s="3">
        <f t="shared" si="1"/>
        <v>98</v>
      </c>
    </row>
    <row r="54" spans="1:9" x14ac:dyDescent="0.3">
      <c r="A54" s="2" t="s">
        <v>172</v>
      </c>
      <c r="B54" s="2" t="s">
        <v>3315</v>
      </c>
      <c r="C54" s="2" t="s">
        <v>3168</v>
      </c>
      <c r="D54" s="2" t="s">
        <v>3316</v>
      </c>
      <c r="E54" s="2" t="s">
        <v>39</v>
      </c>
      <c r="F54" s="2"/>
      <c r="G54" s="2"/>
      <c r="H54" s="2"/>
      <c r="I54" s="3">
        <f t="shared" si="1"/>
        <v>98</v>
      </c>
    </row>
    <row r="55" spans="1:9" x14ac:dyDescent="0.3">
      <c r="A55" s="2" t="s">
        <v>172</v>
      </c>
      <c r="B55" s="2" t="s">
        <v>3330</v>
      </c>
      <c r="C55" s="2"/>
      <c r="D55" s="2" t="s">
        <v>3331</v>
      </c>
      <c r="E55" s="2"/>
      <c r="F55" s="2"/>
      <c r="G55" s="2"/>
      <c r="H55" s="2"/>
      <c r="I55" s="3">
        <f t="shared" si="1"/>
        <v>98</v>
      </c>
    </row>
    <row r="56" spans="1:9" x14ac:dyDescent="0.3">
      <c r="A56" s="2" t="s">
        <v>172</v>
      </c>
      <c r="B56" s="2" t="s">
        <v>3353</v>
      </c>
      <c r="C56" s="2" t="s">
        <v>3168</v>
      </c>
      <c r="D56" s="2" t="s">
        <v>3354</v>
      </c>
      <c r="E56" s="2" t="s">
        <v>39</v>
      </c>
      <c r="F56" s="2"/>
      <c r="G56" s="2"/>
      <c r="H56" s="2"/>
      <c r="I56" s="3">
        <f t="shared" si="1"/>
        <v>99</v>
      </c>
    </row>
    <row r="57" spans="1:9" ht="24" x14ac:dyDescent="0.3">
      <c r="A57" s="2" t="s">
        <v>172</v>
      </c>
      <c r="B57" s="2" t="s">
        <v>3443</v>
      </c>
      <c r="C57" s="2" t="s">
        <v>3168</v>
      </c>
      <c r="D57" s="2" t="s">
        <v>3444</v>
      </c>
      <c r="E57" s="2" t="s">
        <v>39</v>
      </c>
      <c r="F57" s="2"/>
      <c r="G57" s="2"/>
      <c r="H57" s="2"/>
      <c r="I57" s="3">
        <f t="shared" si="1"/>
        <v>101</v>
      </c>
    </row>
    <row r="58" spans="1:9" ht="24" x14ac:dyDescent="0.3">
      <c r="A58" s="2" t="s">
        <v>172</v>
      </c>
      <c r="B58" s="2" t="s">
        <v>3538</v>
      </c>
      <c r="C58" s="2"/>
      <c r="D58" s="2" t="s">
        <v>3539</v>
      </c>
      <c r="E58" s="2" t="s">
        <v>1776</v>
      </c>
      <c r="F58" s="2"/>
      <c r="G58" s="2"/>
      <c r="H58" s="2"/>
      <c r="I58" s="3">
        <f t="shared" si="1"/>
        <v>103</v>
      </c>
    </row>
    <row r="59" spans="1:9" x14ac:dyDescent="0.3">
      <c r="A59" s="2" t="s">
        <v>172</v>
      </c>
      <c r="B59" s="2" t="s">
        <v>3582</v>
      </c>
      <c r="C59" s="2"/>
      <c r="D59" s="2" t="s">
        <v>3583</v>
      </c>
      <c r="E59" s="2"/>
      <c r="F59" s="2"/>
      <c r="G59" s="2"/>
      <c r="H59" s="2"/>
      <c r="I59" s="3">
        <f t="shared" si="1"/>
        <v>104</v>
      </c>
    </row>
    <row r="60" spans="1:9" ht="24" x14ac:dyDescent="0.3">
      <c r="A60" s="2" t="s">
        <v>172</v>
      </c>
      <c r="B60" s="2" t="s">
        <v>3728</v>
      </c>
      <c r="C60" s="2" t="s">
        <v>240</v>
      </c>
      <c r="D60" s="2" t="s">
        <v>3729</v>
      </c>
      <c r="E60" s="2" t="s">
        <v>2830</v>
      </c>
      <c r="F60" s="2"/>
      <c r="G60" s="2"/>
      <c r="H60" s="2"/>
      <c r="I60" s="3">
        <f t="shared" si="1"/>
        <v>107</v>
      </c>
    </row>
    <row r="61" spans="1:9" ht="24" x14ac:dyDescent="0.3">
      <c r="A61" s="2" t="s">
        <v>172</v>
      </c>
      <c r="B61" s="2" t="s">
        <v>3730</v>
      </c>
      <c r="C61" s="2" t="s">
        <v>422</v>
      </c>
      <c r="D61" s="2" t="s">
        <v>3731</v>
      </c>
      <c r="E61" s="2"/>
      <c r="F61" s="2"/>
      <c r="G61" s="2"/>
      <c r="H61" s="2"/>
      <c r="I61" s="3">
        <f t="shared" si="1"/>
        <v>107</v>
      </c>
    </row>
    <row r="62" spans="1:9" ht="24" x14ac:dyDescent="0.3">
      <c r="A62" s="2" t="s">
        <v>172</v>
      </c>
      <c r="B62" s="2" t="s">
        <v>3736</v>
      </c>
      <c r="C62" s="2" t="s">
        <v>544</v>
      </c>
      <c r="D62" s="2" t="s">
        <v>3737</v>
      </c>
      <c r="E62" s="2" t="s">
        <v>1776</v>
      </c>
      <c r="F62" s="2"/>
      <c r="G62" s="2"/>
      <c r="H62" s="2" t="s">
        <v>834</v>
      </c>
      <c r="I62" s="3">
        <f t="shared" si="1"/>
        <v>108</v>
      </c>
    </row>
    <row r="63" spans="1:9" ht="24" x14ac:dyDescent="0.3">
      <c r="A63" s="2" t="s">
        <v>172</v>
      </c>
      <c r="B63" s="2" t="s">
        <v>3748</v>
      </c>
      <c r="C63" s="2"/>
      <c r="D63" s="2" t="s">
        <v>3749</v>
      </c>
      <c r="E63" s="2"/>
      <c r="F63" s="2"/>
      <c r="G63" s="2"/>
      <c r="H63" s="2"/>
      <c r="I63" s="3">
        <f t="shared" si="1"/>
        <v>108</v>
      </c>
    </row>
    <row r="64" spans="1:9" ht="24" x14ac:dyDescent="0.3">
      <c r="A64" s="2" t="s">
        <v>172</v>
      </c>
      <c r="B64" s="2" t="s">
        <v>3750</v>
      </c>
      <c r="C64" s="2" t="s">
        <v>95</v>
      </c>
      <c r="D64" s="2" t="s">
        <v>3751</v>
      </c>
      <c r="E64" s="2"/>
      <c r="F64" s="2"/>
      <c r="G64" s="2"/>
      <c r="H64" s="2"/>
      <c r="I64" s="3">
        <f t="shared" si="1"/>
        <v>108</v>
      </c>
    </row>
    <row r="65" spans="1:9" ht="24" x14ac:dyDescent="0.3">
      <c r="A65" s="2" t="s">
        <v>172</v>
      </c>
      <c r="B65" s="2" t="s">
        <v>3888</v>
      </c>
      <c r="C65" s="2"/>
      <c r="D65" s="2" t="s">
        <v>3889</v>
      </c>
      <c r="E65" s="2"/>
      <c r="F65" s="2"/>
      <c r="G65" s="2"/>
      <c r="H65" s="2"/>
      <c r="I65" s="3">
        <f t="shared" si="1"/>
        <v>111</v>
      </c>
    </row>
    <row r="66" spans="1:9" ht="24" x14ac:dyDescent="0.3">
      <c r="A66" s="2" t="s">
        <v>172</v>
      </c>
      <c r="B66" s="2" t="s">
        <v>2770</v>
      </c>
      <c r="C66" s="2" t="s">
        <v>4007</v>
      </c>
      <c r="D66" s="2" t="s">
        <v>4008</v>
      </c>
      <c r="E66" s="2" t="s">
        <v>2121</v>
      </c>
      <c r="F66" s="2"/>
      <c r="G66" s="2"/>
      <c r="H66" s="2"/>
      <c r="I66" s="3">
        <f t="shared" ref="I66:I97" si="2">LEN(D66)</f>
        <v>114</v>
      </c>
    </row>
    <row r="67" spans="1:9" ht="24" x14ac:dyDescent="0.3">
      <c r="A67" s="2" t="s">
        <v>172</v>
      </c>
      <c r="B67" s="2" t="s">
        <v>2770</v>
      </c>
      <c r="C67" s="2" t="s">
        <v>4024</v>
      </c>
      <c r="D67" s="2" t="s">
        <v>4025</v>
      </c>
      <c r="E67" s="2"/>
      <c r="F67" s="2"/>
      <c r="G67" s="2" t="s">
        <v>350</v>
      </c>
      <c r="H67" s="2"/>
      <c r="I67" s="3">
        <f t="shared" si="2"/>
        <v>115</v>
      </c>
    </row>
    <row r="68" spans="1:9" ht="24" x14ac:dyDescent="0.3">
      <c r="A68" s="2" t="s">
        <v>172</v>
      </c>
      <c r="B68" s="2" t="s">
        <v>4069</v>
      </c>
      <c r="C68" s="2" t="s">
        <v>240</v>
      </c>
      <c r="D68" s="2" t="s">
        <v>4070</v>
      </c>
      <c r="E68" s="2" t="s">
        <v>211</v>
      </c>
      <c r="F68" s="2"/>
      <c r="G68" s="2"/>
      <c r="H68" s="2"/>
      <c r="I68" s="3">
        <f t="shared" si="2"/>
        <v>116</v>
      </c>
    </row>
    <row r="69" spans="1:9" ht="24" x14ac:dyDescent="0.3">
      <c r="A69" s="2" t="s">
        <v>172</v>
      </c>
      <c r="B69" s="2" t="s">
        <v>1321</v>
      </c>
      <c r="C69" s="2" t="s">
        <v>57</v>
      </c>
      <c r="D69" s="2" t="s">
        <v>4080</v>
      </c>
      <c r="E69" s="2"/>
      <c r="F69" s="2"/>
      <c r="G69" s="2"/>
      <c r="H69" s="2"/>
      <c r="I69" s="3">
        <f t="shared" si="2"/>
        <v>117</v>
      </c>
    </row>
    <row r="70" spans="1:9" ht="24" x14ac:dyDescent="0.3">
      <c r="A70" s="2" t="s">
        <v>172</v>
      </c>
      <c r="B70" s="2" t="s">
        <v>4097</v>
      </c>
      <c r="C70" s="2" t="s">
        <v>491</v>
      </c>
      <c r="D70" s="2" t="s">
        <v>4098</v>
      </c>
      <c r="E70" s="2"/>
      <c r="F70" s="2"/>
      <c r="G70" s="2"/>
      <c r="H70" s="2"/>
      <c r="I70" s="3">
        <f t="shared" si="2"/>
        <v>117</v>
      </c>
    </row>
    <row r="71" spans="1:9" ht="24" x14ac:dyDescent="0.3">
      <c r="A71" s="2" t="s">
        <v>172</v>
      </c>
      <c r="B71" s="2" t="s">
        <v>3730</v>
      </c>
      <c r="C71" s="2" t="s">
        <v>240</v>
      </c>
      <c r="D71" s="2" t="s">
        <v>4118</v>
      </c>
      <c r="E71" s="2" t="s">
        <v>2121</v>
      </c>
      <c r="F71" s="2"/>
      <c r="G71" s="2"/>
      <c r="H71" s="2"/>
      <c r="I71" s="3">
        <f t="shared" si="2"/>
        <v>117</v>
      </c>
    </row>
    <row r="72" spans="1:9" ht="24" x14ac:dyDescent="0.3">
      <c r="A72" s="2" t="s">
        <v>172</v>
      </c>
      <c r="B72" s="2" t="s">
        <v>4136</v>
      </c>
      <c r="C72" s="2"/>
      <c r="D72" s="2" t="s">
        <v>4137</v>
      </c>
      <c r="E72" s="2"/>
      <c r="F72" s="2"/>
      <c r="G72" s="2"/>
      <c r="H72" s="2"/>
      <c r="I72" s="3">
        <f t="shared" si="2"/>
        <v>118</v>
      </c>
    </row>
    <row r="73" spans="1:9" ht="24" x14ac:dyDescent="0.3">
      <c r="A73" s="2" t="s">
        <v>172</v>
      </c>
      <c r="B73" s="2" t="s">
        <v>4246</v>
      </c>
      <c r="C73" s="2" t="s">
        <v>95</v>
      </c>
      <c r="D73" s="2" t="s">
        <v>4247</v>
      </c>
      <c r="E73" s="2" t="s">
        <v>39</v>
      </c>
      <c r="F73" s="2"/>
      <c r="G73" s="2"/>
      <c r="H73" s="2"/>
      <c r="I73" s="3">
        <f t="shared" si="2"/>
        <v>121</v>
      </c>
    </row>
    <row r="74" spans="1:9" ht="24" x14ac:dyDescent="0.3">
      <c r="A74" s="2" t="s">
        <v>172</v>
      </c>
      <c r="B74" s="2" t="s">
        <v>4275</v>
      </c>
      <c r="C74" s="2" t="s">
        <v>95</v>
      </c>
      <c r="D74" s="2" t="s">
        <v>4276</v>
      </c>
      <c r="E74" s="2" t="s">
        <v>39</v>
      </c>
      <c r="F74" s="2"/>
      <c r="G74" s="2"/>
      <c r="H74" s="2"/>
      <c r="I74" s="3">
        <f t="shared" si="2"/>
        <v>122</v>
      </c>
    </row>
    <row r="75" spans="1:9" ht="24" x14ac:dyDescent="0.3">
      <c r="A75" s="2" t="s">
        <v>172</v>
      </c>
      <c r="B75" s="2" t="s">
        <v>4313</v>
      </c>
      <c r="C75" s="2" t="s">
        <v>240</v>
      </c>
      <c r="D75" s="2" t="s">
        <v>4314</v>
      </c>
      <c r="E75" s="2" t="s">
        <v>4315</v>
      </c>
      <c r="F75" s="2"/>
      <c r="G75" s="2"/>
      <c r="H75" s="2"/>
      <c r="I75" s="3">
        <f t="shared" si="2"/>
        <v>123</v>
      </c>
    </row>
    <row r="76" spans="1:9" ht="24" x14ac:dyDescent="0.3">
      <c r="A76" s="2" t="s">
        <v>172</v>
      </c>
      <c r="B76" s="2" t="s">
        <v>4367</v>
      </c>
      <c r="C76" s="2" t="s">
        <v>1647</v>
      </c>
      <c r="D76" s="2" t="s">
        <v>4368</v>
      </c>
      <c r="E76" s="2"/>
      <c r="F76" s="2"/>
      <c r="G76" s="2"/>
      <c r="H76" s="2" t="s">
        <v>1644</v>
      </c>
      <c r="I76" s="3">
        <f t="shared" si="2"/>
        <v>125</v>
      </c>
    </row>
    <row r="77" spans="1:9" ht="24" x14ac:dyDescent="0.3">
      <c r="A77" s="2" t="s">
        <v>172</v>
      </c>
      <c r="B77" s="2" t="s">
        <v>1321</v>
      </c>
      <c r="C77" s="2" t="s">
        <v>1772</v>
      </c>
      <c r="D77" s="2" t="s">
        <v>4438</v>
      </c>
      <c r="E77" s="2"/>
      <c r="F77" s="2"/>
      <c r="G77" s="2"/>
      <c r="H77" s="2"/>
      <c r="I77" s="3">
        <f t="shared" si="2"/>
        <v>127</v>
      </c>
    </row>
    <row r="78" spans="1:9" ht="24" x14ac:dyDescent="0.3">
      <c r="A78" s="2" t="s">
        <v>172</v>
      </c>
      <c r="B78" s="2" t="s">
        <v>4511</v>
      </c>
      <c r="C78" s="2" t="s">
        <v>57</v>
      </c>
      <c r="D78" s="2" t="s">
        <v>4512</v>
      </c>
      <c r="E78" s="2"/>
      <c r="F78" s="2"/>
      <c r="G78" s="2"/>
      <c r="H78" s="2"/>
      <c r="I78" s="3">
        <f t="shared" si="2"/>
        <v>129</v>
      </c>
    </row>
    <row r="79" spans="1:9" ht="24" x14ac:dyDescent="0.3">
      <c r="A79" s="2" t="s">
        <v>172</v>
      </c>
      <c r="B79" s="2" t="s">
        <v>1321</v>
      </c>
      <c r="C79" s="2" t="s">
        <v>57</v>
      </c>
      <c r="D79" s="2" t="s">
        <v>9309</v>
      </c>
      <c r="E79" s="2"/>
      <c r="F79" s="2" t="s">
        <v>1778</v>
      </c>
      <c r="G79" s="2" t="s">
        <v>1717</v>
      </c>
      <c r="H79" s="2" t="s">
        <v>646</v>
      </c>
      <c r="I79" s="3">
        <f t="shared" si="2"/>
        <v>128</v>
      </c>
    </row>
    <row r="80" spans="1:9" ht="24" x14ac:dyDescent="0.3">
      <c r="A80" s="2" t="s">
        <v>172</v>
      </c>
      <c r="B80" s="2" t="s">
        <v>4634</v>
      </c>
      <c r="C80" s="2"/>
      <c r="D80" s="2" t="s">
        <v>4635</v>
      </c>
      <c r="E80" s="2" t="s">
        <v>39</v>
      </c>
      <c r="F80" s="2"/>
      <c r="G80" s="2"/>
      <c r="H80" s="2"/>
      <c r="I80" s="3">
        <f t="shared" si="2"/>
        <v>133</v>
      </c>
    </row>
    <row r="81" spans="1:9" ht="24" x14ac:dyDescent="0.3">
      <c r="A81" s="2" t="s">
        <v>172</v>
      </c>
      <c r="B81" s="2" t="s">
        <v>4732</v>
      </c>
      <c r="C81" s="2" t="s">
        <v>4733</v>
      </c>
      <c r="D81" s="2" t="s">
        <v>4734</v>
      </c>
      <c r="E81" s="2"/>
      <c r="F81" s="2"/>
      <c r="G81" s="2"/>
      <c r="H81" s="2" t="s">
        <v>1644</v>
      </c>
      <c r="I81" s="3">
        <f t="shared" si="2"/>
        <v>137</v>
      </c>
    </row>
    <row r="82" spans="1:9" ht="24" x14ac:dyDescent="0.3">
      <c r="A82" s="2" t="s">
        <v>172</v>
      </c>
      <c r="B82" s="2" t="s">
        <v>4808</v>
      </c>
      <c r="C82" s="2" t="s">
        <v>4007</v>
      </c>
      <c r="D82" s="2" t="s">
        <v>4809</v>
      </c>
      <c r="E82" s="2" t="s">
        <v>2121</v>
      </c>
      <c r="F82" s="2"/>
      <c r="G82" s="2"/>
      <c r="H82" s="2"/>
      <c r="I82" s="3">
        <f t="shared" si="2"/>
        <v>139</v>
      </c>
    </row>
    <row r="83" spans="1:9" ht="24" x14ac:dyDescent="0.3">
      <c r="A83" s="2" t="s">
        <v>172</v>
      </c>
      <c r="B83" s="2" t="s">
        <v>4872</v>
      </c>
      <c r="C83" s="2" t="s">
        <v>500</v>
      </c>
      <c r="D83" s="2" t="s">
        <v>4873</v>
      </c>
      <c r="E83" s="2" t="s">
        <v>1776</v>
      </c>
      <c r="F83" s="2"/>
      <c r="G83" s="2"/>
      <c r="H83" s="2"/>
      <c r="I83" s="3">
        <f t="shared" si="2"/>
        <v>141</v>
      </c>
    </row>
    <row r="84" spans="1:9" ht="24" x14ac:dyDescent="0.3">
      <c r="A84" s="2" t="s">
        <v>172</v>
      </c>
      <c r="B84" s="2" t="s">
        <v>4891</v>
      </c>
      <c r="C84" s="2" t="s">
        <v>4892</v>
      </c>
      <c r="D84" s="2" t="s">
        <v>4893</v>
      </c>
      <c r="E84" s="2"/>
      <c r="F84" s="2"/>
      <c r="G84" s="2" t="s">
        <v>1717</v>
      </c>
      <c r="H84" s="2"/>
      <c r="I84" s="3">
        <f t="shared" si="2"/>
        <v>141</v>
      </c>
    </row>
    <row r="85" spans="1:9" ht="24" x14ac:dyDescent="0.3">
      <c r="A85" s="2" t="s">
        <v>172</v>
      </c>
      <c r="B85" s="2" t="s">
        <v>2042</v>
      </c>
      <c r="C85" s="2" t="s">
        <v>4968</v>
      </c>
      <c r="D85" s="2" t="s">
        <v>4969</v>
      </c>
      <c r="E85" s="2"/>
      <c r="F85" s="2"/>
      <c r="G85" s="2" t="s">
        <v>350</v>
      </c>
      <c r="H85" s="2"/>
      <c r="I85" s="3">
        <f t="shared" si="2"/>
        <v>143</v>
      </c>
    </row>
    <row r="86" spans="1:9" ht="24" x14ac:dyDescent="0.3">
      <c r="A86" s="2" t="s">
        <v>172</v>
      </c>
      <c r="B86" s="2" t="s">
        <v>4987</v>
      </c>
      <c r="C86" s="2" t="s">
        <v>130</v>
      </c>
      <c r="D86" s="2" t="s">
        <v>9310</v>
      </c>
      <c r="E86" s="2"/>
      <c r="F86" s="2" t="s">
        <v>1778</v>
      </c>
      <c r="G86" s="2" t="s">
        <v>1717</v>
      </c>
      <c r="H86" s="2"/>
      <c r="I86" s="3">
        <f t="shared" si="2"/>
        <v>142</v>
      </c>
    </row>
    <row r="87" spans="1:9" ht="24" x14ac:dyDescent="0.3">
      <c r="A87" s="2" t="s">
        <v>172</v>
      </c>
      <c r="B87" s="2" t="s">
        <v>5045</v>
      </c>
      <c r="C87" s="2" t="s">
        <v>1647</v>
      </c>
      <c r="D87" s="2" t="s">
        <v>5046</v>
      </c>
      <c r="E87" s="2"/>
      <c r="F87" s="2"/>
      <c r="G87" s="2"/>
      <c r="H87" s="2" t="s">
        <v>1644</v>
      </c>
      <c r="I87" s="3">
        <f t="shared" si="2"/>
        <v>146</v>
      </c>
    </row>
    <row r="88" spans="1:9" ht="24" x14ac:dyDescent="0.3">
      <c r="A88" s="2" t="s">
        <v>172</v>
      </c>
      <c r="B88" s="2" t="s">
        <v>5065</v>
      </c>
      <c r="C88" s="2" t="s">
        <v>116</v>
      </c>
      <c r="D88" s="2" t="s">
        <v>5066</v>
      </c>
      <c r="E88" s="2"/>
      <c r="F88" s="2"/>
      <c r="G88" s="2"/>
      <c r="H88" s="2"/>
      <c r="I88" s="3">
        <f t="shared" si="2"/>
        <v>146</v>
      </c>
    </row>
    <row r="89" spans="1:9" ht="24" x14ac:dyDescent="0.3">
      <c r="A89" s="2" t="s">
        <v>172</v>
      </c>
      <c r="B89" s="2" t="s">
        <v>5233</v>
      </c>
      <c r="C89" s="2" t="s">
        <v>1772</v>
      </c>
      <c r="D89" s="2" t="s">
        <v>5234</v>
      </c>
      <c r="E89" s="2" t="s">
        <v>39</v>
      </c>
      <c r="F89" s="2"/>
      <c r="G89" s="2"/>
      <c r="H89" s="2"/>
      <c r="I89" s="3">
        <f t="shared" si="2"/>
        <v>152</v>
      </c>
    </row>
    <row r="90" spans="1:9" ht="24" x14ac:dyDescent="0.3">
      <c r="A90" s="2" t="s">
        <v>172</v>
      </c>
      <c r="B90" s="2" t="s">
        <v>5274</v>
      </c>
      <c r="C90" s="2" t="s">
        <v>5275</v>
      </c>
      <c r="D90" s="2" t="s">
        <v>8712</v>
      </c>
      <c r="E90" s="2" t="s">
        <v>556</v>
      </c>
      <c r="F90" s="2"/>
      <c r="G90" s="2"/>
      <c r="H90" s="2" t="s">
        <v>402</v>
      </c>
      <c r="I90" s="3">
        <f t="shared" si="2"/>
        <v>154</v>
      </c>
    </row>
    <row r="91" spans="1:9" ht="24" x14ac:dyDescent="0.3">
      <c r="A91" s="2" t="s">
        <v>172</v>
      </c>
      <c r="B91" s="2" t="s">
        <v>5361</v>
      </c>
      <c r="C91" s="2" t="s">
        <v>1772</v>
      </c>
      <c r="D91" s="2" t="s">
        <v>5362</v>
      </c>
      <c r="E91" s="2" t="s">
        <v>39</v>
      </c>
      <c r="F91" s="2"/>
      <c r="G91" s="2"/>
      <c r="H91" s="2"/>
      <c r="I91" s="3">
        <f t="shared" si="2"/>
        <v>157</v>
      </c>
    </row>
    <row r="92" spans="1:9" ht="24" x14ac:dyDescent="0.3">
      <c r="A92" s="2" t="s">
        <v>172</v>
      </c>
      <c r="B92" s="2" t="s">
        <v>1321</v>
      </c>
      <c r="C92" s="2" t="s">
        <v>5363</v>
      </c>
      <c r="D92" s="2" t="s">
        <v>5364</v>
      </c>
      <c r="E92" s="2" t="s">
        <v>3643</v>
      </c>
      <c r="F92" s="2"/>
      <c r="G92" s="2"/>
      <c r="H92" s="2" t="s">
        <v>194</v>
      </c>
      <c r="I92" s="3">
        <f t="shared" si="2"/>
        <v>157</v>
      </c>
    </row>
    <row r="93" spans="1:9" ht="24" x14ac:dyDescent="0.3">
      <c r="A93" s="2" t="s">
        <v>172</v>
      </c>
      <c r="B93" s="2" t="s">
        <v>1321</v>
      </c>
      <c r="C93" s="2" t="s">
        <v>1647</v>
      </c>
      <c r="D93" s="2" t="s">
        <v>5478</v>
      </c>
      <c r="E93" s="2" t="s">
        <v>1510</v>
      </c>
      <c r="F93" s="2"/>
      <c r="G93" s="2"/>
      <c r="H93" s="2" t="s">
        <v>194</v>
      </c>
      <c r="I93" s="3">
        <f t="shared" si="2"/>
        <v>164</v>
      </c>
    </row>
    <row r="94" spans="1:9" ht="24" x14ac:dyDescent="0.3">
      <c r="A94" s="2" t="s">
        <v>172</v>
      </c>
      <c r="B94" s="2" t="s">
        <v>5617</v>
      </c>
      <c r="C94" s="2" t="s">
        <v>14</v>
      </c>
      <c r="D94" s="2" t="s">
        <v>5618</v>
      </c>
      <c r="E94" s="2"/>
      <c r="F94" s="2"/>
      <c r="G94" s="2"/>
      <c r="H94" s="2"/>
      <c r="I94" s="3">
        <f t="shared" si="2"/>
        <v>171</v>
      </c>
    </row>
    <row r="95" spans="1:9" ht="24" x14ac:dyDescent="0.3">
      <c r="A95" s="2" t="s">
        <v>172</v>
      </c>
      <c r="B95" s="2" t="s">
        <v>5691</v>
      </c>
      <c r="C95" s="2" t="s">
        <v>5692</v>
      </c>
      <c r="D95" s="2" t="s">
        <v>5693</v>
      </c>
      <c r="E95" s="2"/>
      <c r="F95" s="2"/>
      <c r="G95" s="2"/>
      <c r="H95" s="2" t="s">
        <v>1644</v>
      </c>
      <c r="I95" s="3">
        <f t="shared" si="2"/>
        <v>175</v>
      </c>
    </row>
    <row r="96" spans="1:9" ht="24" x14ac:dyDescent="0.3">
      <c r="A96" s="2" t="s">
        <v>172</v>
      </c>
      <c r="B96" s="2" t="s">
        <v>5810</v>
      </c>
      <c r="C96" s="2" t="s">
        <v>5811</v>
      </c>
      <c r="D96" s="2" t="s">
        <v>5812</v>
      </c>
      <c r="E96" s="2"/>
      <c r="F96" s="2"/>
      <c r="G96" s="2" t="s">
        <v>350</v>
      </c>
      <c r="H96" s="2"/>
      <c r="I96" s="3">
        <f t="shared" si="2"/>
        <v>180</v>
      </c>
    </row>
    <row r="97" spans="1:9" ht="24" x14ac:dyDescent="0.3">
      <c r="A97" s="2" t="s">
        <v>172</v>
      </c>
      <c r="B97" s="2" t="s">
        <v>6099</v>
      </c>
      <c r="C97" s="2" t="s">
        <v>6100</v>
      </c>
      <c r="D97" s="2" t="s">
        <v>6101</v>
      </c>
      <c r="E97" s="2" t="s">
        <v>211</v>
      </c>
      <c r="F97" s="2"/>
      <c r="G97" s="2"/>
      <c r="H97" s="2"/>
      <c r="I97" s="3">
        <f t="shared" si="2"/>
        <v>197</v>
      </c>
    </row>
    <row r="98" spans="1:9" ht="24" x14ac:dyDescent="0.3">
      <c r="A98" s="2" t="s">
        <v>172</v>
      </c>
      <c r="B98" s="2" t="s">
        <v>6109</v>
      </c>
      <c r="C98" s="2" t="s">
        <v>3656</v>
      </c>
      <c r="D98" s="2" t="s">
        <v>9311</v>
      </c>
      <c r="E98" s="2" t="s">
        <v>39</v>
      </c>
      <c r="F98" s="2" t="s">
        <v>350</v>
      </c>
      <c r="G98" s="2" t="s">
        <v>350</v>
      </c>
      <c r="H98" s="2"/>
      <c r="I98" s="3">
        <f t="shared" ref="I98:I129" si="3">LEN(D98)</f>
        <v>196</v>
      </c>
    </row>
    <row r="99" spans="1:9" ht="24" x14ac:dyDescent="0.3">
      <c r="A99" s="2" t="s">
        <v>172</v>
      </c>
      <c r="B99" s="2" t="s">
        <v>6147</v>
      </c>
      <c r="C99" s="2" t="s">
        <v>4696</v>
      </c>
      <c r="D99" s="2" t="s">
        <v>6148</v>
      </c>
      <c r="E99" s="2" t="s">
        <v>39</v>
      </c>
      <c r="F99" s="2"/>
      <c r="G99" s="2"/>
      <c r="H99" s="2"/>
      <c r="I99" s="3">
        <f t="shared" si="3"/>
        <v>200</v>
      </c>
    </row>
    <row r="100" spans="1:9" ht="24" x14ac:dyDescent="0.3">
      <c r="A100" s="2" t="s">
        <v>172</v>
      </c>
      <c r="B100" s="2" t="s">
        <v>6157</v>
      </c>
      <c r="C100" s="2" t="s">
        <v>14</v>
      </c>
      <c r="D100" s="2" t="s">
        <v>6158</v>
      </c>
      <c r="E100" s="2"/>
      <c r="F100" s="2"/>
      <c r="G100" s="2"/>
      <c r="H100" s="2" t="s">
        <v>898</v>
      </c>
      <c r="I100" s="3">
        <f t="shared" si="3"/>
        <v>201</v>
      </c>
    </row>
    <row r="101" spans="1:9" ht="24" x14ac:dyDescent="0.3">
      <c r="A101" s="2" t="s">
        <v>172</v>
      </c>
      <c r="B101" s="2" t="s">
        <v>6231</v>
      </c>
      <c r="C101" s="2"/>
      <c r="D101" s="2" t="s">
        <v>9312</v>
      </c>
      <c r="E101" s="2"/>
      <c r="F101" s="2" t="s">
        <v>2281</v>
      </c>
      <c r="G101" s="2" t="s">
        <v>1717</v>
      </c>
      <c r="H101" s="2"/>
      <c r="I101" s="3">
        <f t="shared" si="3"/>
        <v>205</v>
      </c>
    </row>
    <row r="102" spans="1:9" ht="36" x14ac:dyDescent="0.3">
      <c r="A102" s="2" t="s">
        <v>172</v>
      </c>
      <c r="B102" s="2" t="s">
        <v>1321</v>
      </c>
      <c r="C102" s="2" t="s">
        <v>4733</v>
      </c>
      <c r="D102" s="2" t="s">
        <v>6414</v>
      </c>
      <c r="E102" s="2"/>
      <c r="F102" s="2"/>
      <c r="G102" s="2"/>
      <c r="H102" s="2" t="s">
        <v>1644</v>
      </c>
      <c r="I102" s="3">
        <f t="shared" si="3"/>
        <v>220</v>
      </c>
    </row>
    <row r="103" spans="1:9" ht="36" x14ac:dyDescent="0.3">
      <c r="A103" s="2" t="s">
        <v>172</v>
      </c>
      <c r="B103" s="2" t="s">
        <v>6425</v>
      </c>
      <c r="C103" s="2" t="s">
        <v>408</v>
      </c>
      <c r="D103" s="2" t="s">
        <v>9313</v>
      </c>
      <c r="E103" s="2" t="s">
        <v>6426</v>
      </c>
      <c r="F103" s="2" t="s">
        <v>4117</v>
      </c>
      <c r="G103" s="2" t="s">
        <v>1717</v>
      </c>
      <c r="H103" s="2"/>
      <c r="I103" s="3">
        <f t="shared" si="3"/>
        <v>218</v>
      </c>
    </row>
    <row r="104" spans="1:9" ht="36" x14ac:dyDescent="0.3">
      <c r="A104" s="2" t="s">
        <v>172</v>
      </c>
      <c r="B104" s="2" t="s">
        <v>6520</v>
      </c>
      <c r="C104" s="2" t="s">
        <v>3656</v>
      </c>
      <c r="D104" s="2" t="s">
        <v>9314</v>
      </c>
      <c r="E104" s="2" t="s">
        <v>5406</v>
      </c>
      <c r="F104" s="2" t="s">
        <v>350</v>
      </c>
      <c r="G104" s="2" t="s">
        <v>350</v>
      </c>
      <c r="H104" s="2"/>
      <c r="I104" s="3">
        <f t="shared" si="3"/>
        <v>227</v>
      </c>
    </row>
    <row r="105" spans="1:9" ht="36" x14ac:dyDescent="0.3">
      <c r="A105" s="2" t="s">
        <v>172</v>
      </c>
      <c r="B105" s="2" t="s">
        <v>6543</v>
      </c>
      <c r="C105" s="2" t="s">
        <v>3656</v>
      </c>
      <c r="D105" s="2" t="s">
        <v>9315</v>
      </c>
      <c r="E105" s="2" t="s">
        <v>1188</v>
      </c>
      <c r="F105" s="2" t="s">
        <v>350</v>
      </c>
      <c r="G105" s="2" t="s">
        <v>1717</v>
      </c>
      <c r="H105" s="2"/>
      <c r="I105" s="3">
        <f t="shared" si="3"/>
        <v>229</v>
      </c>
    </row>
    <row r="106" spans="1:9" ht="36" x14ac:dyDescent="0.3">
      <c r="A106" s="2" t="s">
        <v>172</v>
      </c>
      <c r="B106" s="2" t="s">
        <v>6544</v>
      </c>
      <c r="C106" s="2" t="s">
        <v>3656</v>
      </c>
      <c r="D106" s="2" t="s">
        <v>9316</v>
      </c>
      <c r="E106" s="2" t="s">
        <v>5123</v>
      </c>
      <c r="F106" s="2" t="s">
        <v>350</v>
      </c>
      <c r="G106" s="2" t="s">
        <v>350</v>
      </c>
      <c r="H106" s="2"/>
      <c r="I106" s="3">
        <f t="shared" si="3"/>
        <v>229</v>
      </c>
    </row>
    <row r="107" spans="1:9" ht="36" x14ac:dyDescent="0.3">
      <c r="A107" s="2" t="s">
        <v>172</v>
      </c>
      <c r="B107" s="2" t="s">
        <v>4732</v>
      </c>
      <c r="C107" s="2" t="s">
        <v>1647</v>
      </c>
      <c r="D107" s="2" t="s">
        <v>6574</v>
      </c>
      <c r="E107" s="2"/>
      <c r="F107" s="2"/>
      <c r="G107" s="2"/>
      <c r="H107" s="2" t="s">
        <v>1644</v>
      </c>
      <c r="I107" s="3">
        <f t="shared" si="3"/>
        <v>234</v>
      </c>
    </row>
    <row r="108" spans="1:9" ht="36" x14ac:dyDescent="0.3">
      <c r="A108" s="2" t="s">
        <v>172</v>
      </c>
      <c r="B108" s="2" t="s">
        <v>6661</v>
      </c>
      <c r="C108" s="2" t="s">
        <v>6662</v>
      </c>
      <c r="D108" s="2" t="s">
        <v>6663</v>
      </c>
      <c r="E108" s="2" t="s">
        <v>39</v>
      </c>
      <c r="F108" s="2"/>
      <c r="G108" s="2"/>
      <c r="H108" s="2"/>
      <c r="I108" s="3">
        <f t="shared" si="3"/>
        <v>241</v>
      </c>
    </row>
    <row r="109" spans="1:9" ht="36" x14ac:dyDescent="0.3">
      <c r="A109" s="2" t="s">
        <v>172</v>
      </c>
      <c r="B109" s="2" t="s">
        <v>6674</v>
      </c>
      <c r="C109" s="2" t="s">
        <v>6675</v>
      </c>
      <c r="D109" s="2" t="s">
        <v>9317</v>
      </c>
      <c r="E109" s="2" t="s">
        <v>4552</v>
      </c>
      <c r="F109" s="2" t="s">
        <v>350</v>
      </c>
      <c r="G109" s="2" t="s">
        <v>350</v>
      </c>
      <c r="H109" s="2"/>
      <c r="I109" s="3">
        <f t="shared" si="3"/>
        <v>241</v>
      </c>
    </row>
    <row r="110" spans="1:9" ht="36" x14ac:dyDescent="0.3">
      <c r="A110" s="2" t="s">
        <v>172</v>
      </c>
      <c r="B110" s="2" t="s">
        <v>6680</v>
      </c>
      <c r="C110" s="2" t="s">
        <v>2063</v>
      </c>
      <c r="D110" s="2" t="s">
        <v>6681</v>
      </c>
      <c r="E110" s="2"/>
      <c r="F110" s="2"/>
      <c r="G110" s="2"/>
      <c r="H110" s="2" t="s">
        <v>194</v>
      </c>
      <c r="I110" s="3">
        <f t="shared" si="3"/>
        <v>244</v>
      </c>
    </row>
    <row r="111" spans="1:9" ht="36" x14ac:dyDescent="0.3">
      <c r="A111" s="2" t="s">
        <v>172</v>
      </c>
      <c r="B111" s="2" t="s">
        <v>6724</v>
      </c>
      <c r="C111" s="2" t="s">
        <v>4696</v>
      </c>
      <c r="D111" s="2" t="s">
        <v>6725</v>
      </c>
      <c r="E111" s="2" t="s">
        <v>39</v>
      </c>
      <c r="F111" s="2"/>
      <c r="G111" s="2"/>
      <c r="H111" s="2" t="s">
        <v>646</v>
      </c>
      <c r="I111" s="3">
        <f t="shared" si="3"/>
        <v>249</v>
      </c>
    </row>
    <row r="112" spans="1:9" ht="36" x14ac:dyDescent="0.3">
      <c r="A112" s="2" t="s">
        <v>172</v>
      </c>
      <c r="B112" s="2" t="s">
        <v>6740</v>
      </c>
      <c r="C112" s="2" t="s">
        <v>896</v>
      </c>
      <c r="D112" s="2" t="s">
        <v>9318</v>
      </c>
      <c r="E112" s="2" t="s">
        <v>1272</v>
      </c>
      <c r="F112" s="2" t="s">
        <v>1778</v>
      </c>
      <c r="G112" s="2" t="s">
        <v>1717</v>
      </c>
      <c r="H112" s="2" t="s">
        <v>898</v>
      </c>
      <c r="I112" s="3">
        <f t="shared" si="3"/>
        <v>249</v>
      </c>
    </row>
    <row r="113" spans="1:9" ht="36" x14ac:dyDescent="0.3">
      <c r="A113" s="2" t="s">
        <v>172</v>
      </c>
      <c r="B113" s="2" t="s">
        <v>6543</v>
      </c>
      <c r="C113" s="2" t="s">
        <v>6284</v>
      </c>
      <c r="D113" s="2" t="s">
        <v>9319</v>
      </c>
      <c r="E113" s="2" t="s">
        <v>1188</v>
      </c>
      <c r="F113" s="2" t="s">
        <v>350</v>
      </c>
      <c r="G113" s="2" t="s">
        <v>350</v>
      </c>
      <c r="H113" s="2"/>
      <c r="I113" s="3">
        <f t="shared" si="3"/>
        <v>258</v>
      </c>
    </row>
    <row r="114" spans="1:9" ht="36" x14ac:dyDescent="0.3">
      <c r="A114" s="2" t="s">
        <v>172</v>
      </c>
      <c r="B114" s="2" t="s">
        <v>6904</v>
      </c>
      <c r="C114" s="2" t="s">
        <v>6905</v>
      </c>
      <c r="D114" s="2" t="s">
        <v>9320</v>
      </c>
      <c r="E114" s="2" t="s">
        <v>6906</v>
      </c>
      <c r="F114" s="2" t="s">
        <v>1778</v>
      </c>
      <c r="G114" s="2" t="s">
        <v>1717</v>
      </c>
      <c r="H114" s="2" t="s">
        <v>646</v>
      </c>
      <c r="I114" s="3">
        <f t="shared" si="3"/>
        <v>261</v>
      </c>
    </row>
    <row r="115" spans="1:9" ht="36" x14ac:dyDescent="0.3">
      <c r="A115" s="2" t="s">
        <v>172</v>
      </c>
      <c r="B115" s="2" t="s">
        <v>6936</v>
      </c>
      <c r="C115" s="2" t="s">
        <v>4701</v>
      </c>
      <c r="D115" s="2" t="s">
        <v>9321</v>
      </c>
      <c r="E115" s="2" t="s">
        <v>39</v>
      </c>
      <c r="F115" s="2" t="s">
        <v>2281</v>
      </c>
      <c r="G115" s="2" t="s">
        <v>1717</v>
      </c>
      <c r="H115" s="2"/>
      <c r="I115" s="3">
        <f t="shared" si="3"/>
        <v>264</v>
      </c>
    </row>
    <row r="116" spans="1:9" ht="36" x14ac:dyDescent="0.3">
      <c r="A116" s="2" t="s">
        <v>172</v>
      </c>
      <c r="B116" s="2" t="s">
        <v>4115</v>
      </c>
      <c r="C116" s="2"/>
      <c r="D116" s="2" t="s">
        <v>9322</v>
      </c>
      <c r="E116" s="2"/>
      <c r="F116" s="2" t="s">
        <v>1778</v>
      </c>
      <c r="G116" s="2" t="s">
        <v>1717</v>
      </c>
      <c r="H116" s="2"/>
      <c r="I116" s="3">
        <f t="shared" si="3"/>
        <v>298</v>
      </c>
    </row>
    <row r="117" spans="1:9" ht="36" x14ac:dyDescent="0.3">
      <c r="A117" s="2" t="s">
        <v>172</v>
      </c>
      <c r="B117" s="2" t="s">
        <v>1338</v>
      </c>
      <c r="C117" s="2" t="s">
        <v>4733</v>
      </c>
      <c r="D117" s="2" t="s">
        <v>7237</v>
      </c>
      <c r="E117" s="2"/>
      <c r="F117" s="2"/>
      <c r="G117" s="2"/>
      <c r="H117" s="2" t="s">
        <v>1644</v>
      </c>
      <c r="I117" s="3">
        <f t="shared" si="3"/>
        <v>305</v>
      </c>
    </row>
    <row r="118" spans="1:9" ht="36" x14ac:dyDescent="0.3">
      <c r="A118" s="2" t="s">
        <v>172</v>
      </c>
      <c r="B118" s="2" t="s">
        <v>7280</v>
      </c>
      <c r="C118" s="2" t="s">
        <v>7281</v>
      </c>
      <c r="D118" s="2" t="s">
        <v>7282</v>
      </c>
      <c r="E118" s="2"/>
      <c r="F118" s="2"/>
      <c r="G118" s="2"/>
      <c r="H118" s="2"/>
      <c r="I118" s="3">
        <f t="shared" si="3"/>
        <v>311</v>
      </c>
    </row>
    <row r="119" spans="1:9" ht="48" x14ac:dyDescent="0.3">
      <c r="A119" s="2" t="s">
        <v>172</v>
      </c>
      <c r="B119" s="2" t="s">
        <v>7398</v>
      </c>
      <c r="C119" s="2" t="s">
        <v>7399</v>
      </c>
      <c r="D119" s="2" t="s">
        <v>9323</v>
      </c>
      <c r="E119" s="2" t="s">
        <v>39</v>
      </c>
      <c r="F119" s="2" t="s">
        <v>350</v>
      </c>
      <c r="G119" s="2" t="s">
        <v>350</v>
      </c>
      <c r="H119" s="2" t="s">
        <v>646</v>
      </c>
      <c r="I119" s="3">
        <f t="shared" si="3"/>
        <v>323</v>
      </c>
    </row>
    <row r="120" spans="1:9" ht="48" x14ac:dyDescent="0.3">
      <c r="A120" s="2" t="s">
        <v>172</v>
      </c>
      <c r="B120" s="2" t="s">
        <v>1321</v>
      </c>
      <c r="C120" s="2" t="s">
        <v>896</v>
      </c>
      <c r="D120" s="2" t="s">
        <v>7454</v>
      </c>
      <c r="E120" s="2" t="s">
        <v>242</v>
      </c>
      <c r="F120" s="2"/>
      <c r="G120" s="2"/>
      <c r="H120" s="2" t="s">
        <v>898</v>
      </c>
      <c r="I120" s="3">
        <f t="shared" si="3"/>
        <v>333</v>
      </c>
    </row>
    <row r="121" spans="1:9" ht="48" x14ac:dyDescent="0.3">
      <c r="A121" s="2" t="s">
        <v>172</v>
      </c>
      <c r="B121" s="2" t="s">
        <v>7474</v>
      </c>
      <c r="C121" s="2" t="s">
        <v>7475</v>
      </c>
      <c r="D121" s="2" t="s">
        <v>7476</v>
      </c>
      <c r="E121" s="2" t="s">
        <v>918</v>
      </c>
      <c r="F121" s="2"/>
      <c r="G121" s="2" t="s">
        <v>350</v>
      </c>
      <c r="H121" s="2" t="s">
        <v>898</v>
      </c>
      <c r="I121" s="3">
        <f t="shared" si="3"/>
        <v>336</v>
      </c>
    </row>
    <row r="122" spans="1:9" ht="48" x14ac:dyDescent="0.3">
      <c r="A122" s="2" t="s">
        <v>172</v>
      </c>
      <c r="B122" s="2" t="s">
        <v>7501</v>
      </c>
      <c r="C122" s="2" t="s">
        <v>14</v>
      </c>
      <c r="D122" s="2" t="s">
        <v>7502</v>
      </c>
      <c r="E122" s="2"/>
      <c r="F122" s="2"/>
      <c r="G122" s="2"/>
      <c r="H122" s="2"/>
      <c r="I122" s="3">
        <f t="shared" si="3"/>
        <v>342</v>
      </c>
    </row>
    <row r="123" spans="1:9" ht="48" x14ac:dyDescent="0.3">
      <c r="A123" s="2" t="s">
        <v>172</v>
      </c>
      <c r="B123" s="2" t="s">
        <v>7507</v>
      </c>
      <c r="C123" s="2" t="s">
        <v>7508</v>
      </c>
      <c r="D123" s="2" t="s">
        <v>7509</v>
      </c>
      <c r="E123" s="2"/>
      <c r="F123" s="2"/>
      <c r="G123" s="2"/>
      <c r="H123" s="2"/>
      <c r="I123" s="3">
        <f t="shared" si="3"/>
        <v>343</v>
      </c>
    </row>
    <row r="124" spans="1:9" ht="48" x14ac:dyDescent="0.3">
      <c r="A124" s="2" t="s">
        <v>172</v>
      </c>
      <c r="B124" s="2" t="s">
        <v>7576</v>
      </c>
      <c r="C124" s="2"/>
      <c r="D124" s="2" t="s">
        <v>7577</v>
      </c>
      <c r="E124" s="2"/>
      <c r="F124" s="2"/>
      <c r="G124" s="2"/>
      <c r="H124" s="2"/>
      <c r="I124" s="3">
        <f t="shared" si="3"/>
        <v>354</v>
      </c>
    </row>
    <row r="125" spans="1:9" ht="48" x14ac:dyDescent="0.3">
      <c r="A125" s="2" t="s">
        <v>172</v>
      </c>
      <c r="B125" s="2" t="s">
        <v>7803</v>
      </c>
      <c r="C125" s="2" t="s">
        <v>7804</v>
      </c>
      <c r="D125" s="2" t="s">
        <v>7805</v>
      </c>
      <c r="E125" s="2" t="s">
        <v>39</v>
      </c>
      <c r="F125" s="2"/>
      <c r="G125" s="2"/>
      <c r="H125" s="2"/>
      <c r="I125" s="3">
        <f t="shared" si="3"/>
        <v>398</v>
      </c>
    </row>
    <row r="126" spans="1:9" ht="84" x14ac:dyDescent="0.3">
      <c r="A126" s="2" t="s">
        <v>172</v>
      </c>
      <c r="B126" s="2" t="s">
        <v>8362</v>
      </c>
      <c r="C126" s="2" t="s">
        <v>8363</v>
      </c>
      <c r="D126" s="2" t="s">
        <v>8364</v>
      </c>
      <c r="E126" s="2" t="s">
        <v>2693</v>
      </c>
      <c r="F126" s="2"/>
      <c r="G126" s="2" t="s">
        <v>1717</v>
      </c>
      <c r="H126" s="2" t="s">
        <v>3494</v>
      </c>
      <c r="I126" s="3">
        <f t="shared" si="3"/>
        <v>606</v>
      </c>
    </row>
    <row r="127" spans="1:9" ht="84" x14ac:dyDescent="0.3">
      <c r="A127" s="2" t="s">
        <v>172</v>
      </c>
      <c r="B127" s="2" t="s">
        <v>4870</v>
      </c>
      <c r="C127" s="2" t="s">
        <v>896</v>
      </c>
      <c r="D127" s="2" t="s">
        <v>9324</v>
      </c>
      <c r="E127" s="2" t="s">
        <v>1692</v>
      </c>
      <c r="F127" s="2" t="s">
        <v>1778</v>
      </c>
      <c r="G127" s="2" t="s">
        <v>1717</v>
      </c>
      <c r="H127" s="2" t="s">
        <v>3494</v>
      </c>
      <c r="I127" s="3">
        <f t="shared" si="3"/>
        <v>613</v>
      </c>
    </row>
    <row r="128" spans="1:9" ht="96" x14ac:dyDescent="0.3">
      <c r="A128" s="2" t="s">
        <v>172</v>
      </c>
      <c r="B128" s="2" t="s">
        <v>3315</v>
      </c>
      <c r="C128" s="2" t="s">
        <v>8481</v>
      </c>
      <c r="D128" s="2" t="s">
        <v>9325</v>
      </c>
      <c r="E128" s="2" t="s">
        <v>6316</v>
      </c>
      <c r="F128" s="2" t="s">
        <v>350</v>
      </c>
      <c r="G128" s="2" t="s">
        <v>1717</v>
      </c>
      <c r="H128" s="2" t="s">
        <v>86</v>
      </c>
      <c r="I128" s="3">
        <f t="shared" si="3"/>
        <v>712</v>
      </c>
    </row>
    <row r="129" spans="1:9" ht="96" x14ac:dyDescent="0.3">
      <c r="A129" s="2" t="s">
        <v>172</v>
      </c>
      <c r="B129" s="2" t="s">
        <v>8521</v>
      </c>
      <c r="C129" s="2" t="s">
        <v>8522</v>
      </c>
      <c r="D129" s="2" t="s">
        <v>9326</v>
      </c>
      <c r="E129" s="2"/>
      <c r="F129" s="2" t="s">
        <v>3082</v>
      </c>
      <c r="G129" s="2" t="s">
        <v>1717</v>
      </c>
      <c r="H129" s="2" t="s">
        <v>3494</v>
      </c>
      <c r="I129" s="3">
        <f t="shared" si="3"/>
        <v>780</v>
      </c>
    </row>
  </sheetData>
  <autoFilter ref="A1:I129" xr:uid="{00000000-0009-0000-0000-000000000000}">
    <sortState xmlns:xlrd2="http://schemas.microsoft.com/office/spreadsheetml/2017/richdata2" ref="A2:I129">
      <sortCondition ref="A1:A129"/>
    </sortState>
  </autoFilter>
  <conditionalFormatting sqref="H1:H131">
    <cfRule type="notContainsBlanks" dxfId="0" priority="1">
      <formula>LEN(TRIM(H1))&gt;0</formula>
    </cfRule>
  </conditionalFormatting>
  <dataValidations count="2">
    <dataValidation type="list" allowBlank="1" sqref="H2:H129" xr:uid="{6BD52716-4028-40AE-9E1B-63E9AA327BF0}">
      <formula1>#REF!</formula1>
    </dataValidation>
    <dataValidation type="list" allowBlank="1" showErrorMessage="1" sqref="C2:C129" xr:uid="{5BB59D7D-87FE-4AEE-841E-E50BC6EDDCE5}">
      <formula1>#REF!</formula1>
    </dataValidation>
  </dataValidation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vt:i4>
      </vt:variant>
    </vt:vector>
  </HeadingPairs>
  <TitlesOfParts>
    <vt:vector size="21" baseType="lpstr">
      <vt:lpstr>ASSEMBLY</vt:lpstr>
      <vt:lpstr>tags</vt:lpstr>
      <vt:lpstr>standard weapons</vt:lpstr>
      <vt:lpstr>custom weapons</vt:lpstr>
      <vt:lpstr>weapon masteries</vt:lpstr>
      <vt:lpstr>actions</vt:lpstr>
      <vt:lpstr>features-abilities</vt:lpstr>
      <vt:lpstr>action areas</vt:lpstr>
      <vt:lpstr>condition effects</vt:lpstr>
      <vt:lpstr>damage effects</vt:lpstr>
      <vt:lpstr>save effects</vt:lpstr>
      <vt:lpstr>secondary effects</vt:lpstr>
      <vt:lpstr>bonus actions</vt:lpstr>
      <vt:lpstr>reactions</vt:lpstr>
      <vt:lpstr>target effects</vt:lpstr>
      <vt:lpstr>outcomes</vt:lpstr>
      <vt:lpstr>durations</vt:lpstr>
      <vt:lpstr>add-ons</vt:lpstr>
      <vt:lpstr>attack effects</vt:lpstr>
      <vt:lpstr>Duration_Descs</vt:lpstr>
      <vt:lpstr>Duration_Names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Margaret Zenke</dc:creator>
  <cp:lastModifiedBy>margaretzenke</cp:lastModifiedBy>
  <dcterms:created xsi:type="dcterms:W3CDTF">2024-03-04T19:47:37Z</dcterms:created>
  <dcterms:modified xsi:type="dcterms:W3CDTF">2026-05-19T19:51:54Z</dcterms:modified>
</cp:coreProperties>
</file>